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amran\Desktop\"/>
    </mc:Choice>
  </mc:AlternateContent>
  <xr:revisionPtr revIDLastSave="0" documentId="13_ncr:1_{CC72A262-CC6F-41EE-A6C9-9D45FB4F43E2}" xr6:coauthVersionLast="45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Закуп" sheetId="1" r:id="rId1"/>
  </sheets>
  <definedNames>
    <definedName name="_xlnm._FilterDatabase" localSheetId="0" hidden="1">Закуп!$A$3:$D$2561</definedName>
    <definedName name="ExternalData_1" localSheetId="0" hidden="1">Закуп!$I$3:$M$2561</definedName>
  </definedNames>
  <calcPr calcId="18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30" i="1" l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G130" i="1" l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O5" i="1" l="1"/>
  <c r="Q5" i="1" s="1"/>
  <c r="R5" i="1"/>
  <c r="O6" i="1"/>
  <c r="Q6" i="1" s="1"/>
  <c r="R6" i="1"/>
  <c r="O7" i="1"/>
  <c r="Q7" i="1" s="1"/>
  <c r="R7" i="1"/>
  <c r="O8" i="1"/>
  <c r="R8" i="1"/>
  <c r="O9" i="1"/>
  <c r="Q9" i="1" s="1"/>
  <c r="R9" i="1"/>
  <c r="O10" i="1"/>
  <c r="Q10" i="1" s="1"/>
  <c r="R10" i="1"/>
  <c r="O11" i="1"/>
  <c r="Q11" i="1" s="1"/>
  <c r="R11" i="1"/>
  <c r="O12" i="1"/>
  <c r="Q12" i="1" s="1"/>
  <c r="R12" i="1"/>
  <c r="O13" i="1"/>
  <c r="Q13" i="1" s="1"/>
  <c r="R13" i="1"/>
  <c r="O14" i="1"/>
  <c r="Q14" i="1" s="1"/>
  <c r="R14" i="1"/>
  <c r="O15" i="1"/>
  <c r="Q15" i="1" s="1"/>
  <c r="R15" i="1"/>
  <c r="O16" i="1"/>
  <c r="R16" i="1"/>
  <c r="O17" i="1"/>
  <c r="Q17" i="1" s="1"/>
  <c r="R17" i="1"/>
  <c r="O18" i="1"/>
  <c r="Q18" i="1" s="1"/>
  <c r="R18" i="1"/>
  <c r="O19" i="1"/>
  <c r="Q19" i="1" s="1"/>
  <c r="R19" i="1"/>
  <c r="O20" i="1"/>
  <c r="R20" i="1"/>
  <c r="O21" i="1"/>
  <c r="Q21" i="1" s="1"/>
  <c r="R21" i="1"/>
  <c r="O22" i="1"/>
  <c r="Q22" i="1" s="1"/>
  <c r="R22" i="1"/>
  <c r="O23" i="1"/>
  <c r="Q23" i="1" s="1"/>
  <c r="R23" i="1"/>
  <c r="O24" i="1"/>
  <c r="R24" i="1"/>
  <c r="O25" i="1"/>
  <c r="Q25" i="1" s="1"/>
  <c r="R25" i="1"/>
  <c r="O26" i="1"/>
  <c r="Q26" i="1" s="1"/>
  <c r="R26" i="1"/>
  <c r="O27" i="1"/>
  <c r="Q27" i="1" s="1"/>
  <c r="R27" i="1"/>
  <c r="O28" i="1"/>
  <c r="R28" i="1"/>
  <c r="O29" i="1"/>
  <c r="Q29" i="1" s="1"/>
  <c r="R29" i="1"/>
  <c r="O30" i="1"/>
  <c r="Q30" i="1" s="1"/>
  <c r="R30" i="1"/>
  <c r="O31" i="1"/>
  <c r="Q31" i="1" s="1"/>
  <c r="R31" i="1"/>
  <c r="O32" i="1"/>
  <c r="R32" i="1"/>
  <c r="O33" i="1"/>
  <c r="Q33" i="1" s="1"/>
  <c r="R33" i="1"/>
  <c r="O34" i="1"/>
  <c r="R34" i="1"/>
  <c r="O35" i="1"/>
  <c r="R35" i="1"/>
  <c r="O36" i="1"/>
  <c r="Q36" i="1" s="1"/>
  <c r="R36" i="1"/>
  <c r="O37" i="1"/>
  <c r="Q37" i="1" s="1"/>
  <c r="R37" i="1"/>
  <c r="O38" i="1"/>
  <c r="Q38" i="1" s="1"/>
  <c r="R38" i="1"/>
  <c r="O39" i="1"/>
  <c r="Q39" i="1" s="1"/>
  <c r="R39" i="1"/>
  <c r="O40" i="1"/>
  <c r="Q40" i="1" s="1"/>
  <c r="R40" i="1"/>
  <c r="O41" i="1"/>
  <c r="Q41" i="1" s="1"/>
  <c r="R41" i="1"/>
  <c r="O42" i="1"/>
  <c r="Q42" i="1" s="1"/>
  <c r="R42" i="1"/>
  <c r="O43" i="1"/>
  <c r="Q43" i="1" s="1"/>
  <c r="R43" i="1"/>
  <c r="O44" i="1"/>
  <c r="Q44" i="1" s="1"/>
  <c r="R44" i="1"/>
  <c r="O45" i="1"/>
  <c r="Q45" i="1" s="1"/>
  <c r="R45" i="1"/>
  <c r="O46" i="1"/>
  <c r="Q46" i="1" s="1"/>
  <c r="R46" i="1"/>
  <c r="O47" i="1"/>
  <c r="Q47" i="1" s="1"/>
  <c r="R47" i="1"/>
  <c r="O48" i="1"/>
  <c r="Q48" i="1" s="1"/>
  <c r="R48" i="1"/>
  <c r="O49" i="1"/>
  <c r="Q49" i="1" s="1"/>
  <c r="R49" i="1"/>
  <c r="O50" i="1"/>
  <c r="Q50" i="1" s="1"/>
  <c r="R50" i="1"/>
  <c r="O51" i="1"/>
  <c r="R51" i="1"/>
  <c r="O52" i="1"/>
  <c r="Q52" i="1" s="1"/>
  <c r="R52" i="1"/>
  <c r="O53" i="1"/>
  <c r="Q53" i="1" s="1"/>
  <c r="R53" i="1"/>
  <c r="O54" i="1"/>
  <c r="Q54" i="1" s="1"/>
  <c r="R54" i="1"/>
  <c r="O55" i="1"/>
  <c r="R55" i="1"/>
  <c r="O56" i="1"/>
  <c r="Q56" i="1" s="1"/>
  <c r="R56" i="1"/>
  <c r="O57" i="1"/>
  <c r="Q57" i="1" s="1"/>
  <c r="R57" i="1"/>
  <c r="O58" i="1"/>
  <c r="Q58" i="1" s="1"/>
  <c r="R58" i="1"/>
  <c r="O59" i="1"/>
  <c r="R59" i="1"/>
  <c r="O60" i="1"/>
  <c r="Q60" i="1" s="1"/>
  <c r="R60" i="1"/>
  <c r="O61" i="1"/>
  <c r="Q61" i="1" s="1"/>
  <c r="R61" i="1"/>
  <c r="O62" i="1"/>
  <c r="Q62" i="1" s="1"/>
  <c r="R62" i="1"/>
  <c r="O63" i="1"/>
  <c r="R63" i="1"/>
  <c r="O64" i="1"/>
  <c r="Q64" i="1" s="1"/>
  <c r="R64" i="1"/>
  <c r="O65" i="1"/>
  <c r="Q65" i="1" s="1"/>
  <c r="R65" i="1"/>
  <c r="O66" i="1"/>
  <c r="Q66" i="1" s="1"/>
  <c r="R66" i="1"/>
  <c r="O67" i="1"/>
  <c r="R67" i="1"/>
  <c r="O68" i="1"/>
  <c r="Q68" i="1" s="1"/>
  <c r="R68" i="1"/>
  <c r="O69" i="1"/>
  <c r="Q69" i="1" s="1"/>
  <c r="R69" i="1"/>
  <c r="O70" i="1"/>
  <c r="R70" i="1"/>
  <c r="O71" i="1"/>
  <c r="Q71" i="1" s="1"/>
  <c r="R71" i="1"/>
  <c r="O72" i="1"/>
  <c r="Q72" i="1" s="1"/>
  <c r="R72" i="1"/>
  <c r="O73" i="1"/>
  <c r="Q73" i="1" s="1"/>
  <c r="R73" i="1"/>
  <c r="O74" i="1"/>
  <c r="Q74" i="1" s="1"/>
  <c r="R74" i="1"/>
  <c r="O75" i="1"/>
  <c r="Q75" i="1" s="1"/>
  <c r="R75" i="1"/>
  <c r="O76" i="1"/>
  <c r="R76" i="1"/>
  <c r="O77" i="1"/>
  <c r="Q77" i="1" s="1"/>
  <c r="R77" i="1"/>
  <c r="O78" i="1"/>
  <c r="Q78" i="1" s="1"/>
  <c r="R78" i="1"/>
  <c r="O79" i="1"/>
  <c r="Q79" i="1" s="1"/>
  <c r="R79" i="1"/>
  <c r="O80" i="1"/>
  <c r="R80" i="1"/>
  <c r="O81" i="1"/>
  <c r="Q81" i="1" s="1"/>
  <c r="R81" i="1"/>
  <c r="O82" i="1"/>
  <c r="Q82" i="1" s="1"/>
  <c r="R82" i="1"/>
  <c r="O83" i="1"/>
  <c r="Q83" i="1" s="1"/>
  <c r="R83" i="1"/>
  <c r="O84" i="1"/>
  <c r="R84" i="1"/>
  <c r="O85" i="1"/>
  <c r="Q85" i="1" s="1"/>
  <c r="R85" i="1"/>
  <c r="O86" i="1"/>
  <c r="Q86" i="1" s="1"/>
  <c r="R86" i="1"/>
  <c r="O87" i="1"/>
  <c r="Q87" i="1" s="1"/>
  <c r="R87" i="1"/>
  <c r="O88" i="1"/>
  <c r="R88" i="1"/>
  <c r="O89" i="1"/>
  <c r="Q89" i="1" s="1"/>
  <c r="R89" i="1"/>
  <c r="O90" i="1"/>
  <c r="Q90" i="1" s="1"/>
  <c r="R90" i="1"/>
  <c r="O91" i="1"/>
  <c r="Q91" i="1" s="1"/>
  <c r="R91" i="1"/>
  <c r="O92" i="1"/>
  <c r="R92" i="1"/>
  <c r="O93" i="1"/>
  <c r="Q93" i="1" s="1"/>
  <c r="R93" i="1"/>
  <c r="O94" i="1"/>
  <c r="Q94" i="1" s="1"/>
  <c r="R94" i="1"/>
  <c r="O95" i="1"/>
  <c r="Q95" i="1" s="1"/>
  <c r="R95" i="1"/>
  <c r="O96" i="1"/>
  <c r="R96" i="1"/>
  <c r="O97" i="1"/>
  <c r="R97" i="1"/>
  <c r="O98" i="1"/>
  <c r="Q98" i="1" s="1"/>
  <c r="R98" i="1"/>
  <c r="O99" i="1"/>
  <c r="Q99" i="1" s="1"/>
  <c r="R99" i="1"/>
  <c r="O100" i="1"/>
  <c r="Q100" i="1" s="1"/>
  <c r="R100" i="1"/>
  <c r="O101" i="1"/>
  <c r="R101" i="1"/>
  <c r="O102" i="1"/>
  <c r="Q102" i="1" s="1"/>
  <c r="R102" i="1"/>
  <c r="O103" i="1"/>
  <c r="Q103" i="1" s="1"/>
  <c r="R103" i="1"/>
  <c r="O104" i="1"/>
  <c r="R104" i="1"/>
  <c r="O105" i="1"/>
  <c r="R105" i="1"/>
  <c r="O106" i="1"/>
  <c r="Q106" i="1" s="1"/>
  <c r="R106" i="1"/>
  <c r="O107" i="1"/>
  <c r="Q107" i="1" s="1"/>
  <c r="R107" i="1"/>
  <c r="O108" i="1"/>
  <c r="Q108" i="1" s="1"/>
  <c r="R108" i="1"/>
  <c r="O109" i="1"/>
  <c r="R109" i="1"/>
  <c r="O110" i="1"/>
  <c r="Q110" i="1" s="1"/>
  <c r="R110" i="1"/>
  <c r="O111" i="1"/>
  <c r="Q111" i="1" s="1"/>
  <c r="R111" i="1"/>
  <c r="O112" i="1"/>
  <c r="R112" i="1"/>
  <c r="O113" i="1"/>
  <c r="R113" i="1"/>
  <c r="O114" i="1"/>
  <c r="Q114" i="1" s="1"/>
  <c r="R114" i="1"/>
  <c r="O115" i="1"/>
  <c r="Q115" i="1" s="1"/>
  <c r="R115" i="1"/>
  <c r="O116" i="1"/>
  <c r="Q116" i="1" s="1"/>
  <c r="R116" i="1"/>
  <c r="O117" i="1"/>
  <c r="Q117" i="1" s="1"/>
  <c r="R117" i="1"/>
  <c r="O118" i="1"/>
  <c r="Q118" i="1" s="1"/>
  <c r="R118" i="1"/>
  <c r="O119" i="1"/>
  <c r="Q119" i="1" s="1"/>
  <c r="R119" i="1"/>
  <c r="O120" i="1"/>
  <c r="Q120" i="1" s="1"/>
  <c r="R120" i="1"/>
  <c r="O121" i="1"/>
  <c r="Q121" i="1" s="1"/>
  <c r="R121" i="1"/>
  <c r="O122" i="1"/>
  <c r="Q122" i="1" s="1"/>
  <c r="R122" i="1"/>
  <c r="O123" i="1"/>
  <c r="Q123" i="1" s="1"/>
  <c r="R123" i="1"/>
  <c r="O124" i="1"/>
  <c r="Q124" i="1" s="1"/>
  <c r="R124" i="1"/>
  <c r="O125" i="1"/>
  <c r="Q125" i="1" s="1"/>
  <c r="R125" i="1"/>
  <c r="O126" i="1"/>
  <c r="Q126" i="1" s="1"/>
  <c r="R126" i="1"/>
  <c r="O127" i="1"/>
  <c r="Q127" i="1" s="1"/>
  <c r="R127" i="1"/>
  <c r="O128" i="1"/>
  <c r="Q128" i="1" s="1"/>
  <c r="R128" i="1"/>
  <c r="O129" i="1"/>
  <c r="Q129" i="1" s="1"/>
  <c r="R129" i="1"/>
  <c r="Q96" i="1" l="1"/>
  <c r="Q113" i="1"/>
  <c r="Q104" i="1"/>
  <c r="Q84" i="1"/>
  <c r="Q97" i="1"/>
  <c r="Q80" i="1"/>
  <c r="Q105" i="1"/>
  <c r="Q112" i="1"/>
  <c r="Q70" i="1"/>
  <c r="Q109" i="1"/>
  <c r="Q101" i="1"/>
  <c r="Q88" i="1"/>
  <c r="Q92" i="1"/>
  <c r="Q76" i="1"/>
  <c r="Q67" i="1"/>
  <c r="Q59" i="1"/>
  <c r="Q51" i="1"/>
  <c r="Q63" i="1"/>
  <c r="Q55" i="1"/>
  <c r="Q35" i="1"/>
  <c r="Q32" i="1"/>
  <c r="Q28" i="1"/>
  <c r="Q24" i="1"/>
  <c r="Q20" i="1"/>
  <c r="Q16" i="1"/>
  <c r="Q34" i="1"/>
  <c r="Q8" i="1"/>
  <c r="O4" i="1"/>
  <c r="Q4" i="1" s="1"/>
  <c r="R4" i="1"/>
  <c r="G82" i="1" l="1"/>
  <c r="G68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X1" i="1"/>
  <c r="G4" i="1"/>
  <c r="A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fxStockData" description="Соединение с запросом &quot;fxStockData&quot; в книге." type="5" refreshedVersion="0" background="1">
    <dbPr connection="Provider=Microsoft.Mashup.OleDb.1;Data Source=$Workbook$;Location=fxStockData;Extended Properties=&quot;&quot;" command="SELECT * FROM [fxStockData]"/>
  </connection>
  <connection id="2" xr16:uid="{00000000-0015-0000-FFFF-FFFF01000000}" keepAlive="1" name="Запрос — Таблица1" description="Соединение с запросом &quot;Таблица1&quot; в книге." type="5" refreshedVersion="6" background="1" saveData="1">
    <dbPr connection="Provider=Microsoft.Mashup.OleDb.1;Data Source=$Workbook$;Location=Таблица1;Extended Properties=&quot;&quot;" command="SELECT * FROM [Таблица1]"/>
  </connection>
</connections>
</file>

<file path=xl/sharedStrings.xml><?xml version="1.0" encoding="utf-8"?>
<sst xmlns="http://schemas.openxmlformats.org/spreadsheetml/2006/main" count="12724" uniqueCount="6512">
  <si>
    <t>Код</t>
  </si>
  <si>
    <t>Поиск Рехт</t>
  </si>
  <si>
    <t>https://www.oreht.ru/modules.php?name=orehtPriceLS&amp;op=Search&amp;page=1&amp;stext=</t>
  </si>
  <si>
    <t>Ссылка</t>
  </si>
  <si>
    <t>Наименование</t>
  </si>
  <si>
    <t>Цена</t>
  </si>
  <si>
    <t>Себестоимость</t>
  </si>
  <si>
    <t>Закупочная цена</t>
  </si>
  <si>
    <t>Наценка</t>
  </si>
  <si>
    <t>Комиссия из парсинга</t>
  </si>
  <si>
    <t>Комиссия Маркет плейса</t>
  </si>
  <si>
    <t>Логистика из парсинга</t>
  </si>
  <si>
    <t>Логистика WB</t>
  </si>
  <si>
    <t>Налоги</t>
  </si>
  <si>
    <t>Целевая цена продажи (Закуп+наценка)</t>
  </si>
  <si>
    <t>Сумма скидки</t>
  </si>
  <si>
    <t>Сумма скидки по промокоду</t>
  </si>
  <si>
    <t>Цена продажи
 (до скидок)</t>
  </si>
  <si>
    <t>Цены лучше всего округлять</t>
  </si>
  <si>
    <t>Наценка к РРЦ</t>
  </si>
  <si>
    <t>Маржинальность продаж</t>
  </si>
  <si>
    <t>Комиссия</t>
  </si>
  <si>
    <t>Логистика</t>
  </si>
  <si>
    <t>Прибыль</t>
  </si>
  <si>
    <t>Отношение</t>
  </si>
  <si>
    <t>Последняя миля</t>
  </si>
  <si>
    <t>Упаковка</t>
  </si>
  <si>
    <t xml:space="preserve">35 </t>
  </si>
  <si>
    <t>https://www.oreht.ru/modules.php?name=orehtPriceLS&amp;op=Search&amp;page=1&amp;stext=269777</t>
  </si>
  <si>
    <t>Салатник ПАПИЙОН 120 мм арт.10274SLB</t>
  </si>
  <si>
    <t xml:space="preserve">18,6 </t>
  </si>
  <si>
    <t>https://www.oreht.ru/modules.php?name=orehtPriceLS&amp;op=Search&amp;page=1&amp;stext=415052</t>
  </si>
  <si>
    <t>Овощечистка 12,5x6,5x0,7см, 2-3 цвета (884-328)</t>
  </si>
  <si>
    <t xml:space="preserve">20,6 </t>
  </si>
  <si>
    <t>https://www.oreht.ru/modules.php?name=orehtPriceLS&amp;op=Search&amp;page=1&amp;stext=205950</t>
  </si>
  <si>
    <t>Красители для декорир. пасх.яиц 15 оттенков hk25726 (22902)</t>
  </si>
  <si>
    <t>https://www.oreht.ru/modules.php?name=orehtPriceLS&amp;op=Search&amp;page=1&amp;stext=294505</t>
  </si>
  <si>
    <t>Стакан БОСТОН ШОТС 60 мл арт.52194SLB</t>
  </si>
  <si>
    <t xml:space="preserve">21,7 </t>
  </si>
  <si>
    <t>https://www.oreht.ru/modules.php?name=orehtPriceLS&amp;op=Search&amp;page=1&amp;stext=118003</t>
  </si>
  <si>
    <t>Cтопка BOSTON SHOTS 40 мл арт.52174SLB</t>
  </si>
  <si>
    <t>https://www.oreht.ru/modules.php?name=orehtPriceLS&amp;op=Search&amp;page=1&amp;stext=321564</t>
  </si>
  <si>
    <t>Веер для мангала "Мастер огня", 214х324 арт.182493</t>
  </si>
  <si>
    <t xml:space="preserve">23,2 </t>
  </si>
  <si>
    <t>https://www.oreht.ru/modules.php?name=orehtPriceLS&amp;op=Search&amp;page=1&amp;stext=160094</t>
  </si>
  <si>
    <t>Тарелка глубокая 160 мм ПАПИЙОН 10275SLB (FD)</t>
  </si>
  <si>
    <t xml:space="preserve">24,2 </t>
  </si>
  <si>
    <t>https://www.oreht.ru/modules.php?name=orehtPriceLS&amp;op=Search&amp;page=1&amp;stext=160095</t>
  </si>
  <si>
    <t>Тарелка 190 мм ПАПИЙОН 10276SLB</t>
  </si>
  <si>
    <t xml:space="preserve">25,1 </t>
  </si>
  <si>
    <t>https://www.oreht.ru/modules.php?name=orehtPriceLS&amp;op=Search&amp;page=1&amp;stext=154456</t>
  </si>
  <si>
    <t>Рыбочистка (ЖУ07.000)</t>
  </si>
  <si>
    <t xml:space="preserve">25,2 </t>
  </si>
  <si>
    <t>https://www.oreht.ru/modules.php?name=orehtPriceLS&amp;op=Search&amp;page=1&amp;stext=299957</t>
  </si>
  <si>
    <t>Ножеточка-колесико, в блистере, CAW1324-K (884-077)</t>
  </si>
  <si>
    <t xml:space="preserve">25,4 </t>
  </si>
  <si>
    <t>https://www.oreht.ru/modules.php?name=orehtPriceLS&amp;op=Search&amp;page=1&amp;stext=368962</t>
  </si>
  <si>
    <t>Ложка гарнирная "Беж" 28,5*6,2 см, цвет бежевый арт.4466923 г.Екатеринбург</t>
  </si>
  <si>
    <t xml:space="preserve">39,2 </t>
  </si>
  <si>
    <t>https://www.oreht.ru/modules.php?name=orehtPriceLS&amp;op=Search&amp;page=1&amp;stext=117941</t>
  </si>
  <si>
    <t>Тарелка из закаленного стекла ATLANTIS 190 мм арт.10234SLB</t>
  </si>
  <si>
    <t xml:space="preserve">25,7 </t>
  </si>
  <si>
    <t>https://www.oreht.ru/modules.php?name=orehtPriceLS&amp;op=Search&amp;page=1&amp;stext=208305</t>
  </si>
  <si>
    <t>Пакеты для заморозки 6л 40*32 20шт. арт.19038</t>
  </si>
  <si>
    <t xml:space="preserve">26,6 </t>
  </si>
  <si>
    <t>https://www.oreht.ru/modules.php?name=orehtPriceLS&amp;op=Search&amp;page=1&amp;stext=313798</t>
  </si>
  <si>
    <t>https://www.oreht.ru/modules.php?name=orehtPriceLS&amp;op=Search&amp;page=1&amp;stext=160098</t>
  </si>
  <si>
    <t>https://www.oreht.ru/modules.php?name=orehtPriceLS&amp;op=Search&amp;page=1&amp;stext=275109</t>
  </si>
  <si>
    <t>https://www.oreht.ru/modules.php?name=orehtPriceLS&amp;op=Search&amp;page=1&amp;stext=90828</t>
  </si>
  <si>
    <t>https://www.oreht.ru/modules.php?name=orehtPriceLS&amp;op=Search&amp;page=1&amp;stext=351982</t>
  </si>
  <si>
    <t>https://www.oreht.ru/modules.php?name=orehtPriceLS&amp;op=Search&amp;page=1&amp;stext=211945</t>
  </si>
  <si>
    <t>https://www.oreht.ru/modules.php?name=orehtPriceLS&amp;op=Search&amp;page=1&amp;stext=204786</t>
  </si>
  <si>
    <t>https://www.oreht.ru/modules.php?name=orehtPriceLS&amp;op=Search&amp;page=1&amp;stext=362474</t>
  </si>
  <si>
    <t>https://www.oreht.ru/modules.php?name=orehtPriceLS&amp;op=Search&amp;page=1&amp;stext=150431</t>
  </si>
  <si>
    <t>https://www.oreht.ru/modules.php?name=orehtPriceLS&amp;op=Search&amp;page=1&amp;stext=400070</t>
  </si>
  <si>
    <t>https://www.oreht.ru/modules.php?name=orehtPriceLS&amp;op=Search&amp;page=1&amp;stext=104953</t>
  </si>
  <si>
    <t>https://www.oreht.ru/modules.php?name=orehtPriceLS&amp;op=Search&amp;page=1&amp;stext=400073</t>
  </si>
  <si>
    <t>https://www.oreht.ru/modules.php?name=orehtPriceLS&amp;op=Search&amp;page=1&amp;stext=389061</t>
  </si>
  <si>
    <t>https://www.oreht.ru/modules.php?name=orehtPriceLS&amp;op=Search&amp;page=1&amp;stext=415044</t>
  </si>
  <si>
    <t>https://www.oreht.ru/modules.php?name=orehtPriceLS&amp;op=Search&amp;page=1&amp;stext=400068</t>
  </si>
  <si>
    <t>https://www.oreht.ru/modules.php?name=orehtPriceLS&amp;op=Search&amp;page=1&amp;stext=400067</t>
  </si>
  <si>
    <t>https://www.oreht.ru/modules.php?name=orehtPriceLS&amp;op=Search&amp;page=1&amp;stext=400069</t>
  </si>
  <si>
    <t>Блэк Половник, жаропрочный нейлон WH 1013-8 (881-244)</t>
  </si>
  <si>
    <t xml:space="preserve">29,9 </t>
  </si>
  <si>
    <t>https://www.oreht.ru/modules.php?name=orehtPriceLS&amp;op=Search&amp;page=1&amp;stext=186402</t>
  </si>
  <si>
    <t>Терка Плоская КП01.000.02 морковная "КВАРЦ"</t>
  </si>
  <si>
    <t xml:space="preserve">32,5 </t>
  </si>
  <si>
    <t>https://www.oreht.ru/modules.php?name=orehtPriceLS&amp;op=Search&amp;page=1&amp;stext=186404</t>
  </si>
  <si>
    <t>Терка Плоская КП01.000.03 "КВАРЦ"</t>
  </si>
  <si>
    <t>https://www.oreht.ru/modules.php?name=orehtPriceLS&amp;op=Search&amp;page=1&amp;stext=400072</t>
  </si>
  <si>
    <t>Блэк Толкушка, жаропрочный нейлон WH 1013-12 (881-247)</t>
  </si>
  <si>
    <t xml:space="preserve">33,2 </t>
  </si>
  <si>
    <t>https://www.oreht.ru/modules.php?name=orehtPriceLS&amp;op=Search&amp;page=1&amp;stext=118267</t>
  </si>
  <si>
    <t>Тарелка SULTANA d=195 мм арт.10289SLB</t>
  </si>
  <si>
    <t>https://www.oreht.ru/modules.php?name=orehtPriceLS&amp;op=Search&amp;page=1&amp;stext=404637</t>
  </si>
  <si>
    <t>Элемент холода IP-150 арт.005112</t>
  </si>
  <si>
    <t xml:space="preserve">33,8 </t>
  </si>
  <si>
    <t>https://www.oreht.ru/modules.php?name=orehtPriceLS&amp;op=Search&amp;page=1&amp;stext=189633</t>
  </si>
  <si>
    <t>Щепа для копчения алыча 1 дм3 (уп.50шт.)</t>
  </si>
  <si>
    <t xml:space="preserve">33,9 </t>
  </si>
  <si>
    <t>https://www.oreht.ru/modules.php?name=orehtPriceLS&amp;op=Search&amp;page=1&amp;stext=189625</t>
  </si>
  <si>
    <t>Щепа для копчения ассорти 1 дм3 (уп.50шт.)</t>
  </si>
  <si>
    <t>https://www.oreht.ru/modules.php?name=orehtPriceLS&amp;op=Search&amp;page=1&amp;stext=189627</t>
  </si>
  <si>
    <t>Щепа для копчения вишня 1 дм3 (уп.50шт.)</t>
  </si>
  <si>
    <t>https://www.oreht.ru/modules.php?name=orehtPriceLS&amp;op=Search&amp;page=1&amp;stext=189628</t>
  </si>
  <si>
    <t>Щепа для копчения груша 1 дм3 (уп.50шт.)</t>
  </si>
  <si>
    <t>https://www.oreht.ru/modules.php?name=orehtPriceLS&amp;op=Search&amp;page=1&amp;stext=189632</t>
  </si>
  <si>
    <t>Щепа для копчения ольха 1 дм3 (уп.50шт.)</t>
  </si>
  <si>
    <t>https://www.oreht.ru/modules.php?name=orehtPriceLS&amp;op=Search&amp;page=1&amp;stext=189630</t>
  </si>
  <si>
    <t>Щепа для копчения слива 1 дм3 (уп.50шт.)</t>
  </si>
  <si>
    <t>https://www.oreht.ru/modules.php?name=orehtPriceLS&amp;op=Search&amp;page=1&amp;stext=189618</t>
  </si>
  <si>
    <t>Щепа для копчения яблоня 1 дм3 (уп.50шт.)</t>
  </si>
  <si>
    <t>https://www.oreht.ru/modules.php?name=orehtPriceLS&amp;op=Search&amp;page=1&amp;stext=415048</t>
  </si>
  <si>
    <t>Штопор-открывалка для консервных банок, нерж.сталь, полипропилен, 3 цвета (884-044)</t>
  </si>
  <si>
    <t>https://www.oreht.ru/modules.php?name=orehtPriceLS&amp;op=Search&amp;page=1&amp;stext=437094</t>
  </si>
  <si>
    <t>Овощечистка, 148 мм. арт.100565</t>
  </si>
  <si>
    <t>https://www.oreht.ru/modules.php?name=orehtPriceLS&amp;op=Search&amp;page=1&amp;stext=384048</t>
  </si>
  <si>
    <t>Половник "Орихалк" 30*9 см арт.156837 г.Екатеринбург</t>
  </si>
  <si>
    <t>https://www.oreht.ru/modules.php?name=orehtPriceLS&amp;op=Search&amp;page=1&amp;stext=293109</t>
  </si>
  <si>
    <t>Нож консервный Эконом, 160 мм. арт.003708</t>
  </si>
  <si>
    <t>https://www.oreht.ru/modules.php?name=orehtPriceLS&amp;op=Search&amp;page=1&amp;stext=317514</t>
  </si>
  <si>
    <t>Графин"Пирамида" арт.П-31-500</t>
  </si>
  <si>
    <t xml:space="preserve">42 </t>
  </si>
  <si>
    <t>https://www.oreht.ru/modules.php?name=orehtPriceLS&amp;op=Search&amp;page=1&amp;stext=283501</t>
  </si>
  <si>
    <t>Декоратор для овощей "Цветок" 2цв. NEW, 53.102 (МультиДом)</t>
  </si>
  <si>
    <t xml:space="preserve">37,9 </t>
  </si>
  <si>
    <t>https://www.oreht.ru/modules.php?name=orehtPriceLS&amp;op=Search&amp;page=1&amp;stext=370996</t>
  </si>
  <si>
    <t>Лопатка из бамбука Foresta di bambu, 30*6 см арт.007113</t>
  </si>
  <si>
    <t xml:space="preserve">38 </t>
  </si>
  <si>
    <t>https://www.oreht.ru/modules.php?name=orehtPriceLS&amp;op=Search&amp;page=1&amp;stext=384025</t>
  </si>
  <si>
    <t>Лопатка с прорезями "Орихалк" 30*8 см арт.156836 г.Екатеринбург</t>
  </si>
  <si>
    <t xml:space="preserve">39 </t>
  </si>
  <si>
    <t>https://www.oreht.ru/modules.php?name=orehtPriceLS&amp;op=Search&amp;page=1&amp;stext=435324</t>
  </si>
  <si>
    <t>Форма для выпечки кулича бумажная "Орнамент". Набор из 3 шт. 9x9см МТ8-112</t>
  </si>
  <si>
    <t xml:space="preserve">39,3 </t>
  </si>
  <si>
    <t>https://www.oreht.ru/modules.php?name=orehtPriceLS&amp;op=Search&amp;page=1&amp;stext=324187</t>
  </si>
  <si>
    <t>Ложка деревянная чайная с худ.росписью "Чернушка" (6502)</t>
  </si>
  <si>
    <t xml:space="preserve">42,2 </t>
  </si>
  <si>
    <t>https://www.oreht.ru/modules.php?name=orehtPriceLS&amp;op=Search&amp;page=1&amp;stext=431140</t>
  </si>
  <si>
    <t>Пепельница 100мм, Общепит DX035</t>
  </si>
  <si>
    <t>https://www.oreht.ru/modules.php?name=orehtPriceLS&amp;op=Search&amp;page=1&amp;stext=443703</t>
  </si>
  <si>
    <t>Кружка БЕЙЗИК 340 мл арт.55531SLB/6</t>
  </si>
  <si>
    <t>https://www.oreht.ru/modules.php?name=orehtPriceLS&amp;op=Search&amp;page=1&amp;stext=118157</t>
  </si>
  <si>
    <t>Тарелка из закаленного стекла MARINE 196*160 мм ( селедочница)арт.10256SLB</t>
  </si>
  <si>
    <t xml:space="preserve">42,7 </t>
  </si>
  <si>
    <t>https://www.oreht.ru/modules.php?name=orehtPriceLS&amp;op=Search&amp;page=1&amp;stext=354307</t>
  </si>
  <si>
    <t>Салатник Гастробутик (соусник) 120 мл арт.53962SLB</t>
  </si>
  <si>
    <t xml:space="preserve">40,9 </t>
  </si>
  <si>
    <t>https://www.oreht.ru/modules.php?name=orehtPriceLS&amp;op=Search&amp;page=1&amp;stext=377701</t>
  </si>
  <si>
    <t>Банка для хранения стекл. 312 мл с мет. крышкой ЛАВРОВЫЙ ЛИСТ (принт 1) 626655</t>
  </si>
  <si>
    <t>https://www.oreht.ru/modules.php?name=orehtPriceLS&amp;op=Search&amp;page=1&amp;stext=331114</t>
  </si>
  <si>
    <t>Камень точильный "Лодочка" 2-х сторонний, 22,5х3,5х1,5см (889-337)</t>
  </si>
  <si>
    <t xml:space="preserve">41,6 </t>
  </si>
  <si>
    <t>https://www.oreht.ru/modules.php?name=orehtPriceLS&amp;op=Search&amp;page=1&amp;stext=92016</t>
  </si>
  <si>
    <t>Косточковыдавливатель (вишневыдавл.) (4038)</t>
  </si>
  <si>
    <t>https://www.oreht.ru/modules.php?name=orehtPriceLS&amp;op=Search&amp;page=1&amp;stext=259968</t>
  </si>
  <si>
    <t>АК-631Р/3 Набор кулинарных форм 3 шт., 8, 6 и 5 см "Сердечки" (72)</t>
  </si>
  <si>
    <t xml:space="preserve">41,2 </t>
  </si>
  <si>
    <t>https://www.oreht.ru/modules.php?name=orehtPriceLS&amp;op=Search&amp;page=1&amp;stext=211307</t>
  </si>
  <si>
    <t>Мочалка для эмали и тефлона (2шт) арт.310287</t>
  </si>
  <si>
    <t xml:space="preserve">41,4 </t>
  </si>
  <si>
    <t>https://www.oreht.ru/modules.php?name=orehtPriceLS&amp;op=Search&amp;page=1&amp;stext=368965</t>
  </si>
  <si>
    <t>Лопатка с прорезями "Беж" 30*8,5*5, см, цвет бежевый арт.4466924 г.Екатеринбург</t>
  </si>
  <si>
    <t xml:space="preserve">39,5 </t>
  </si>
  <si>
    <t>https://www.oreht.ru/modules.php?name=orehtPriceLS&amp;op=Search&amp;page=1&amp;stext=414992</t>
  </si>
  <si>
    <t>Решетка для мясорубки, d5,3см (889-306)</t>
  </si>
  <si>
    <t xml:space="preserve">41,7 </t>
  </si>
  <si>
    <t>https://www.oreht.ru/modules.php?name=orehtPriceLS&amp;op=Search&amp;page=1&amp;stext=322802</t>
  </si>
  <si>
    <t>Кружка 250 мл "OGNI GIORNO" ДЫМКА арт.62008</t>
  </si>
  <si>
    <t xml:space="preserve">41,9 </t>
  </si>
  <si>
    <t>https://www.oreht.ru/modules.php?name=orehtPriceLS&amp;op=Search&amp;page=1&amp;stext=118022</t>
  </si>
  <si>
    <t>Салатник CHEFS 120 мм арт.53543SLB</t>
  </si>
  <si>
    <t>https://www.oreht.ru/modules.php?name=orehtPriceLS&amp;op=Search&amp;page=1&amp;stext=415060</t>
  </si>
  <si>
    <t>Решетка для мясорубки, мелкие отверстия, d5,3см (889-403)</t>
  </si>
  <si>
    <t xml:space="preserve">42,4 </t>
  </si>
  <si>
    <t>https://www.oreht.ru/modules.php?name=orehtPriceLS&amp;op=Search&amp;page=1&amp;stext=182563</t>
  </si>
  <si>
    <t>Тарелка глубокая из упрочненного стекла 190 мм ХЭЙЗ арт.10375SLB</t>
  </si>
  <si>
    <t>https://www.oreht.ru/modules.php?name=orehtPriceLS&amp;op=Search&amp;page=1&amp;stext=293118</t>
  </si>
  <si>
    <t>Шумовка глубокая KA-SC, Размер: 34*12,5*6 см, материал: нейлон арт.970047</t>
  </si>
  <si>
    <t>https://www.oreht.ru/modules.php?name=orehtPriceLS&amp;op=Search&amp;page=1&amp;stext=215368</t>
  </si>
  <si>
    <t>Тарелка SULTANA d=240 мм арт.10288SLB</t>
  </si>
  <si>
    <t xml:space="preserve">43,3 </t>
  </si>
  <si>
    <t>https://www.oreht.ru/modules.php?name=orehtPriceLS&amp;op=Search&amp;page=1&amp;stext=331104</t>
  </si>
  <si>
    <t>SATOSHI Дайтани Овощечистка, керамическое вертикальное лезвие (803-148)</t>
  </si>
  <si>
    <t>https://www.oreht.ru/modules.php?name=orehtPriceLS&amp;op=Search&amp;page=1&amp;stext=182547</t>
  </si>
  <si>
    <t>Фольга 29 см х 6 м (11) "Саянская Фольга" универсал (У6Пх35-Припэк) Россия ФЛГ28247</t>
  </si>
  <si>
    <t>https://www.oreht.ru/modules.php?name=orehtPriceLS&amp;op=Search&amp;page=1&amp;stext=400125</t>
  </si>
  <si>
    <t>Яблокорезка пластик, металл, 17,5x10,3x3,5см (884-349)</t>
  </si>
  <si>
    <t>https://www.oreht.ru/modules.php?name=orehtPriceLS&amp;op=Search&amp;page=1&amp;stext=150346</t>
  </si>
  <si>
    <t>Овощерезка - винегретница 8мм (1057)</t>
  </si>
  <si>
    <t xml:space="preserve">44,8 </t>
  </si>
  <si>
    <t>https://www.oreht.ru/modules.php?name=orehtPriceLS&amp;op=Search&amp;page=1&amp;stext=400047</t>
  </si>
  <si>
    <t>Форма для кулича бумажная "Ажур". Набор из 3 шт. 11*8,5см МТ8-123</t>
  </si>
  <si>
    <t xml:space="preserve">45 </t>
  </si>
  <si>
    <t>https://www.oreht.ru/modules.php?name=orehtPriceLS&amp;op=Search&amp;page=1&amp;stext=436888</t>
  </si>
  <si>
    <t>Сковорододержатель "Чапельник" с деревянной ручкой. арт.1271</t>
  </si>
  <si>
    <t>https://www.oreht.ru/modules.php?name=orehtPriceLS&amp;op=Search&amp;page=1&amp;stext=117971</t>
  </si>
  <si>
    <t>Соусник BASIC 60 мл арт.55002SLB</t>
  </si>
  <si>
    <t xml:space="preserve">45,1 </t>
  </si>
  <si>
    <t>https://www.oreht.ru/modules.php?name=orehtPriceLS&amp;op=Search&amp;page=1&amp;stext=117115</t>
  </si>
  <si>
    <t>Салатник ЭМПИЛАБЛЬ ЭКЛИПС 12см H9991</t>
  </si>
  <si>
    <t xml:space="preserve">44,5 </t>
  </si>
  <si>
    <t>https://www.oreht.ru/modules.php?name=orehtPriceLS&amp;op=Search&amp;page=1&amp;stext=384055</t>
  </si>
  <si>
    <t>Шумовка "Антрацитовый блеск" 30 см арт.124637 г.Екатеринбург</t>
  </si>
  <si>
    <t>https://www.oreht.ru/modules.php?name=orehtPriceLS&amp;op=Search&amp;page=1&amp;stext=250921</t>
  </si>
  <si>
    <t>Деревянная ложка чайная "Зеленушка" (7202 )</t>
  </si>
  <si>
    <t>https://www.oreht.ru/modules.php?name=orehtPriceLS&amp;op=Search&amp;page=1&amp;stext=384018</t>
  </si>
  <si>
    <t>Ложка кулинарная 30 см "Русская душа" арт.835153 г.Екатеринбург</t>
  </si>
  <si>
    <t>https://www.oreht.ru/modules.php?name=orehtPriceLS&amp;op=Search&amp;page=1&amp;stext=261190</t>
  </si>
  <si>
    <t>Стакан ПАБ 300 мл арт.42116SLB</t>
  </si>
  <si>
    <t xml:space="preserve">46,9 </t>
  </si>
  <si>
    <t>https://www.oreht.ru/modules.php?name=orehtPriceLS&amp;op=Search&amp;page=1&amp;stext=442161</t>
  </si>
  <si>
    <t>Скалка деревянная цельная Береза 30 см 2401</t>
  </si>
  <si>
    <t>https://www.oreht.ru/modules.php?name=orehtPriceLS&amp;op=Search&amp;page=1&amp;stext=201259</t>
  </si>
  <si>
    <t>Салатник из закаленного стекла MOSAIC 160 мм арт.10294SLB</t>
  </si>
  <si>
    <t xml:space="preserve">47,2 </t>
  </si>
  <si>
    <t>https://www.oreht.ru/modules.php?name=orehtPriceLS&amp;op=Search&amp;page=1&amp;stext=189608</t>
  </si>
  <si>
    <t>Щепа для копчения абрикос 3 дм3 (уп.30шт.)</t>
  </si>
  <si>
    <t xml:space="preserve">47,4 </t>
  </si>
  <si>
    <t>https://www.oreht.ru/modules.php?name=orehtPriceLS&amp;op=Search&amp;page=1&amp;stext=189616</t>
  </si>
  <si>
    <t>Щепа для копчения алыча 3 дм3 (уп.30шт.)</t>
  </si>
  <si>
    <t>https://www.oreht.ru/modules.php?name=orehtPriceLS&amp;op=Search&amp;page=1&amp;stext=189609</t>
  </si>
  <si>
    <t>Щепа для копчения ассорти 3 дм3 (уп.30шт.)</t>
  </si>
  <si>
    <t>https://www.oreht.ru/modules.php?name=orehtPriceLS&amp;op=Search&amp;page=1&amp;stext=322812</t>
  </si>
  <si>
    <t>Тарелка десертная 17 см "BASILICO" ДЫМКА арт.62071-01</t>
  </si>
  <si>
    <t xml:space="preserve">47,7 </t>
  </si>
  <si>
    <t>https://www.oreht.ru/modules.php?name=orehtPriceLS&amp;op=Search&amp;page=1&amp;stext=305086</t>
  </si>
  <si>
    <t>Тарелка десертная ЛУИЗ ЭКЛИПС 19см арт.N6765</t>
  </si>
  <si>
    <t>https://www.oreht.ru/modules.php?name=orehtPriceLS&amp;op=Search&amp;page=1&amp;stext=293420</t>
  </si>
  <si>
    <t>Банка для хранения варенья c крышкой СМОРОДИНА , 0,8л 626018</t>
  </si>
  <si>
    <t>https://www.oreht.ru/modules.php?name=orehtPriceLS&amp;op=Search&amp;page=1&amp;stext=322807</t>
  </si>
  <si>
    <t>Бульонница 510 мл с ушками "IL PRIMO" Дымка 62007-03 арт.62007-03</t>
  </si>
  <si>
    <t>https://www.oreht.ru/modules.php?name=orehtPriceLS&amp;op=Search&amp;page=1&amp;stext=293114</t>
  </si>
  <si>
    <t>Сырорезка «Струна» арт.004488</t>
  </si>
  <si>
    <t>https://www.oreht.ru/modules.php?name=orehtPriceLS&amp;op=Search&amp;page=1&amp;stext=423181</t>
  </si>
  <si>
    <t>Терка для моркови по- корейски ТК-1</t>
  </si>
  <si>
    <t xml:space="preserve">48,1 </t>
  </si>
  <si>
    <t>https://www.oreht.ru/modules.php?name=orehtPriceLS&amp;op=Search&amp;page=1&amp;stext=273807</t>
  </si>
  <si>
    <t>Приспособления для нарезки серцевин перца (3204)</t>
  </si>
  <si>
    <t>https://www.oreht.ru/modules.php?name=orehtPriceLS&amp;op=Search&amp;page=1&amp;stext=445789</t>
  </si>
  <si>
    <t>Овощечистка керамическая MENTOLO арт.103620</t>
  </si>
  <si>
    <t>https://www.oreht.ru/modules.php?name=orehtPriceLS&amp;op=Search&amp;page=1&amp;stext=398862</t>
  </si>
  <si>
    <t>Стакан Chroma 260 мл арт.55773SLBT</t>
  </si>
  <si>
    <t xml:space="preserve">48,4 </t>
  </si>
  <si>
    <t>https://www.oreht.ru/modules.php?name=orehtPriceLS&amp;op=Search&amp;page=1&amp;stext=415011</t>
  </si>
  <si>
    <t>Нож для овощей в чехле, 9см, 4 цвета (837-050)</t>
  </si>
  <si>
    <t>https://www.oreht.ru/modules.php?name=orehtPriceLS&amp;op=Search&amp;page=1&amp;stext=341275</t>
  </si>
  <si>
    <t>Деревянная ложка чайная"Краснушка" (6822)</t>
  </si>
  <si>
    <t xml:space="preserve">48,7 </t>
  </si>
  <si>
    <t>https://www.oreht.ru/modules.php?name=orehtPriceLS&amp;op=Search&amp;page=1&amp;stext=211917</t>
  </si>
  <si>
    <t>Бокал ИЗАБЕЛЛА 350 мл 440271SLB</t>
  </si>
  <si>
    <t>https://www.oreht.ru/modules.php?name=orehtPriceLS&amp;op=Search&amp;page=1&amp;stext=432333</t>
  </si>
  <si>
    <t>Tramontina Athus Нож для мяса 12.7см, белая ручка 23081/085 (871-155)</t>
  </si>
  <si>
    <t>https://www.oreht.ru/modules.php?name=orehtPriceLS&amp;op=Search&amp;page=1&amp;stext=407123</t>
  </si>
  <si>
    <t>Салатник 15см 425мл, Общепит SRHT006</t>
  </si>
  <si>
    <t>https://www.oreht.ru/modules.php?name=orehtPriceLS&amp;op=Search&amp;page=1&amp;stext=400079</t>
  </si>
  <si>
    <t>VETTA Штопор с открывалкой KL36A11 (882-145)</t>
  </si>
  <si>
    <t>https://www.oreht.ru/modules.php?name=orehtPriceLS&amp;op=Search&amp;page=1&amp;stext=366662</t>
  </si>
  <si>
    <t>Нить кулинарная 100 м арт.007434</t>
  </si>
  <si>
    <t xml:space="preserve">51,2 </t>
  </si>
  <si>
    <t>https://www.oreht.ru/modules.php?name=orehtPriceLS&amp;op=Search&amp;page=1&amp;stext=400730</t>
  </si>
  <si>
    <t>ЁЖИКИ" для розжига "ПИКНИЧОК", 6 шт. в упаковке, АКЦИЯ /20 (401-561)</t>
  </si>
  <si>
    <t>https://www.oreht.ru/modules.php?name=orehtPriceLS&amp;op=Search&amp;page=1&amp;stext=418592</t>
  </si>
  <si>
    <t>Подставка под горячее "Тигр Кайфолов". Размер 14х14см. MT88-405</t>
  </si>
  <si>
    <t xml:space="preserve">51,4 </t>
  </si>
  <si>
    <t>https://www.oreht.ru/modules.php?name=orehtPriceLS&amp;op=Search&amp;page=1&amp;stext=402231</t>
  </si>
  <si>
    <t>Нож "Элегант" для овощей (для томатов) 220/125мм (С1369/225)</t>
  </si>
  <si>
    <t>https://www.oreht.ru/modules.php?name=orehtPriceLS&amp;op=Search&amp;page=1&amp;stext=415051</t>
  </si>
  <si>
    <t>VETTA Ножницы кухонные 21см, с орехоколом S101185 (884-309)</t>
  </si>
  <si>
    <t xml:space="preserve">51,6 </t>
  </si>
  <si>
    <t>https://www.oreht.ru/modules.php?name=orehtPriceLS&amp;op=Search&amp;page=1&amp;stext=410949</t>
  </si>
  <si>
    <t>Салатник 12.5см, Eataly BY13LTW50-4</t>
  </si>
  <si>
    <t xml:space="preserve">48,9 </t>
  </si>
  <si>
    <t>https://www.oreht.ru/modules.php?name=orehtPriceLS&amp;op=Search&amp;page=1&amp;stext=421613</t>
  </si>
  <si>
    <t>Пепельница "Бланш" d=8,7 см арт.2784669 г.Екатеринбург</t>
  </si>
  <si>
    <t>https://www.oreht.ru/modules.php?name=orehtPriceLS&amp;op=Search&amp;page=1&amp;stext=262901</t>
  </si>
  <si>
    <t>https://www.oreht.ru/modules.php?name=orehtPriceLS&amp;op=Search&amp;page=1&amp;stext=383569</t>
  </si>
  <si>
    <t>Лопатка с отверстием 32см пластиковая (широкая) (5022)</t>
  </si>
  <si>
    <t xml:space="preserve">52,1 </t>
  </si>
  <si>
    <t>https://www.oreht.ru/modules.php?name=orehtPriceLS&amp;op=Search&amp;page=1&amp;stext=322820</t>
  </si>
  <si>
    <t>Бульонница 510 мл с ушками Дымка арт.62046-03</t>
  </si>
  <si>
    <t xml:space="preserve">52,3 </t>
  </si>
  <si>
    <t>https://www.oreht.ru/modules.php?name=orehtPriceLS&amp;op=Search&amp;page=1&amp;stext=270676</t>
  </si>
  <si>
    <t>Лопатка BAMBOO арт.AGB110</t>
  </si>
  <si>
    <t>https://www.oreht.ru/modules.php?name=orehtPriceLS&amp;op=Search&amp;page=1&amp;stext=278717</t>
  </si>
  <si>
    <t>Ложка BAMBOO арт.AGB130</t>
  </si>
  <si>
    <t xml:space="preserve">51,5 </t>
  </si>
  <si>
    <t>https://www.oreht.ru/modules.php?name=orehtPriceLS&amp;op=Search&amp;page=1&amp;stext=445252</t>
  </si>
  <si>
    <t>Кружка 360мл бочка, Голубой ситец RX006 (12/48)</t>
  </si>
  <si>
    <t xml:space="preserve">53,8 </t>
  </si>
  <si>
    <t>https://www.oreht.ru/modules.php?name=orehtPriceLS&amp;op=Search&amp;page=1&amp;stext=322803</t>
  </si>
  <si>
    <t>Кружка 300 мл "MATTINA DI CAFE" ДЫМКА арт.62005</t>
  </si>
  <si>
    <t xml:space="preserve">53,2 </t>
  </si>
  <si>
    <t>https://www.oreht.ru/modules.php?name=orehtPriceLS&amp;op=Search&amp;page=1&amp;stext=322804</t>
  </si>
  <si>
    <t>Кружка 310 мл "MUNITI" ДЫМКА арт.62010-12</t>
  </si>
  <si>
    <t>https://www.oreht.ru/modules.php?name=orehtPriceLS&amp;op=Search&amp;page=1&amp;stext=444912</t>
  </si>
  <si>
    <t>Нож универсальный из нержавеющей стали с деревянной ручкой (лезвие 12см, рукоятка 10см) (5309)</t>
  </si>
  <si>
    <t>https://www.oreht.ru/modules.php?name=orehtPriceLS&amp;op=Search&amp;page=1&amp;stext=428147</t>
  </si>
  <si>
    <t>Кружка 360мл ф.цилиндр, белая WB360 (48/12)</t>
  </si>
  <si>
    <t xml:space="preserve">53,6 </t>
  </si>
  <si>
    <t>https://www.oreht.ru/modules.php?name=orehtPriceLS&amp;op=Search&amp;page=1&amp;stext=322819</t>
  </si>
  <si>
    <t>Кружка 300 мл "ELICA" ДЫМКА (ОБРЕШЕТКА) арт.62059-01</t>
  </si>
  <si>
    <t xml:space="preserve">53,7 </t>
  </si>
  <si>
    <t>https://www.oreht.ru/modules.php?name=orehtPriceLS&amp;op=Search&amp;page=1&amp;stext=428515</t>
  </si>
  <si>
    <t>Пиала 350мл/11см, Хлопок зеленый SRZKW45G11 HCS-911</t>
  </si>
  <si>
    <t>https://www.oreht.ru/modules.php?name=orehtPriceLS&amp;op=Search&amp;page=1&amp;stext=428517</t>
  </si>
  <si>
    <t>Пиала 350мл/11см, Хлопок красный SRZKW45G11 HCS-913</t>
  </si>
  <si>
    <t>https://www.oreht.ru/modules.php?name=orehtPriceLS&amp;op=Search&amp;page=1&amp;stext=234192</t>
  </si>
  <si>
    <t>Тарелка десертная ОКЕАН ЭКЛИПС 20см арт.L5080</t>
  </si>
  <si>
    <t>https://www.oreht.ru/modules.php?name=orehtPriceLS&amp;op=Search&amp;page=1&amp;stext=111565</t>
  </si>
  <si>
    <t>Венчик "NERO" 93-AK2C-13 (REGENT)</t>
  </si>
  <si>
    <t>https://www.oreht.ru/modules.php?name=orehtPriceLS&amp;op=Search&amp;page=1&amp;stext=245416</t>
  </si>
  <si>
    <t>Спички Каминные 205мм, 20шт /60/20 61030 BOYSCOUT</t>
  </si>
  <si>
    <t xml:space="preserve">55,4 </t>
  </si>
  <si>
    <t>https://www.oreht.ru/modules.php?name=orehtPriceLS&amp;op=Search&amp;page=1&amp;stext=414128</t>
  </si>
  <si>
    <t>Бульонница 670мл/15см, Лилия геральдическая 1 TC13013154B HCS-909</t>
  </si>
  <si>
    <t>https://www.oreht.ru/modules.php?name=orehtPriceLS&amp;op=Search&amp;page=1&amp;stext=414129</t>
  </si>
  <si>
    <t>Бульонница 670мл/15см, Лилия геральдическая 2 TC13013154B HCS-910</t>
  </si>
  <si>
    <t xml:space="preserve">934 </t>
  </si>
  <si>
    <t xml:space="preserve">1078 </t>
  </si>
  <si>
    <t xml:space="preserve">968 </t>
  </si>
  <si>
    <t>https://www.oreht.ru/modules.php?name=orehtPriceLS&amp;op=Search&amp;page=1&amp;stext=365669</t>
  </si>
  <si>
    <t>Кронштейн "Holder" - LCD-T4624-B</t>
  </si>
  <si>
    <t xml:space="preserve">926 </t>
  </si>
  <si>
    <t>https://www.oreht.ru/modules.php?name=orehtPriceLS&amp;op=Search&amp;page=1&amp;stext=450112</t>
  </si>
  <si>
    <t>Утюг ENERGY EN-314 фиолетовый (2000Вт, пар, спрей, пар. удар, керам. подошва, самоочистка) арт.27002</t>
  </si>
  <si>
    <t>https://www.oreht.ru/modules.php?name=orehtPriceLS&amp;op=Search&amp;page=1&amp;stext=328501</t>
  </si>
  <si>
    <t>Вентилятор MYSTERY MSF-2444</t>
  </si>
  <si>
    <t xml:space="preserve">928 </t>
  </si>
  <si>
    <t>https://www.oreht.ru/modules.php?name=orehtPriceLS&amp;op=Search&amp;page=1&amp;stext=413957</t>
  </si>
  <si>
    <t>SC-HM40S17 Миксер GREEN LINE</t>
  </si>
  <si>
    <t xml:space="preserve">929 </t>
  </si>
  <si>
    <t>https://www.oreht.ru/modules.php?name=orehtPriceLS&amp;op=Search&amp;page=1&amp;stext=267550</t>
  </si>
  <si>
    <t>SC-TM11013 Тостер (белый)</t>
  </si>
  <si>
    <t>https://www.oreht.ru/modules.php?name=orehtPriceLS&amp;op=Search&amp;page=1&amp;stext=398405</t>
  </si>
  <si>
    <t>Фен Centek CT-2239 (черн), 2200Вт, 2 скорости, 3 режима, концентратор, холодный обдув</t>
  </si>
  <si>
    <t>https://www.oreht.ru/modules.php?name=orehtPriceLS&amp;op=Search&amp;page=1&amp;stext=446761</t>
  </si>
  <si>
    <t>Утюг econ ECO-BI2201</t>
  </si>
  <si>
    <t>https://www.oreht.ru/modules.php?name=orehtPriceLS&amp;op=Search&amp;page=1&amp;stext=255909</t>
  </si>
  <si>
    <t>Фен Vitek VT-2269</t>
  </si>
  <si>
    <t xml:space="preserve">939 </t>
  </si>
  <si>
    <t>https://www.oreht.ru/modules.php?name=orehtPriceLS&amp;op=Search&amp;page=1&amp;stext=399656</t>
  </si>
  <si>
    <t>Фен Vitek VT-8213</t>
  </si>
  <si>
    <t xml:space="preserve">947 </t>
  </si>
  <si>
    <t>https://www.oreht.ru/modules.php?name=orehtPriceLS&amp;op=Search&amp;page=1&amp;stext=241161</t>
  </si>
  <si>
    <t>Утюг электрический LIRA LR 0603 (Подошва с керамическим покрытием, мощ.2400Вт)</t>
  </si>
  <si>
    <t>https://www.oreht.ru/modules.php?name=orehtPriceLS&amp;op=Search&amp;page=1&amp;stext=449277</t>
  </si>
  <si>
    <t>SC-SI30P15 Электрический утюг (красный)</t>
  </si>
  <si>
    <t xml:space="preserve">949 </t>
  </si>
  <si>
    <t>https://www.oreht.ru/modules.php?name=orehtPriceLS&amp;op=Search&amp;page=1&amp;stext=124897</t>
  </si>
  <si>
    <t>Эл. чайник (2 л, г.Москва) ЭЧ2</t>
  </si>
  <si>
    <t xml:space="preserve">954 </t>
  </si>
  <si>
    <t>https://www.oreht.ru/modules.php?name=orehtPriceLS&amp;op=Search&amp;page=1&amp;stext=459379</t>
  </si>
  <si>
    <t>Утюг ЯРОМИР ЯР-032 зеленый с белым: 2400 Вт, КЕРАМИКА,ОТПАРИВАНИЕ,СУХАЯ ГЛАЖКА (10)</t>
  </si>
  <si>
    <t>https://www.oreht.ru/modules.php?name=orehtPriceLS&amp;op=Search&amp;page=1&amp;stext=275152</t>
  </si>
  <si>
    <t>Набор для стрижки Galaxy GL 4154</t>
  </si>
  <si>
    <t xml:space="preserve">958 </t>
  </si>
  <si>
    <t>https://www.oreht.ru/modules.php?name=orehtPriceLS&amp;op=Search&amp;page=1&amp;stext=276594</t>
  </si>
  <si>
    <t>Кронштейн "Holder" - LCD-F6618-B</t>
  </si>
  <si>
    <t xml:space="preserve">962 </t>
  </si>
  <si>
    <t>https://www.oreht.ru/modules.php?name=orehtPriceLS&amp;op=Search&amp;page=1&amp;stext=281383</t>
  </si>
  <si>
    <t>Электроводонагреватель ЭВБО-22 ЭлБЭТ (с руч.рег.t)</t>
  </si>
  <si>
    <t xml:space="preserve">963 </t>
  </si>
  <si>
    <t>https://www.oreht.ru/modules.php?name=orehtPriceLS&amp;op=Search&amp;page=1&amp;stext=397079</t>
  </si>
  <si>
    <t>Автоколонки Calcell CB-404</t>
  </si>
  <si>
    <t xml:space="preserve">966 </t>
  </si>
  <si>
    <t>https://www.oreht.ru/modules.php?name=orehtPriceLS&amp;op=Search&amp;page=1&amp;stext=286627</t>
  </si>
  <si>
    <t>SC-SH65R55 Бритва роторная, аккумулятор+сеть (черный)</t>
  </si>
  <si>
    <t xml:space="preserve">967 </t>
  </si>
  <si>
    <t>https://www.oreht.ru/modules.php?name=orehtPriceLS&amp;op=Search&amp;page=1&amp;stext=402859</t>
  </si>
  <si>
    <t>Вентилятор напольный Centek CT-5004 Blue, 40Вт, (2шт./уп, LED, 43см, 1.25м, лучевая решетка</t>
  </si>
  <si>
    <t>https://www.oreht.ru/modules.php?name=orehtPriceLS&amp;op=Search&amp;page=1&amp;stext=176536</t>
  </si>
  <si>
    <t>Щипцы PHS 2090K 35W для моделирования Черный POLARIS</t>
  </si>
  <si>
    <t xml:space="preserve">970 </t>
  </si>
  <si>
    <t>https://www.oreht.ru/modules.php?name=orehtPriceLS&amp;op=Search&amp;page=1&amp;stext=351570</t>
  </si>
  <si>
    <t>Инфракрасный обогреватель ИКО-800Л (кварцевый) Ресанта 67/5/9</t>
  </si>
  <si>
    <t xml:space="preserve">1050 </t>
  </si>
  <si>
    <t>https://www.oreht.ru/modules.php?name=orehtPriceLS&amp;op=Search&amp;page=1&amp;stext=402056</t>
  </si>
  <si>
    <t>Чайник DELTA DL-1370, пластик, двойная стенка бежевый с коричневым, 1,8л</t>
  </si>
  <si>
    <t xml:space="preserve">971 </t>
  </si>
  <si>
    <t>https://www.oreht.ru/modules.php?name=orehtPriceLS&amp;op=Search&amp;page=1&amp;stext=416061</t>
  </si>
  <si>
    <t>Чайник DELTA DL-1370, пластик, двойная стенка красный с черным, 1,8л</t>
  </si>
  <si>
    <t>https://www.oreht.ru/modules.php?name=orehtPriceLS&amp;op=Search&amp;page=1&amp;stext=393625</t>
  </si>
  <si>
    <t>Чайник Centek CT-0027 1.7л, 2200Вт, LED, матовый корпус, двойная защита от включения без воды</t>
  </si>
  <si>
    <t xml:space="preserve">972 </t>
  </si>
  <si>
    <t>https://www.oreht.ru/modules.php?name=orehtPriceLS&amp;op=Search&amp;page=1&amp;stext=419533</t>
  </si>
  <si>
    <t>SC-IR250D04 Инфракрасный обогреватель Scarlett (0,6 кВт), серый</t>
  </si>
  <si>
    <t xml:space="preserve">976 </t>
  </si>
  <si>
    <t>https://www.oreht.ru/modules.php?name=orehtPriceLS&amp;op=Search&amp;page=1&amp;stext=306791</t>
  </si>
  <si>
    <t>SC-HM40S09 Миксер (черный с серебром)</t>
  </si>
  <si>
    <t xml:space="preserve">977 </t>
  </si>
  <si>
    <t>https://www.oreht.ru/modules.php?name=orehtPriceLS&amp;op=Search&amp;page=1&amp;stext=458850</t>
  </si>
  <si>
    <t>Электрическая зубная щетка DR.BEI Sonic Electric Toothbrush белая 8 насадок</t>
  </si>
  <si>
    <t xml:space="preserve">981 </t>
  </si>
  <si>
    <t>https://www.oreht.ru/modules.php?name=orehtPriceLS&amp;op=Search&amp;page=1&amp;stext=458849</t>
  </si>
  <si>
    <t>Электрическая зубная щетка DR.BEI Sonic Electric Toothbrush красная 8 насадок</t>
  </si>
  <si>
    <t>https://www.oreht.ru/modules.php?name=orehtPriceLS&amp;op=Search&amp;page=1&amp;stext=399088</t>
  </si>
  <si>
    <t>Тостер DELTA DL-6900 черный, 700Вт, 6-ти позиционный таймер</t>
  </si>
  <si>
    <t xml:space="preserve">982 </t>
  </si>
  <si>
    <t>https://www.oreht.ru/modules.php?name=orehtPriceLS&amp;op=Search&amp;page=1&amp;stext=332090</t>
  </si>
  <si>
    <t>Кронштейн Ballu 500x600 пара</t>
  </si>
  <si>
    <t xml:space="preserve">985 </t>
  </si>
  <si>
    <t>https://www.oreht.ru/modules.php?name=orehtPriceLS&amp;op=Search&amp;page=1&amp;stext=397398</t>
  </si>
  <si>
    <t>Блендер Centek CT-1334 (белый/красный) 400Вт, стальная насадка, 2 скорости</t>
  </si>
  <si>
    <t>https://www.oreht.ru/modules.php?name=orehtPriceLS&amp;op=Search&amp;page=1&amp;stext=399089</t>
  </si>
  <si>
    <t>Тостер DELTA DL-6900 белый, 700Вт, 6-ти позиционный таймер</t>
  </si>
  <si>
    <t xml:space="preserve">983 </t>
  </si>
  <si>
    <t>https://www.oreht.ru/modules.php?name=orehtPriceLS&amp;op=Search&amp;page=1&amp;stext=275786</t>
  </si>
  <si>
    <t>Миксер Maxwell MW-1358 (W)</t>
  </si>
  <si>
    <t>https://www.oreht.ru/modules.php?name=orehtPriceLS&amp;op=Search&amp;page=1&amp;stext=375687</t>
  </si>
  <si>
    <t>Чайник Maxwell MW-1005</t>
  </si>
  <si>
    <t xml:space="preserve">987 </t>
  </si>
  <si>
    <t>https://www.oreht.ru/modules.php?name=orehtPriceLS&amp;op=Search&amp;page=1&amp;stext=460248</t>
  </si>
  <si>
    <t>Утюг WILLMARK SI-2267CB (2200Вт, керам. подошва., 210 мл, ,самоочист.,пар удар)</t>
  </si>
  <si>
    <t>https://www.oreht.ru/modules.php?name=orehtPriceLS&amp;op=Search&amp;page=1&amp;stext=383826</t>
  </si>
  <si>
    <t>SC-CG44506 Кофемолка (белый)</t>
  </si>
  <si>
    <t xml:space="preserve">989 </t>
  </si>
  <si>
    <t>https://www.oreht.ru/modules.php?name=orehtPriceLS&amp;op=Search&amp;page=1&amp;stext=124951</t>
  </si>
  <si>
    <t>Кронштейн "Holder" - LCDS5039 (металлик)</t>
  </si>
  <si>
    <t xml:space="preserve">990 </t>
  </si>
  <si>
    <t>https://www.oreht.ru/modules.php?name=orehtPriceLS&amp;op=Search&amp;page=1&amp;stext=91823</t>
  </si>
  <si>
    <t>Тепловентилятор ТВС-1 (2кВт)</t>
  </si>
  <si>
    <t>https://www.oreht.ru/modules.php?name=orehtPriceLS&amp;op=Search&amp;page=1&amp;stext=224758</t>
  </si>
  <si>
    <t>Утюг ЯРОМИР ЯР-004 коричневый (6), 1400 Вт, подошва из алюминия</t>
  </si>
  <si>
    <t>https://www.oreht.ru/modules.php?name=orehtPriceLS&amp;op=Search&amp;page=1&amp;stext=417062</t>
  </si>
  <si>
    <t>Радиоприемник "Сигнал РП-202", УКВ 64-108МГц, СВ, КВ, бат. 2*R20, 220V</t>
  </si>
  <si>
    <t xml:space="preserve">991 </t>
  </si>
  <si>
    <t>https://www.oreht.ru/modules.php?name=orehtPriceLS&amp;op=Search&amp;page=1&amp;stext=450111</t>
  </si>
  <si>
    <t>Утюг ENERGY EN-314 красный (2000Вт, пар, спрей, пар. удар, керам.подошва, самоочистка) арт.270028</t>
  </si>
  <si>
    <t xml:space="preserve">992 </t>
  </si>
  <si>
    <t>https://www.oreht.ru/modules.php?name=orehtPriceLS&amp;op=Search&amp;page=1&amp;stext=335100</t>
  </si>
  <si>
    <t>SC-SI30P17 Электрический утюг (голубой)</t>
  </si>
  <si>
    <t xml:space="preserve">994 </t>
  </si>
  <si>
    <t>https://www.oreht.ru/modules.php?name=orehtPriceLS&amp;op=Search&amp;page=1&amp;stext=450283</t>
  </si>
  <si>
    <t>Набор для стрижки Vitek VT-2574</t>
  </si>
  <si>
    <t xml:space="preserve">995 </t>
  </si>
  <si>
    <t>https://www.oreht.ru/modules.php?name=orehtPriceLS&amp;op=Search&amp;page=1&amp;stext=384113</t>
  </si>
  <si>
    <t>Блендер (набор) econ ECO-232HB</t>
  </si>
  <si>
    <t xml:space="preserve">996 </t>
  </si>
  <si>
    <t>https://www.oreht.ru/modules.php?name=orehtPriceLS&amp;op=Search&amp;page=1&amp;stext=146064</t>
  </si>
  <si>
    <t>Утюг Maxwell MW-3056 (B)</t>
  </si>
  <si>
    <t>https://www.oreht.ru/modules.php?name=orehtPriceLS&amp;op=Search&amp;page=1&amp;stext=360118</t>
  </si>
  <si>
    <t>Кронштейн наст. LED/LCD телевизоров Kromax DIX-13 black, 10 шт./уп. (20262)</t>
  </si>
  <si>
    <t>https://www.oreht.ru/modules.php?name=orehtPriceLS&amp;op=Search&amp;page=1&amp;stext=377851</t>
  </si>
  <si>
    <t>Кронштейн для LED/LCD телевизоров Kromax IDEAL-4 black, 10 шт./уп. (26004)</t>
  </si>
  <si>
    <t xml:space="preserve">1000 </t>
  </si>
  <si>
    <t>https://www.oreht.ru/modules.php?name=orehtPriceLS&amp;op=Search&amp;page=1&amp;stext=433210</t>
  </si>
  <si>
    <t>Чайник KRAFT KF-KP1750BL (/4, Китай)</t>
  </si>
  <si>
    <t xml:space="preserve">1001 </t>
  </si>
  <si>
    <t>https://www.oreht.ru/modules.php?name=orehtPriceLS&amp;op=Search&amp;page=1&amp;stext=449206</t>
  </si>
  <si>
    <t>Плитка электрическая Galaxy LINE GL 3004 (6шт) суммарная мощность 2000 Вт(1000Вт+1000Вт),</t>
  </si>
  <si>
    <t xml:space="preserve">1002 </t>
  </si>
  <si>
    <t>https://www.oreht.ru/modules.php?name=orehtPriceLS&amp;op=Search&amp;page=1&amp;stext=432785</t>
  </si>
  <si>
    <t>SC-SI30S06 Электрический утюг (лиловый)</t>
  </si>
  <si>
    <t xml:space="preserve">1006 </t>
  </si>
  <si>
    <t>https://www.oreht.ru/modules.php?name=orehtPriceLS&amp;op=Search&amp;page=1&amp;stext=397090</t>
  </si>
  <si>
    <t>Автоколонки Mystery MJ 420</t>
  </si>
  <si>
    <t xml:space="preserve">1008 </t>
  </si>
  <si>
    <t>https://www.oreht.ru/modules.php?name=orehtPriceLS&amp;op=Search&amp;page=1&amp;stext=457086</t>
  </si>
  <si>
    <t>Приемник цифровой эфирный CADENA CDT-2214SB</t>
  </si>
  <si>
    <t xml:space="preserve">1009 </t>
  </si>
  <si>
    <t>https://www.oreht.ru/modules.php?name=orehtPriceLS&amp;op=Search&amp;page=1&amp;stext=241158</t>
  </si>
  <si>
    <t>Фен для волос LIRA LR 0702 (мощность 2000 Вт)</t>
  </si>
  <si>
    <t xml:space="preserve">1011 </t>
  </si>
  <si>
    <t>https://www.oreht.ru/modules.php?name=orehtPriceLS&amp;op=Search&amp;page=1&amp;stext=400224</t>
  </si>
  <si>
    <t>Кофемолка Centek CT-1351 Black, 100г съемный стакан,система защитной блокировки,пластик</t>
  </si>
  <si>
    <t xml:space="preserve">1012 </t>
  </si>
  <si>
    <t>https://www.oreht.ru/modules.php?name=orehtPriceLS&amp;op=Search&amp;page=1&amp;stext=235152</t>
  </si>
  <si>
    <t>Фен для волос LIRA LR 0704 (мощность 2200 Вт)</t>
  </si>
  <si>
    <t xml:space="preserve">1013 </t>
  </si>
  <si>
    <t>https://www.oreht.ru/modules.php?name=orehtPriceLS&amp;op=Search&amp;page=1&amp;stext=241162</t>
  </si>
  <si>
    <t>Утюг электрический LIRA LR 0604 (Подошва с керамическим покрытием, мощ.2400Вт)</t>
  </si>
  <si>
    <t xml:space="preserve">1017 </t>
  </si>
  <si>
    <t>https://www.oreht.ru/modules.php?name=orehtPriceLS&amp;op=Search&amp;page=1&amp;stext=333752</t>
  </si>
  <si>
    <t>Миксер econ ECO-201MX</t>
  </si>
  <si>
    <t xml:space="preserve">1018 </t>
  </si>
  <si>
    <t>https://www.oreht.ru/modules.php?name=orehtPriceLS&amp;op=Search&amp;page=1&amp;stext=452499</t>
  </si>
  <si>
    <t>Чайник (стекло) jvc JK-KE1508</t>
  </si>
  <si>
    <t>https://www.oreht.ru/modules.php?name=orehtPriceLS&amp;op=Search&amp;page=1&amp;stext=310860</t>
  </si>
  <si>
    <t>Ресивер эфирный цифровой DVB-T2 HD HD-515 пластик, Эфир</t>
  </si>
  <si>
    <t xml:space="preserve">1023 </t>
  </si>
  <si>
    <t>https://www.oreht.ru/modules.php?name=orehtPriceLS&amp;op=Search&amp;page=1&amp;stext=389709</t>
  </si>
  <si>
    <t>SC-EK21S76 Электрический чайник, 1500-1800Вт., 2л (красный)</t>
  </si>
  <si>
    <t>https://www.oreht.ru/modules.php?name=orehtPriceLS&amp;op=Search&amp;page=1&amp;stext=320218</t>
  </si>
  <si>
    <t>Ресивер эфирный цифровой DVB-T2 HD HD-505 пластик, Эфир</t>
  </si>
  <si>
    <t xml:space="preserve">1004 </t>
  </si>
  <si>
    <t>https://www.oreht.ru/modules.php?name=orehtPriceLS&amp;op=Search&amp;page=1&amp;stext=456881</t>
  </si>
  <si>
    <t>Бритва Galaxy GL 4209 Бронзовая</t>
  </si>
  <si>
    <t xml:space="preserve">1027 </t>
  </si>
  <si>
    <t>https://www.oreht.ru/modules.php?name=orehtPriceLS&amp;op=Search&amp;page=1&amp;stext=456882</t>
  </si>
  <si>
    <t>Бритва Galaxy GL 4209 Серебряная</t>
  </si>
  <si>
    <t>https://www.oreht.ru/modules.php?name=orehtPriceLS&amp;op=Search&amp;page=1&amp;stext=268662</t>
  </si>
  <si>
    <t>Чайник DELTA DL-1203, корпус из жаропр. стекла, коричневый с беж., 2200Вт, 1,7л</t>
  </si>
  <si>
    <t>https://www.oreht.ru/modules.php?name=orehtPriceLS&amp;op=Search&amp;page=1&amp;stext=268659</t>
  </si>
  <si>
    <t>Чайник DELTA DL-1203, корпус из жаропр. стекла, черный, 2200Вт, 1,7л</t>
  </si>
  <si>
    <t xml:space="preserve">1028 </t>
  </si>
  <si>
    <t>https://www.oreht.ru/modules.php?name=orehtPriceLS&amp;op=Search&amp;page=1&amp;stext=268660</t>
  </si>
  <si>
    <t>Чайник DELTA DL-1203, корпус из жаропр. стекла, фиолетовый, 2200Вт, 1,7л</t>
  </si>
  <si>
    <t xml:space="preserve">1032 </t>
  </si>
  <si>
    <t>https://www.oreht.ru/modules.php?name=orehtPriceLS&amp;op=Search&amp;page=1&amp;stext=240419</t>
  </si>
  <si>
    <t>Телевизионный ресивер HARPER HDT2-1108 (DVB-T2)</t>
  </si>
  <si>
    <t xml:space="preserve">1030 </t>
  </si>
  <si>
    <t>https://www.oreht.ru/modules.php?name=orehtPriceLS&amp;op=Search&amp;page=1&amp;stext=452004</t>
  </si>
  <si>
    <t>Маршрутизатор Xiaomi Mi Router 4C (White) (DVB4231GL) Х25091</t>
  </si>
  <si>
    <t xml:space="preserve">1033 </t>
  </si>
  <si>
    <t>https://www.oreht.ru/modules.php?name=orehtPriceLS&amp;op=Search&amp;page=1&amp;stext=449267</t>
  </si>
  <si>
    <t>SC-HC63C77 Машинка для стрижки волос (черный с золотом)</t>
  </si>
  <si>
    <t>https://www.oreht.ru/modules.php?name=orehtPriceLS&amp;op=Search&amp;page=1&amp;stext=448468</t>
  </si>
  <si>
    <t>Утюг Centek CT-2349 2200Вт, КЕРАМИЧЕСКАЯ подошва, паровой удар, самоочистка, 250мл</t>
  </si>
  <si>
    <t>https://www.oreht.ru/modules.php?name=orehtPriceLS&amp;op=Search&amp;page=1&amp;stext=360113</t>
  </si>
  <si>
    <t>Кронштейн для LED/LCD телевизоров Tuarex OLIMP-202 black, 10 шт./уп. (40308)</t>
  </si>
  <si>
    <t>https://www.oreht.ru/modules.php?name=orehtPriceLS&amp;op=Search&amp;page=1&amp;stext=314857</t>
  </si>
  <si>
    <t>Чайник Galaxy GL 0318 Белый</t>
  </si>
  <si>
    <t xml:space="preserve">1036 </t>
  </si>
  <si>
    <t>https://www.oreht.ru/modules.php?name=orehtPriceLS&amp;op=Search&amp;page=1&amp;stext=314858</t>
  </si>
  <si>
    <t>Чайник Galaxy GL 0318 Зеленый</t>
  </si>
  <si>
    <t>https://www.oreht.ru/modules.php?name=orehtPriceLS&amp;op=Search&amp;page=1&amp;stext=314859</t>
  </si>
  <si>
    <t>Чайник Galaxy GL 0318 Коричневый</t>
  </si>
  <si>
    <t>https://www.oreht.ru/modules.php?name=orehtPriceLS&amp;op=Search&amp;page=1&amp;stext=314860</t>
  </si>
  <si>
    <t>Чайник Galaxy GL 0318 Красный</t>
  </si>
  <si>
    <t>https://www.oreht.ru/modules.php?name=orehtPriceLS&amp;op=Search&amp;page=1&amp;stext=185400</t>
  </si>
  <si>
    <t>Тепловентилятор керамический KS-15 R "Оазис" (750/1500 Вт)</t>
  </si>
  <si>
    <t xml:space="preserve">1038 </t>
  </si>
  <si>
    <t>https://www.oreht.ru/modules.php?name=orehtPriceLS&amp;op=Search&amp;page=1&amp;stext=402032</t>
  </si>
  <si>
    <t>Кофеварка ВАСИЛИСА ВА-700 черная, 750 Вт., 1000мл (10 чашек), антипролив</t>
  </si>
  <si>
    <t>https://www.oreht.ru/modules.php?name=orehtPriceLS&amp;op=Search&amp;page=1&amp;stext=181654</t>
  </si>
  <si>
    <t>Миксер Maxwell MW-1356 (W)</t>
  </si>
  <si>
    <t xml:space="preserve">1039 </t>
  </si>
  <si>
    <t>https://www.oreht.ru/modules.php?name=orehtPriceLS&amp;op=Search&amp;page=1&amp;stext=384400</t>
  </si>
  <si>
    <t>Кронштейн ЖК фиксированный 37-70" [94-177см] до 40кг. UM805F [черн] UltraMounts</t>
  </si>
  <si>
    <t xml:space="preserve">1042 </t>
  </si>
  <si>
    <t>https://www.oreht.ru/modules.php?name=orehtPriceLS&amp;op=Search&amp;page=1&amp;stext=397399</t>
  </si>
  <si>
    <t>Блендер Centek CT-1335 (белый/красный) 400Вт, стальная насадка, стакан 600мл, 2 скорости</t>
  </si>
  <si>
    <t xml:space="preserve">1047 </t>
  </si>
  <si>
    <t>https://www.oreht.ru/modules.php?name=orehtPriceLS&amp;op=Search&amp;page=1&amp;stext=419188</t>
  </si>
  <si>
    <t>Тостер Centek CT-1420 (белый) 750 Вт, 7 уровней мощности, теплоизолированный корпус, функция отмены</t>
  </si>
  <si>
    <t xml:space="preserve">1043 </t>
  </si>
  <si>
    <t>https://www.oreht.ru/modules.php?name=orehtPriceLS&amp;op=Search&amp;page=1&amp;stext=435313</t>
  </si>
  <si>
    <t>Миксер VITEK VT-1494</t>
  </si>
  <si>
    <t>https://www.oreht.ru/modules.php?name=orehtPriceLS&amp;op=Search&amp;page=1&amp;stext=419534</t>
  </si>
  <si>
    <t>SC-IR250D05 Инфракрасный обогреватель Scarlett (0,8 кВт), белый</t>
  </si>
  <si>
    <t xml:space="preserve">1046 </t>
  </si>
  <si>
    <t>https://www.oreht.ru/modules.php?name=orehtPriceLS&amp;op=Search&amp;page=1&amp;stext=400226</t>
  </si>
  <si>
    <t>Кофемолка Centek CT-1362 (сталь), 200Вт,60г,стальной стакан,стальная чаша,прозрачная крышка</t>
  </si>
  <si>
    <t>https://www.oreht.ru/modules.php?name=orehtPriceLS&amp;op=Search&amp;page=1&amp;stext=307078</t>
  </si>
  <si>
    <t>Миксер MXS-522 SUPRA</t>
  </si>
  <si>
    <t>https://www.oreht.ru/modules.php?name=orehtPriceLS&amp;op=Search&amp;page=1&amp;stext=286724</t>
  </si>
  <si>
    <t>Кронштейн "Holder" - LCD-F3919-B</t>
  </si>
  <si>
    <t>https://www.oreht.ru/modules.php?name=orehtPriceLS&amp;op=Search&amp;page=1&amp;stext=462604</t>
  </si>
  <si>
    <t>Кронштейн "Holder" - LCDS5063 (белый)</t>
  </si>
  <si>
    <t>https://www.oreht.ru/modules.php?name=orehtPriceLS&amp;op=Search&amp;page=1&amp;stext=124963</t>
  </si>
  <si>
    <t>Кронштейн "Holder" - LCDS5063 (черный глянец)</t>
  </si>
  <si>
    <t>https://www.oreht.ru/modules.php?name=orehtPriceLS&amp;op=Search&amp;page=1&amp;stext=124940</t>
  </si>
  <si>
    <t>Кронштейн "Holder" - LCDS5019 (черный глянец)</t>
  </si>
  <si>
    <t xml:space="preserve">1048 </t>
  </si>
  <si>
    <t>https://www.oreht.ru/modules.php?name=orehtPriceLS&amp;op=Search&amp;page=1&amp;stext=393627</t>
  </si>
  <si>
    <t>Чайник Centek CT-1025 (Red) металл 1.8л, 2200Вт, двойные стенки, кнопка откр. на ручке</t>
  </si>
  <si>
    <t>https://www.oreht.ru/modules.php?name=orehtPriceLS&amp;op=Search&amp;page=1&amp;stext=271262</t>
  </si>
  <si>
    <t>Ресивер эфирный цифровой DVB-T2 HD HD-555 пластик, дисплей, Эфир</t>
  </si>
  <si>
    <t xml:space="preserve">1053 </t>
  </si>
  <si>
    <t>https://www.oreht.ru/modules.php?name=orehtPriceLS&amp;op=Search&amp;page=1&amp;stext=241160</t>
  </si>
  <si>
    <t>Утюг электрический LIRA LR 0602 (Подошва с керамическим покрытием, мощ.2500Вт)</t>
  </si>
  <si>
    <t xml:space="preserve">1057 </t>
  </si>
  <si>
    <t>https://www.oreht.ru/modules.php?name=orehtPriceLS&amp;op=Search&amp;page=1&amp;stext=456348</t>
  </si>
  <si>
    <t>Чайник (стекло) jvc JK-KE1518</t>
  </si>
  <si>
    <t xml:space="preserve">1062 </t>
  </si>
  <si>
    <t>https://www.oreht.ru/modules.php?name=orehtPriceLS&amp;op=Search&amp;page=1&amp;stext=450971</t>
  </si>
  <si>
    <t>Миксер Maxwell MW-1357</t>
  </si>
  <si>
    <t xml:space="preserve">1065 </t>
  </si>
  <si>
    <t>https://www.oreht.ru/modules.php?name=orehtPriceLS&amp;op=Search&amp;page=1&amp;stext=421015</t>
  </si>
  <si>
    <t>Стационарный блендер Blackton Bt SB1110 Белый</t>
  </si>
  <si>
    <t xml:space="preserve">1066 </t>
  </si>
  <si>
    <t>https://www.oreht.ru/modules.php?name=orehtPriceLS&amp;op=Search&amp;page=1&amp;stext=271275</t>
  </si>
  <si>
    <t>Чайник DELTA DL-1202, корпус из жаропр. стекла, белый, 2200Вт, 1,5л</t>
  </si>
  <si>
    <t xml:space="preserve">1069 </t>
  </si>
  <si>
    <t>https://www.oreht.ru/modules.php?name=orehtPriceLS&amp;op=Search&amp;page=1&amp;stext=381316</t>
  </si>
  <si>
    <t>Чайник электрический Мастерица EK-1801G ваниль, 1,8л., стекло, 1850 Вт</t>
  </si>
  <si>
    <t>https://www.oreht.ru/modules.php?name=orehtPriceLS&amp;op=Search&amp;page=1&amp;stext=376678</t>
  </si>
  <si>
    <t>Чайник электрический Мастерица EK-1801G дымчатый, 1,8л., стекло, 1850 Вт</t>
  </si>
  <si>
    <t>https://www.oreht.ru/modules.php?name=orehtPriceLS&amp;op=Search&amp;page=1&amp;stext=344024</t>
  </si>
  <si>
    <t>Чайник электрический Мастерица EK-1801G капучино, 1,8л., стекло, 1850 Вт</t>
  </si>
  <si>
    <t>https://www.oreht.ru/modules.php?name=orehtPriceLS&amp;op=Search&amp;page=1&amp;stext=344023</t>
  </si>
  <si>
    <t>Чайник электрический Мастерица EK-1801G рубин, 1,8л., стекло, 1850 Вт</t>
  </si>
  <si>
    <t>https://www.oreht.ru/modules.php?name=orehtPriceLS&amp;op=Search&amp;page=1&amp;stext=440390</t>
  </si>
  <si>
    <t>Чайник электрический Мастерица EK-1801G снег, 1,8л., стекло, 1850 Вт</t>
  </si>
  <si>
    <t>https://www.oreht.ru/modules.php?name=orehtPriceLS&amp;op=Search&amp;page=1&amp;stext=302971</t>
  </si>
  <si>
    <t>Бритва Бердск 3363А</t>
  </si>
  <si>
    <t xml:space="preserve">1070 </t>
  </si>
  <si>
    <t>https://www.oreht.ru/modules.php?name=orehtPriceLS&amp;op=Search&amp;page=1&amp;stext=450555</t>
  </si>
  <si>
    <t>Чайник (стекло) econ ECO-1751KE</t>
  </si>
  <si>
    <t xml:space="preserve">1073 </t>
  </si>
  <si>
    <t>https://www.oreht.ru/modules.php?name=orehtPriceLS&amp;op=Search&amp;page=1&amp;stext=452500</t>
  </si>
  <si>
    <t>Чайник (стекло) jvc JK-KE1514</t>
  </si>
  <si>
    <t>https://www.oreht.ru/modules.php?name=orehtPriceLS&amp;op=Search&amp;page=1&amp;stext=450251</t>
  </si>
  <si>
    <t>SC-HD70I79 Фен FAMILY LIFE</t>
  </si>
  <si>
    <t xml:space="preserve">1077 </t>
  </si>
  <si>
    <t>https://www.oreht.ru/modules.php?name=orehtPriceLS&amp;op=Search&amp;page=1&amp;stext=245373</t>
  </si>
  <si>
    <t>Телевизионный ресивер HARPER HDT2-1514 (DVB-T2)</t>
  </si>
  <si>
    <t>https://www.oreht.ru/modules.php?name=orehtPriceLS&amp;op=Search&amp;page=1&amp;stext=408670</t>
  </si>
  <si>
    <t>Набор для стрижки MAXWELL MW-2114(GR)</t>
  </si>
  <si>
    <t>https://www.oreht.ru/modules.php?name=orehtPriceLS&amp;op=Search&amp;page=1&amp;stext=124933</t>
  </si>
  <si>
    <t>Кронштейн "Holder" - LCD-F4610-B</t>
  </si>
  <si>
    <t xml:space="preserve">1080 </t>
  </si>
  <si>
    <t>https://www.oreht.ru/modules.php?name=orehtPriceLS&amp;op=Search&amp;page=1&amp;stext=271736</t>
  </si>
  <si>
    <t>Кронштейн "Holder" - LCDS5019 (белый)</t>
  </si>
  <si>
    <t>https://www.oreht.ru/modules.php?name=orehtPriceLS&amp;op=Search&amp;page=1&amp;stext=310272</t>
  </si>
  <si>
    <t>https://www.oreht.ru/modules.php?name=orehtPriceLS&amp;op=Search&amp;page=1&amp;stext=445592</t>
  </si>
  <si>
    <t>Утюг ENERGY EN-338 (2200Вт, пар, пар.удар, верт.пар, спрей, самооч., керам.подошва) арт.270069</t>
  </si>
  <si>
    <t xml:space="preserve">1084 </t>
  </si>
  <si>
    <t>https://www.oreht.ru/modules.php?name=orehtPriceLS&amp;op=Search&amp;page=1&amp;stext=432395</t>
  </si>
  <si>
    <t>Прибор для выпечки BQ ST1005 Чёрный-Сталь</t>
  </si>
  <si>
    <t xml:space="preserve">1085 </t>
  </si>
  <si>
    <t>https://www.oreht.ru/modules.php?name=orehtPriceLS&amp;op=Search&amp;page=1&amp;stext=439967</t>
  </si>
  <si>
    <t>Прибор для выпечки BQ ST1007 Чёрный</t>
  </si>
  <si>
    <t>https://www.oreht.ru/modules.php?name=orehtPriceLS&amp;op=Search&amp;page=1&amp;stext=450737</t>
  </si>
  <si>
    <t>Утюг Centek CT-2351 Blue (синий) 2200Вт, КЕРАМИЧЕСКАЯ подошва, 300 мл, паровой удар, самоочистка</t>
  </si>
  <si>
    <t>https://www.oreht.ru/modules.php?name=orehtPriceLS&amp;op=Search&amp;page=1&amp;stext=450738</t>
  </si>
  <si>
    <t>Утюг Centek CT-2351 Red (красный) 2200Вт, КЕРАМИЧЕСКАЯ подошва, 300 мл, паровой удар, самоочистка</t>
  </si>
  <si>
    <t>https://www.oreht.ru/modules.php?name=orehtPriceLS&amp;op=Search&amp;page=1&amp;stext=417906</t>
  </si>
  <si>
    <t>SC-FH1.512MC Тепловентилятор настольный Scarlett (1.5 кВт., мк), белый</t>
  </si>
  <si>
    <t xml:space="preserve">1088 </t>
  </si>
  <si>
    <t>https://www.oreht.ru/modules.php?name=orehtPriceLS&amp;op=Search&amp;page=1&amp;stext=176225</t>
  </si>
  <si>
    <t>SC-EK21S20 Электрический чайник</t>
  </si>
  <si>
    <t xml:space="preserve">1091 </t>
  </si>
  <si>
    <t>https://www.oreht.ru/modules.php?name=orehtPriceLS&amp;op=Search&amp;page=1&amp;stext=91014</t>
  </si>
  <si>
    <t>Тепловентилятор Engy PTC-308А керамический арт. 020298</t>
  </si>
  <si>
    <t xml:space="preserve">1096 </t>
  </si>
  <si>
    <t>https://www.oreht.ru/modules.php?name=orehtPriceLS&amp;op=Search&amp;page=1&amp;stext=135291</t>
  </si>
  <si>
    <t>Набор для стрижки Vitek VT-1357</t>
  </si>
  <si>
    <t xml:space="preserve">1097 </t>
  </si>
  <si>
    <t>https://www.oreht.ru/modules.php?name=orehtPriceLS&amp;op=Search&amp;page=1&amp;stext=444447</t>
  </si>
  <si>
    <t>SC-HD70I67 Фен (малиновый с черным)</t>
  </si>
  <si>
    <t xml:space="preserve">1102 </t>
  </si>
  <si>
    <t>https://www.oreht.ru/modules.php?name=orehtPriceLS&amp;op=Search&amp;page=1&amp;stext=274903</t>
  </si>
  <si>
    <t>Бритва Бердск 3364</t>
  </si>
  <si>
    <t xml:space="preserve">1106 </t>
  </si>
  <si>
    <t>https://www.oreht.ru/modules.php?name=orehtPriceLS&amp;op=Search&amp;page=1&amp;stext=319064</t>
  </si>
  <si>
    <t>Кронштейн "Holder" - LCD-F4915-B</t>
  </si>
  <si>
    <t xml:space="preserve">1107 </t>
  </si>
  <si>
    <t>https://www.oreht.ru/modules.php?name=orehtPriceLS&amp;op=Search&amp;page=1&amp;stext=389930</t>
  </si>
  <si>
    <t>Набор для стрижки Centek CT-2133 (Red) 4 насадки, 4 гребня, база с подзарядкой</t>
  </si>
  <si>
    <t xml:space="preserve">1108 </t>
  </si>
  <si>
    <t>https://www.oreht.ru/modules.php?name=orehtPriceLS&amp;op=Search&amp;page=1&amp;stext=270963</t>
  </si>
  <si>
    <t>Кронштейн "Holder" - LCDS5020 (белый)</t>
  </si>
  <si>
    <t xml:space="preserve">1109 </t>
  </si>
  <si>
    <t>https://www.oreht.ru/modules.php?name=orehtPriceLS&amp;op=Search&amp;page=1&amp;stext=124941</t>
  </si>
  <si>
    <t>Кронштейн "Holder" - LCDS5020 (черный глянец)</t>
  </si>
  <si>
    <t>https://www.oreht.ru/modules.php?name=orehtPriceLS&amp;op=Search&amp;page=1&amp;stext=450736</t>
  </si>
  <si>
    <t>Утюг Centek CT-2350 RED (красн) 2600Вт, КЕРАМИЧЕСКАЯ подошва, ВЫСОКАЯ МОЩНОСТЬ, 300 мл</t>
  </si>
  <si>
    <t/>
  </si>
  <si>
    <t>Сепаратор для яиц "Proteina" (диаметр: 6см) арт.003957</t>
  </si>
  <si>
    <t xml:space="preserve">27,2 </t>
  </si>
  <si>
    <t>Тарелка 240 мм ПАПИЙОН 10279SLB</t>
  </si>
  <si>
    <t xml:space="preserve">27,3 </t>
  </si>
  <si>
    <t>Очиститель чеснока GP-01 арт.003621</t>
  </si>
  <si>
    <t>Терка четырехгранная мини GR-1023 (нерж.сталь,пластик) арт.965080</t>
  </si>
  <si>
    <t>6С0013Ф34 Блюдце для варенья 110мм ф.89 "Белье" (50)</t>
  </si>
  <si>
    <t xml:space="preserve">28,5 </t>
  </si>
  <si>
    <t>Салатник закал. ШЕФС 90 мм 53483SLBT</t>
  </si>
  <si>
    <t xml:space="preserve">29,4 </t>
  </si>
  <si>
    <t>Спички Костровые 90мм, 10шт /100/20 61028 BOYSCOUT</t>
  </si>
  <si>
    <t xml:space="preserve">29,3 </t>
  </si>
  <si>
    <t>Мельница д/чеснока 50шт. (PIK003)</t>
  </si>
  <si>
    <t>Шампуры д/шашлыка бамбук по 100шт. PATERRA 200мм (401-697)</t>
  </si>
  <si>
    <t xml:space="preserve">31 </t>
  </si>
  <si>
    <t>Блэк Лопатка кулинарная, жаропрочный нейлон WH 1013-10 (881-245)</t>
  </si>
  <si>
    <t>Рукав для запекания PATERRA 3м (209-009)</t>
  </si>
  <si>
    <t xml:space="preserve">31,5 </t>
  </si>
  <si>
    <t>Блэк Лопатка для блинов, жаропрочный нейлон WH 1013-17 (881-250)</t>
  </si>
  <si>
    <t>Пробка д/бутылки "Цветок" (Бабочка) RE480 (481)(DH13-39)</t>
  </si>
  <si>
    <t>VETTA Гринвуд Лопатка бамбук, 30см (883-059)</t>
  </si>
  <si>
    <t xml:space="preserve">30,5 </t>
  </si>
  <si>
    <t>Блэк Шумовка, жаропрочный нейлон WH 1013-6 (881-242)</t>
  </si>
  <si>
    <t>Блэк Лопатка с прорезями, жаропрочный нейлон WH 1013-2 (881-240)</t>
  </si>
  <si>
    <t>https://www.oreht.ru/modules.php?name=orehtPriceLS&amp;op=Search&amp;page=1&amp;stext=266290</t>
  </si>
  <si>
    <t>Графин 500мл. П-32-500 "Классик"</t>
  </si>
  <si>
    <t>https://www.oreht.ru/modules.php?name=orehtPriceLS&amp;op=Search&amp;page=1&amp;stext=362927</t>
  </si>
  <si>
    <t>Салатник 350мл/15см ZHL-1647 Роза</t>
  </si>
  <si>
    <t>https://www.oreht.ru/modules.php?name=orehtPriceLS&amp;op=Search&amp;page=1&amp;stext=297106</t>
  </si>
  <si>
    <t>Графин 450мл. 1161-"Дионис"</t>
  </si>
  <si>
    <t xml:space="preserve">54,8 </t>
  </si>
  <si>
    <t>https://www.oreht.ru/modules.php?name=orehtPriceLS&amp;op=Search&amp;page=1&amp;stext=297105</t>
  </si>
  <si>
    <t>Графин 500мл. 1160-"Цезарь"</t>
  </si>
  <si>
    <t>https://www.oreht.ru/modules.php?name=orehtPriceLS&amp;op=Search&amp;page=1&amp;stext=377312</t>
  </si>
  <si>
    <t>Графин 500мл. 1162 "Кардинал"</t>
  </si>
  <si>
    <t>https://www.oreht.ru/modules.php?name=orehtPriceLS&amp;op=Search&amp;page=1&amp;stext=423139</t>
  </si>
  <si>
    <t>Щипцы д/извлечения костей из рыбы (3432)</t>
  </si>
  <si>
    <t>https://www.oreht.ru/modules.php?name=orehtPriceLS&amp;op=Search&amp;page=1&amp;stext=362933</t>
  </si>
  <si>
    <t>Салатник 350мл/15см ZHL-1551 Клубника (12/96)</t>
  </si>
  <si>
    <t xml:space="preserve">56,9 </t>
  </si>
  <si>
    <t>https://www.oreht.ru/modules.php?name=orehtPriceLS&amp;op=Search&amp;page=1&amp;stext=371242</t>
  </si>
  <si>
    <t>Салфетница "Девушка официантка с пивом с косами", цветная наклейка арт.5050349 г.Екатеринбург</t>
  </si>
  <si>
    <t>https://www.oreht.ru/modules.php?name=orehtPriceLS&amp;op=Search&amp;page=1&amp;stext=362932</t>
  </si>
  <si>
    <t>Салатник 350мл/15 см ZHL-1441 Букет</t>
  </si>
  <si>
    <t xml:space="preserve">43 </t>
  </si>
  <si>
    <t>https://www.oreht.ru/modules.php?name=orehtPriceLS&amp;op=Search&amp;page=1&amp;stext=111925</t>
  </si>
  <si>
    <t>Шумовка "NERO" арт. 93-АК2С-6 (REGENT)</t>
  </si>
  <si>
    <t xml:space="preserve">54,7 </t>
  </si>
  <si>
    <t>https://www.oreht.ru/modules.php?name=orehtPriceLS&amp;op=Search&amp;page=1&amp;stext=383606</t>
  </si>
  <si>
    <t>Салатник 12.5см V-300мл, Londa BY13LTW50-3</t>
  </si>
  <si>
    <t xml:space="preserve">58,5 </t>
  </si>
  <si>
    <t>https://www.oreht.ru/modules.php?name=orehtPriceLS&amp;op=Search&amp;page=1&amp;stext=197532</t>
  </si>
  <si>
    <t>Пакеты для хранения универсальные, 24*36 PATERRA 100 шт/25 (109-007)</t>
  </si>
  <si>
    <t xml:space="preserve">58,6 </t>
  </si>
  <si>
    <t>https://www.oreht.ru/modules.php?name=orehtPriceLS&amp;op=Search&amp;page=1&amp;stext=193690</t>
  </si>
  <si>
    <t>Форма для выпечки пирогов КФ-18.000 "КВАРЦ"</t>
  </si>
  <si>
    <t xml:space="preserve">59 </t>
  </si>
  <si>
    <t>https://www.oreht.ru/modules.php?name=orehtPriceLS&amp;op=Search&amp;page=1&amp;stext=402221</t>
  </si>
  <si>
    <t>Нож для овощей серия "Мультиколор" 180/80мм (С1356/213)</t>
  </si>
  <si>
    <t>https://www.oreht.ru/modules.php?name=orehtPriceLS&amp;op=Search&amp;page=1&amp;stext=412982</t>
  </si>
  <si>
    <t>Шумовка BASIC арт.AGB200</t>
  </si>
  <si>
    <t>https://www.oreht.ru/modules.php?name=orehtPriceLS&amp;op=Search&amp;page=1&amp;stext=379391</t>
  </si>
  <si>
    <t>Салатник 12.5см V - 300мл, Paisley BY13LTW50-1</t>
  </si>
  <si>
    <t xml:space="preserve">49,8 </t>
  </si>
  <si>
    <t>https://www.oreht.ru/modules.php?name=orehtPriceLS&amp;op=Search&amp;page=1&amp;stext=400833</t>
  </si>
  <si>
    <t>Салатник 15 см "Луговые цветы" 350 мл арт.MFK20260</t>
  </si>
  <si>
    <t xml:space="preserve">59,5 </t>
  </si>
  <si>
    <t>https://www.oreht.ru/modules.php?name=orehtPriceLS&amp;op=Search&amp;page=1&amp;stext=397350</t>
  </si>
  <si>
    <t>Салатник 15 см "Полевые цветы" 350 мл арт.MFK20245</t>
  </si>
  <si>
    <t>https://www.oreht.ru/modules.php?name=orehtPriceLS&amp;op=Search&amp;page=1&amp;stext=371227</t>
  </si>
  <si>
    <t>Пакеты для замораживания с полем для записи 24х35 см, 25 шт./рулон арт.3805852 г.Екатеринбург</t>
  </si>
  <si>
    <t xml:space="preserve">59,8 </t>
  </si>
  <si>
    <t>https://www.oreht.ru/modules.php?name=orehtPriceLS&amp;op=Search&amp;page=1&amp;stext=315067</t>
  </si>
  <si>
    <t>Ложка деревянная для солений без росписи 43см (4120)</t>
  </si>
  <si>
    <t xml:space="preserve">61,9 </t>
  </si>
  <si>
    <t>https://www.oreht.ru/modules.php?name=orehtPriceLS&amp;op=Search&amp;page=1&amp;stext=202319</t>
  </si>
  <si>
    <t>Скалка деревянная БУК Л30 (2201)</t>
  </si>
  <si>
    <t xml:space="preserve">60,1 </t>
  </si>
  <si>
    <t>https://www.oreht.ru/modules.php?name=orehtPriceLS&amp;op=Search&amp;page=1&amp;stext=414997</t>
  </si>
  <si>
    <t>Мастер Нож кухонный универсальный 12,7см, пластиковая ручка (803-263)</t>
  </si>
  <si>
    <t xml:space="preserve">60,3 </t>
  </si>
  <si>
    <t>https://www.oreht.ru/modules.php?name=orehtPriceLS&amp;op=Search&amp;page=1&amp;stext=382826</t>
  </si>
  <si>
    <t>Миска 520мл/17см, Кролик с морковкой ZHL-1245</t>
  </si>
  <si>
    <t xml:space="preserve">60,5 </t>
  </si>
  <si>
    <t>https://www.oreht.ru/modules.php?name=orehtPriceLS&amp;op=Search&amp;page=1&amp;stext=425739</t>
  </si>
  <si>
    <t>Бокал АМБЕР 365 мл арт.440265SLB</t>
  </si>
  <si>
    <t>https://www.oreht.ru/modules.php?name=orehtPriceLS&amp;op=Search&amp;page=1&amp;stext=88267</t>
  </si>
  <si>
    <t>Кружка ф.бутон 210мл TYMB210 Кролик с морковкой</t>
  </si>
  <si>
    <t>https://www.oreht.ru/modules.php?name=orehtPriceLS&amp;op=Search&amp;page=1&amp;stext=400829</t>
  </si>
  <si>
    <t>Салатник 15 см "Вьюнок" 350 мл арт.MFK20255</t>
  </si>
  <si>
    <t xml:space="preserve">61 </t>
  </si>
  <si>
    <t>https://www.oreht.ru/modules.php?name=orehtPriceLS&amp;op=Search&amp;page=1&amp;stext=379856</t>
  </si>
  <si>
    <t>Салатник 15 см "Гортензия" арт.MFK20234</t>
  </si>
  <si>
    <t>https://www.oreht.ru/modules.php?name=orehtPriceLS&amp;op=Search&amp;page=1&amp;stext=416096</t>
  </si>
  <si>
    <t>Салатник 350мл 15 см, Органза V5019</t>
  </si>
  <si>
    <t xml:space="preserve">58,1 </t>
  </si>
  <si>
    <t>https://www.oreht.ru/modules.php?name=orehtPriceLS&amp;op=Search&amp;page=1&amp;stext=416099</t>
  </si>
  <si>
    <t>Салатник 350мл 15см, Цветочная фантазия YXD03</t>
  </si>
  <si>
    <t xml:space="preserve">61,1 </t>
  </si>
  <si>
    <t>https://www.oreht.ru/modules.php?name=orehtPriceLS&amp;op=Search&amp;page=1&amp;stext=290292</t>
  </si>
  <si>
    <t>Ваза сервировочная малая D-93mm H-57mm п/у, гранение GB1648SJ-1</t>
  </si>
  <si>
    <t>https://www.oreht.ru/modules.php?name=orehtPriceLS&amp;op=Search&amp;page=1&amp;stext=242256</t>
  </si>
  <si>
    <t>Шампуры д/шашлыка бамбук по 100шт. d=3мм х 400мм PATERRA (401-496)</t>
  </si>
  <si>
    <t xml:space="preserve">61,3 </t>
  </si>
  <si>
    <t>https://www.oreht.ru/modules.php?name=orehtPriceLS&amp;op=Search&amp;page=1&amp;stext=204789</t>
  </si>
  <si>
    <t>Спички "Вулкан" 60 мм, 10 шт длительного горения /60/20 61034 BOYSCOUT</t>
  </si>
  <si>
    <t xml:space="preserve">61,5 </t>
  </si>
  <si>
    <t>https://www.oreht.ru/modules.php?name=orehtPriceLS&amp;op=Search&amp;page=1&amp;stext=410943</t>
  </si>
  <si>
    <t>Тарелка десертная 20см, Общепит-2 SRHT018</t>
  </si>
  <si>
    <t>https://www.oreht.ru/modules.php?name=orehtPriceLS&amp;op=Search&amp;page=1&amp;stext=222588</t>
  </si>
  <si>
    <t>Салатник закал. ШЕФ 140 мм арт.53553SLBT</t>
  </si>
  <si>
    <t xml:space="preserve">62,2 </t>
  </si>
  <si>
    <t>https://www.oreht.ru/modules.php?name=orehtPriceLS&amp;op=Search&amp;page=1&amp;stext=322261</t>
  </si>
  <si>
    <t>Ложка-дуршлаг 34 см (RE485)</t>
  </si>
  <si>
    <t xml:space="preserve">62,3 </t>
  </si>
  <si>
    <t>https://www.oreht.ru/modules.php?name=orehtPriceLS&amp;op=Search&amp;page=1&amp;stext=400826</t>
  </si>
  <si>
    <t>Тарелка десертная "Вьюнок" 19 см арт.MFK20251</t>
  </si>
  <si>
    <t xml:space="preserve">63,7 </t>
  </si>
  <si>
    <t>https://www.oreht.ru/modules.php?name=orehtPriceLS&amp;op=Search&amp;page=1&amp;stext=400822</t>
  </si>
  <si>
    <t>Тарелка десертная "Разноцветные Маки" 19 см арт.MFK20236</t>
  </si>
  <si>
    <t xml:space="preserve">62,5 </t>
  </si>
  <si>
    <t>https://www.oreht.ru/modules.php?name=orehtPriceLS&amp;op=Search&amp;page=1&amp;stext=288803</t>
  </si>
  <si>
    <t>Элемент холода IP-350 (350мл) арт.998209</t>
  </si>
  <si>
    <t xml:space="preserve">63 </t>
  </si>
  <si>
    <t>https://www.oreht.ru/modules.php?name=orehtPriceLS&amp;op=Search&amp;page=1&amp;stext=414140</t>
  </si>
  <si>
    <t>Салатник 510мл/17см, Лилия геральдическая 2 TC13004176 HCS-910</t>
  </si>
  <si>
    <t xml:space="preserve">59,2 </t>
  </si>
  <si>
    <t>https://www.oreht.ru/modules.php?name=orehtPriceLS&amp;op=Search&amp;page=1&amp;stext=412256</t>
  </si>
  <si>
    <t>Салатник 12.5см 400мл, Satori BY13LW50A</t>
  </si>
  <si>
    <t>https://www.oreht.ru/modules.php?name=orehtPriceLS&amp;op=Search&amp;page=1&amp;stext=124910</t>
  </si>
  <si>
    <t>Кружка ф.бутон 210мл TYMB210 Бабочка</t>
  </si>
  <si>
    <t xml:space="preserve">59,4 </t>
  </si>
  <si>
    <t>https://www.oreht.ru/modules.php?name=orehtPriceLS&amp;op=Search&amp;page=1&amp;stext=310739</t>
  </si>
  <si>
    <t>Насадка кондитерская "Русский тюльпан" NEW, 8.160 (МультиДом)</t>
  </si>
  <si>
    <t>https://www.oreht.ru/modules.php?name=orehtPriceLS&amp;op=Search&amp;page=1&amp;stext=91517</t>
  </si>
  <si>
    <t>Сито-щипцы металл для чая (1334)</t>
  </si>
  <si>
    <t xml:space="preserve">63,4 </t>
  </si>
  <si>
    <t>https://www.oreht.ru/modules.php?name=orehtPriceLS&amp;op=Search&amp;page=1&amp;stext=359532</t>
  </si>
  <si>
    <t>Салатник 350 мл/15 см, Средиземноморский бриз YQ1936</t>
  </si>
  <si>
    <t xml:space="preserve">64 </t>
  </si>
  <si>
    <t>https://www.oreht.ru/modules.php?name=orehtPriceLS&amp;op=Search&amp;page=1&amp;stext=330018</t>
  </si>
  <si>
    <t>Стерилизатор 3 местный (г. Пенза)</t>
  </si>
  <si>
    <t>https://www.oreht.ru/modules.php?name=orehtPriceLS&amp;op=Search&amp;page=1&amp;stext=414139</t>
  </si>
  <si>
    <t>Салатник 510мл/17см, Лилия геральдическая 1 TC13004176 HCS-909</t>
  </si>
  <si>
    <t>https://www.oreht.ru/modules.php?name=orehtPriceLS&amp;op=Search&amp;page=1&amp;stext=94557</t>
  </si>
  <si>
    <t>Штопор с дер. ручкой "Ретро", AN57-1 (МультиДом)</t>
  </si>
  <si>
    <t xml:space="preserve">64,2 </t>
  </si>
  <si>
    <t>https://www.oreht.ru/modules.php?name=orehtPriceLS&amp;op=Search&amp;page=1&amp;stext=329122</t>
  </si>
  <si>
    <t>Нож для овощей CHEF 8см арт.AKC003</t>
  </si>
  <si>
    <t>https://www.oreht.ru/modules.php?name=orehtPriceLS&amp;op=Search&amp;page=1&amp;stext=248334</t>
  </si>
  <si>
    <t>Алюминиевая форма "БОЛЬШАЯ" прямоугольная PATERRA 322х255х51см, 1шт в уп. (402-712)</t>
  </si>
  <si>
    <t xml:space="preserve">60,2 </t>
  </si>
  <si>
    <t>https://www.oreht.ru/modules.php?name=orehtPriceLS&amp;op=Search&amp;page=1&amp;stext=111835</t>
  </si>
  <si>
    <t>Ложка с прорезями "NERO" арт. 93-АК2С-3 (REGENT)</t>
  </si>
  <si>
    <t xml:space="preserve">60 </t>
  </si>
  <si>
    <t>https://www.oreht.ru/modules.php?name=orehtPriceLS&amp;op=Search&amp;page=1&amp;stext=397351</t>
  </si>
  <si>
    <t>Тарелка десертная "Китайская роза" 19 см арт.MFK20246</t>
  </si>
  <si>
    <t>https://www.oreht.ru/modules.php?name=orehtPriceLS&amp;op=Search&amp;page=1&amp;stext=186439</t>
  </si>
  <si>
    <t>Форма для выпечки пиццы большая КФ-19.000 "КВАРЦ"</t>
  </si>
  <si>
    <t xml:space="preserve">65 </t>
  </si>
  <si>
    <t>https://www.oreht.ru/modules.php?name=orehtPriceLS&amp;op=Search&amp;page=1&amp;stext=432034</t>
  </si>
  <si>
    <t>Тарелка глубокая 510мл/17см, Мрамор розовый TC13004176P HCS-927</t>
  </si>
  <si>
    <t xml:space="preserve">66,7 </t>
  </si>
  <si>
    <t>https://www.oreht.ru/modules.php?name=orehtPriceLS&amp;op=Search&amp;page=1&amp;stext=432036</t>
  </si>
  <si>
    <t>Тарелка универсальная 19см, Мрамор розовый TC23006207 HCS-927</t>
  </si>
  <si>
    <t>https://www.oreht.ru/modules.php?name=orehtPriceLS&amp;op=Search&amp;page=1&amp;stext=431149</t>
  </si>
  <si>
    <t>Кружка 350 мл бочка низкая, Морская тема STMM</t>
  </si>
  <si>
    <t>https://www.oreht.ru/modules.php?name=orehtPriceLS&amp;op=Search&amp;page=1&amp;stext=396434</t>
  </si>
  <si>
    <t>Нож с деревянной рукояткой ALBERO MAL-05AL для овощей (большой), 12,5 см арт.005168</t>
  </si>
  <si>
    <t xml:space="preserve">66 </t>
  </si>
  <si>
    <t>https://www.oreht.ru/modules.php?name=orehtPriceLS&amp;op=Search&amp;page=1&amp;stext=239913</t>
  </si>
  <si>
    <t>Тарелка обеденная АМБЬЯНТЕ ЭКЛИПС 25см арт.L5086</t>
  </si>
  <si>
    <t xml:space="preserve">64,8 </t>
  </si>
  <si>
    <t>https://www.oreht.ru/modules.php?name=orehtPriceLS&amp;op=Search&amp;page=1&amp;stext=398875</t>
  </si>
  <si>
    <t>Кружка Грей 340 мл арт.55531SLBD63</t>
  </si>
  <si>
    <t>https://www.oreht.ru/modules.php?name=orehtPriceLS&amp;op=Search&amp;page=1&amp;stext=287383</t>
  </si>
  <si>
    <t>Кружка С ДОБРЫМ УТРОМ 320мл прозрачная арт.H8500 (О0167)</t>
  </si>
  <si>
    <t xml:space="preserve">65,2 </t>
  </si>
  <si>
    <t>https://www.oreht.ru/modules.php?name=orehtPriceLS&amp;op=Search&amp;page=1&amp;stext=379881</t>
  </si>
  <si>
    <t>LR07-41 LARA Ситечко для заваривания чая, нерж. сталь</t>
  </si>
  <si>
    <t xml:space="preserve">66,5 </t>
  </si>
  <si>
    <t>https://www.oreht.ru/modules.php?name=orehtPriceLS&amp;op=Search&amp;page=1&amp;stext=275309</t>
  </si>
  <si>
    <t>Кружка ф.Бутон 210мл, котенок с шариками MB210</t>
  </si>
  <si>
    <t>https://www.oreht.ru/modules.php?name=orehtPriceLS&amp;op=Search&amp;page=1&amp;stext=210832</t>
  </si>
  <si>
    <t>Бульонница (супница) прозрачная 560 мл арт.H2832 (Н9944)</t>
  </si>
  <si>
    <t xml:space="preserve">65,7 </t>
  </si>
  <si>
    <t>https://www.oreht.ru/modules.php?name=orehtPriceLS&amp;op=Search&amp;page=1&amp;stext=384547</t>
  </si>
  <si>
    <t>Ёмкость для перца с мельницей 75 мл, черная крышка ПЕРЕЦ (принт 2) 624008</t>
  </si>
  <si>
    <t>https://www.oreht.ru/modules.php?name=orehtPriceLS&amp;op=Search&amp;page=1&amp;stext=293401</t>
  </si>
  <si>
    <t>Емкость для специй с мельницей 100 мл, красная крышка 624003</t>
  </si>
  <si>
    <t>https://www.oreht.ru/modules.php?name=orehtPriceLS&amp;op=Search&amp;page=1&amp;stext=117935</t>
  </si>
  <si>
    <t>Салатник из закаленного стекла ATLANTIS 230 мм арт.10249SLB</t>
  </si>
  <si>
    <t>https://www.oreht.ru/modules.php?name=orehtPriceLS&amp;op=Search&amp;page=1&amp;stext=293402</t>
  </si>
  <si>
    <t>Емкость для специй с мельницей 100 мл, желтая крышка 624004</t>
  </si>
  <si>
    <t>https://www.oreht.ru/modules.php?name=orehtPriceLS&amp;op=Search&amp;page=1&amp;stext=436448</t>
  </si>
  <si>
    <t>Доска разделочная пасхальная "Христос Воскресе", 19,5?27,5 см арт.2933277 г.Екатеринбург</t>
  </si>
  <si>
    <t>https://www.oreht.ru/modules.php?name=orehtPriceLS&amp;op=Search&amp;page=1&amp;stext=293008</t>
  </si>
  <si>
    <t>Лопатка с прорезями бамбук, 30х6см арт.BNB2228</t>
  </si>
  <si>
    <t>https://www.oreht.ru/modules.php?name=orehtPriceLS&amp;op=Search&amp;page=1&amp;stext=416105</t>
  </si>
  <si>
    <t>Салатник 600мл 17см, Оливки YXD04</t>
  </si>
  <si>
    <t xml:space="preserve">68,2 </t>
  </si>
  <si>
    <t>https://www.oreht.ru/modules.php?name=orehtPriceLS&amp;op=Search&amp;page=1&amp;stext=416111</t>
  </si>
  <si>
    <t>Тарелка десертная 20см, Органза V5019</t>
  </si>
  <si>
    <t>https://www.oreht.ru/modules.php?name=orehtPriceLS&amp;op=Search&amp;page=1&amp;stext=415041</t>
  </si>
  <si>
    <t>VETTA Открывалка на блистере, WF 8021 (882-231)</t>
  </si>
  <si>
    <t xml:space="preserve">67,7 </t>
  </si>
  <si>
    <t>https://www.oreht.ru/modules.php?name=orehtPriceLS&amp;op=Search&amp;page=1&amp;stext=416104</t>
  </si>
  <si>
    <t>Салатник 600мл 17см, Цветочная фантазия YXD03</t>
  </si>
  <si>
    <t>https://www.oreht.ru/modules.php?name=orehtPriceLS&amp;op=Search&amp;page=1&amp;stext=413021</t>
  </si>
  <si>
    <t>4С0289 Тарелка 170мм мелкая ф.653 "Идиллия" "Белье" (20)</t>
  </si>
  <si>
    <t>https://www.oreht.ru/modules.php?name=orehtPriceLS&amp;op=Search&amp;page=1&amp;stext=244718</t>
  </si>
  <si>
    <t>Розетка коллекция "муза" 6*6*3 см. 355-170</t>
  </si>
  <si>
    <t xml:space="preserve">69 </t>
  </si>
  <si>
    <t>https://www.oreht.ru/modules.php?name=orehtPriceLS&amp;op=Search&amp;page=1&amp;stext=359535</t>
  </si>
  <si>
    <t>Тарелка десертная 18см, Средиземноморский бриз YQ1936</t>
  </si>
  <si>
    <t xml:space="preserve">65,5 </t>
  </si>
  <si>
    <t>https://www.oreht.ru/modules.php?name=orehtPriceLS&amp;op=Search&amp;page=1&amp;stext=211813</t>
  </si>
  <si>
    <t>Н-р 6 кубиков д/напитков "Холодок" 6цв. New, 13.99 (МультиДом)</t>
  </si>
  <si>
    <t xml:space="preserve">69,6 </t>
  </si>
  <si>
    <t>https://www.oreht.ru/modules.php?name=orehtPriceLS&amp;op=Search&amp;page=1&amp;stext=150371</t>
  </si>
  <si>
    <t>Ножеточка на присоске (3207)</t>
  </si>
  <si>
    <t>https://www.oreht.ru/modules.php?name=orehtPriceLS&amp;op=Search&amp;page=1&amp;stext=432033</t>
  </si>
  <si>
    <t>Тарелка глубокая 510мл/17см, Мрамор серый TC13004176P HCS-926</t>
  </si>
  <si>
    <t>https://www.oreht.ru/modules.php?name=orehtPriceLS&amp;op=Search&amp;page=1&amp;stext=186352</t>
  </si>
  <si>
    <t>Терка Универсальная К01.000.03 с пластмасс.руч. "КВАРЦ"</t>
  </si>
  <si>
    <t xml:space="preserve">70,3 </t>
  </si>
  <si>
    <t>https://www.oreht.ru/modules.php?name=orehtPriceLS&amp;op=Search&amp;page=1&amp;stext=242694</t>
  </si>
  <si>
    <t>Стакан ПАБ 3 шт. 60 мл арт.42234B/</t>
  </si>
  <si>
    <t>https://www.oreht.ru/modules.php?name=orehtPriceLS&amp;op=Search&amp;page=1&amp;stext=324188</t>
  </si>
  <si>
    <t>Ложка деревянная столовая "Краснушка" (6821)</t>
  </si>
  <si>
    <t>https://www.oreht.ru/modules.php?name=orehtPriceLS&amp;op=Search&amp;page=1&amp;stext=117947</t>
  </si>
  <si>
    <t>Тарелка из закаленного стекла ATLANTIS 320 мм арт.10237SLB</t>
  </si>
  <si>
    <t>https://www.oreht.ru/modules.php?name=orehtPriceLS&amp;op=Search&amp;page=1&amp;stext=226242</t>
  </si>
  <si>
    <t>Н-р 6 охладителей д/напитков "Лимонные дольки" NEW, 13.102 (МультиДом)</t>
  </si>
  <si>
    <t>https://www.oreht.ru/modules.php?name=orehtPriceLS&amp;op=Search&amp;page=1&amp;stext=320144</t>
  </si>
  <si>
    <t>Крышка силиконовая для хранения продуктов, 10х10 см. NEW, 80.170 (МультиДом)</t>
  </si>
  <si>
    <t xml:space="preserve">70,4 </t>
  </si>
  <si>
    <t>https://www.oreht.ru/modules.php?name=orehtPriceLS&amp;op=Search&amp;page=1&amp;stext=395579</t>
  </si>
  <si>
    <t>Салатник "Фиона" 15 см арт.MFK08304</t>
  </si>
  <si>
    <t xml:space="preserve">70,5 </t>
  </si>
  <si>
    <t>https://www.oreht.ru/modules.php?name=orehtPriceLS&amp;op=Search&amp;page=1&amp;stext=420895</t>
  </si>
  <si>
    <t>Банка с крышкой ЧЕШНИ 420 мл (зеленая крышка) арт.43002SLB</t>
  </si>
  <si>
    <t xml:space="preserve">69,3 </t>
  </si>
  <si>
    <t>https://www.oreht.ru/modules.php?name=orehtPriceLS&amp;op=Search&amp;page=1&amp;stext=377317</t>
  </si>
  <si>
    <t>Кружка для чая 250мл. арт.1649-НГ (Французкая лилия.Графит)</t>
  </si>
  <si>
    <t xml:space="preserve">70,6 </t>
  </si>
  <si>
    <t>https://www.oreht.ru/modules.php?name=orehtPriceLS&amp;op=Search&amp;page=1&amp;stext=361267</t>
  </si>
  <si>
    <t>Кружка ф.волна 250мл, орхидея TYMV250</t>
  </si>
  <si>
    <t>https://www.oreht.ru/modules.php?name=orehtPriceLS&amp;op=Search&amp;page=1&amp;stext=416117</t>
  </si>
  <si>
    <t>Тарелка суповая 500мл 20см, Оливки YXD04</t>
  </si>
  <si>
    <t xml:space="preserve">70 </t>
  </si>
  <si>
    <t>https://www.oreht.ru/modules.php?name=orehtPriceLS&amp;op=Search&amp;page=1&amp;stext=422477</t>
  </si>
  <si>
    <t>BE-1600Y Лопатка "Ecoline sky" 34 см светло-голубой ( 72 )</t>
  </si>
  <si>
    <t>https://www.oreht.ru/modules.php?name=orehtPriceLS&amp;op=Search&amp;page=1&amp;stext=423272</t>
  </si>
  <si>
    <t>28869 Сахарница с дозатором 150 гр LR (х144) "MAYER &amp; BOCH"</t>
  </si>
  <si>
    <t xml:space="preserve">80,1 </t>
  </si>
  <si>
    <t>https://www.oreht.ru/modules.php?name=orehtPriceLS&amp;op=Search&amp;page=1&amp;stext=351972</t>
  </si>
  <si>
    <t>6С0116Ф34 Кружка 220 мл ф.231 "белье" (24)</t>
  </si>
  <si>
    <t xml:space="preserve">72 </t>
  </si>
  <si>
    <t>https://www.oreht.ru/modules.php?name=orehtPriceLS&amp;op=Search&amp;page=1&amp;stext=88523</t>
  </si>
  <si>
    <t>Салатник 350мл/15см круг OV1203-2 Орхидея</t>
  </si>
  <si>
    <t xml:space="preserve">67,8 </t>
  </si>
  <si>
    <t>https://www.oreht.ru/modules.php?name=orehtPriceLS&amp;op=Search&amp;page=1&amp;stext=410933</t>
  </si>
  <si>
    <t>Кружка 360 мл бочка, Общепит WBB3</t>
  </si>
  <si>
    <t xml:space="preserve">61,7 </t>
  </si>
  <si>
    <t>https://www.oreht.ru/modules.php?name=orehtPriceLS&amp;op=Search&amp;page=1&amp;stext=276883</t>
  </si>
  <si>
    <t>Кружка закал. ПАБ 215 мл арт.55341SLBT</t>
  </si>
  <si>
    <t xml:space="preserve">76 </t>
  </si>
  <si>
    <t>https://www.oreht.ru/modules.php?name=orehtPriceLS&amp;op=Search&amp;page=1&amp;stext=432035</t>
  </si>
  <si>
    <t>Тарелка универсальная 19см, Мрамор серый TC23006207 HCS-926</t>
  </si>
  <si>
    <t xml:space="preserve">72,8 </t>
  </si>
  <si>
    <t>https://www.oreht.ru/modules.php?name=orehtPriceLS&amp;op=Search&amp;page=1&amp;stext=359536</t>
  </si>
  <si>
    <t>Тарелка десертная 20см, Средиземноморский бриз YQ1936</t>
  </si>
  <si>
    <t xml:space="preserve">74,7 </t>
  </si>
  <si>
    <t>https://www.oreht.ru/modules.php?name=orehtPriceLS&amp;op=Search&amp;page=1&amp;stext=444911</t>
  </si>
  <si>
    <t>Нож для костей из нержавеющей стали с деревянной ручкой (лезвие 14.5см, рукоятка 12см) (5308)</t>
  </si>
  <si>
    <t>https://www.oreht.ru/modules.php?name=orehtPriceLS&amp;op=Search&amp;page=1&amp;stext=199824</t>
  </si>
  <si>
    <t>Кувшин BISTRO 500 мл арт.80101SLB</t>
  </si>
  <si>
    <t xml:space="preserve">73,2 </t>
  </si>
  <si>
    <t>https://www.oreht.ru/modules.php?name=orehtPriceLS&amp;op=Search&amp;page=1&amp;stext=443033</t>
  </si>
  <si>
    <t>Салатник 510мл/17см, Сицилия кобальт TC13004176 HCS-907</t>
  </si>
  <si>
    <t>https://www.oreht.ru/modules.php?name=orehtPriceLS&amp;op=Search&amp;page=1&amp;stext=416095</t>
  </si>
  <si>
    <t>Миска 520мл/17см, Цветочная фантазия YXD03</t>
  </si>
  <si>
    <t>https://www.oreht.ru/modules.php?name=orehtPriceLS&amp;op=Search&amp;page=1&amp;stext=416102</t>
  </si>
  <si>
    <t>Салатник 600мл 17см, Цветок YXD01</t>
  </si>
  <si>
    <t xml:space="preserve">63,9 </t>
  </si>
  <si>
    <t>https://www.oreht.ru/modules.php?name=orehtPriceLS&amp;op=Search&amp;page=1&amp;stext=436042</t>
  </si>
  <si>
    <t>Салатник 460мл/12.7см, Димаре красный SRZKW50G11 HCS-924</t>
  </si>
  <si>
    <t xml:space="preserve">68,9 </t>
  </si>
  <si>
    <t>https://www.oreht.ru/modules.php?name=orehtPriceLS&amp;op=Search&amp;page=1&amp;stext=428829</t>
  </si>
  <si>
    <t>Бокал ИМПЕРИАЛ ПЛЮС 150 мл арт.44819SLB</t>
  </si>
  <si>
    <t xml:space="preserve">73,4 </t>
  </si>
  <si>
    <t>https://www.oreht.ru/modules.php?name=orehtPriceLS&amp;op=Search&amp;page=1&amp;stext=427221</t>
  </si>
  <si>
    <t>Бокал ЛОТТА 175 мл рис.28725 арт.44688SLBD14</t>
  </si>
  <si>
    <t>https://www.oreht.ru/modules.php?name=orehtPriceLS&amp;op=Search&amp;page=1&amp;stext=436043</t>
  </si>
  <si>
    <t>Салатник 460мл/12.7см, Димаре синий SRZKW50G11 HCS-925</t>
  </si>
  <si>
    <t xml:space="preserve">69,1 </t>
  </si>
  <si>
    <t>https://www.oreht.ru/modules.php?name=orehtPriceLS&amp;op=Search&amp;page=1&amp;stext=416623</t>
  </si>
  <si>
    <t>Миска 510мл/17см, Сицилия оранжевый TC13004176М HCS-908</t>
  </si>
  <si>
    <t>https://www.oreht.ru/modules.php?name=orehtPriceLS&amp;op=Search&amp;page=1&amp;stext=416093</t>
  </si>
  <si>
    <t>Миска 520мл/17см, Цветок YXD01</t>
  </si>
  <si>
    <t>https://www.oreht.ru/modules.php?name=orehtPriceLS&amp;op=Search&amp;page=1&amp;stext=139338</t>
  </si>
  <si>
    <t>Кружка 0,5л 9005 "КАЛИТВА"</t>
  </si>
  <si>
    <t>https://www.oreht.ru/modules.php?name=orehtPriceLS&amp;op=Search&amp;page=1&amp;stext=351987</t>
  </si>
  <si>
    <t>6С0128Ф34 Чашка чайная 250 см3 ф.272 "Тюльпан" "белье" (24)</t>
  </si>
  <si>
    <t xml:space="preserve">85 </t>
  </si>
  <si>
    <t>https://www.oreht.ru/modules.php?name=orehtPriceLS&amp;op=Search&amp;page=1&amp;stext=416115</t>
  </si>
  <si>
    <t>Тарелка десертная 20см, Оливки YXD04</t>
  </si>
  <si>
    <t xml:space="preserve">74 </t>
  </si>
  <si>
    <t>https://www.oreht.ru/modules.php?name=orehtPriceLS&amp;op=Search&amp;page=1&amp;stext=400003</t>
  </si>
  <si>
    <t>SATOSHI Карбон Нож кухонный овощной 9см, нерж.сталь с антиналипающим покрытием (803-070)</t>
  </si>
  <si>
    <t xml:space="preserve">74,4 </t>
  </si>
  <si>
    <t>https://www.oreht.ru/modules.php?name=orehtPriceLS&amp;op=Search&amp;page=1&amp;stext=229902</t>
  </si>
  <si>
    <t>Кружка для чая 250мл. арт.1649-Д (Живая природа.Сакура)</t>
  </si>
  <si>
    <t>https://www.oreht.ru/modules.php?name=orehtPriceLS&amp;op=Search&amp;page=1&amp;stext=278262</t>
  </si>
  <si>
    <t>Кружка 350мл бочка низкая, Путешествия (6 диз) HJ1701-6</t>
  </si>
  <si>
    <t xml:space="preserve">74,8 </t>
  </si>
  <si>
    <t>https://www.oreht.ru/modules.php?name=orehtPriceLS&amp;op=Search&amp;page=1&amp;stext=239189</t>
  </si>
  <si>
    <t>Салатник Удачный мал РАД00003358</t>
  </si>
  <si>
    <t>https://www.oreht.ru/modules.php?name=orehtPriceLS&amp;op=Search&amp;page=1&amp;stext=390865</t>
  </si>
  <si>
    <t>Овощечистка для моркови (24/96 кор) арт.MFK01188</t>
  </si>
  <si>
    <t>https://www.oreht.ru/modules.php?name=orehtPriceLS&amp;op=Search&amp;page=1&amp;stext=416120</t>
  </si>
  <si>
    <t>Тарелка суповая 500мл/20см, Друзья YXD02</t>
  </si>
  <si>
    <t xml:space="preserve">71,6 </t>
  </si>
  <si>
    <t>https://www.oreht.ru/modules.php?name=orehtPriceLS&amp;op=Search&amp;page=1&amp;stext=415053</t>
  </si>
  <si>
    <t>VETTA Мешок кондитерский, 5 насадок (884-354)</t>
  </si>
  <si>
    <t xml:space="preserve">79 </t>
  </si>
  <si>
    <t>https://www.oreht.ru/modules.php?name=orehtPriceLS&amp;op=Search&amp;page=1&amp;stext=242755</t>
  </si>
  <si>
    <t>Кружка для чая 250мл. арт.1649-Д (Живая природа.Зеленый лист)</t>
  </si>
  <si>
    <t xml:space="preserve">75,6 </t>
  </si>
  <si>
    <t>https://www.oreht.ru/modules.php?name=orehtPriceLS&amp;op=Search&amp;page=1&amp;stext=229901</t>
  </si>
  <si>
    <t>Кружка для чая 250мл. арт.1649-Д (Живая природа.Ромашка)</t>
  </si>
  <si>
    <t>https://www.oreht.ru/modules.php?name=orehtPriceLS&amp;op=Search&amp;page=1&amp;stext=382349</t>
  </si>
  <si>
    <t>Разделочная доска "Скандинавский Бык". Размер 17х29см МТ88-390</t>
  </si>
  <si>
    <t xml:space="preserve">75,7 </t>
  </si>
  <si>
    <t>https://www.oreht.ru/modules.php?name=orehtPriceLS&amp;op=Search&amp;page=1&amp;stext=400827</t>
  </si>
  <si>
    <t>Тарелка обеденная "Вьюнок" 23 см арт.MFK20252</t>
  </si>
  <si>
    <t>https://www.oreht.ru/modules.php?name=orehtPriceLS&amp;op=Search&amp;page=1&amp;stext=397348</t>
  </si>
  <si>
    <t>Тарелка обеденная "Полевые цветы" 23 см арт.MFK20242</t>
  </si>
  <si>
    <t>https://www.oreht.ru/modules.php?name=orehtPriceLS&amp;op=Search&amp;page=1&amp;stext=397352</t>
  </si>
  <si>
    <t>Тарелка обеденная "Китайская роза" 23 см арт.MFK20247</t>
  </si>
  <si>
    <t xml:space="preserve">75,9 </t>
  </si>
  <si>
    <t>https://www.oreht.ru/modules.php?name=orehtPriceLS&amp;op=Search&amp;page=1&amp;stext=400823</t>
  </si>
  <si>
    <t>Тарелка обеденная "Разноцветные Маки" 23 см арт.MFK20237</t>
  </si>
  <si>
    <t>https://www.oreht.ru/modules.php?name=orehtPriceLS&amp;op=Search&amp;page=1&amp;stext=379395</t>
  </si>
  <si>
    <t>Салатник 15см V - 500мл, Gloria BY13LTW60-2</t>
  </si>
  <si>
    <t>https://www.oreht.ru/modules.php?name=orehtPriceLS&amp;op=Search&amp;page=1&amp;stext=260127</t>
  </si>
  <si>
    <t>Салатник 12.5см V - 300мл, корица FHW50-160203</t>
  </si>
  <si>
    <t>https://www.oreht.ru/modules.php?name=orehtPriceLS&amp;op=Search&amp;page=1&amp;stext=313093</t>
  </si>
  <si>
    <t>Салатник 12.5см V- 300мл, сканди LHW50-170604</t>
  </si>
  <si>
    <t xml:space="preserve">65,1 </t>
  </si>
  <si>
    <t>https://www.oreht.ru/modules.php?name=orehtPriceLS&amp;op=Search&amp;page=1&amp;stext=436041</t>
  </si>
  <si>
    <t>Салатник 460мл/12.7см, Димаре зеленый SRZKW50G11 HCS-923</t>
  </si>
  <si>
    <t xml:space="preserve">72,1 </t>
  </si>
  <si>
    <t>https://www.oreht.ru/modules.php?name=orehtPriceLS&amp;op=Search&amp;page=1&amp;stext=117966</t>
  </si>
  <si>
    <t>Блюдо для лимона с крышкой BASIC h=100 мм арт.98397B</t>
  </si>
  <si>
    <t>https://www.oreht.ru/modules.php?name=orehtPriceLS&amp;op=Search&amp;page=1&amp;stext=422975</t>
  </si>
  <si>
    <t>Поднос APOLLO "Many-cany" MNC-01</t>
  </si>
  <si>
    <t>https://www.oreht.ru/modules.php?name=orehtPriceLS&amp;op=Search&amp;page=1&amp;stext=427222</t>
  </si>
  <si>
    <t>Бокал ЛОТТА 440 мл рис.28726 арт.44728SLBD13</t>
  </si>
  <si>
    <t>https://www.oreht.ru/modules.php?name=orehtPriceLS&amp;op=Search&amp;page=1&amp;stext=235009</t>
  </si>
  <si>
    <t>Формы д/выпечки однораз. Н-р 3шт. d17*h4см (770мл, алюминий) NEW, 8.107 (МультиДом)</t>
  </si>
  <si>
    <t xml:space="preserve">77,2 </t>
  </si>
  <si>
    <t>https://www.oreht.ru/modules.php?name=orehtPriceLS&amp;op=Search&amp;page=1&amp;stext=118138</t>
  </si>
  <si>
    <t>Сахарница KONYA d 120 мм арт.97590B</t>
  </si>
  <si>
    <t>https://www.oreht.ru/modules.php?name=orehtPriceLS&amp;op=Search&amp;page=1&amp;stext=422472</t>
  </si>
  <si>
    <t>BE-1597Y Ложка для спагетти "Ecoline vanilla" 32 см бежевый ( 72 )</t>
  </si>
  <si>
    <t xml:space="preserve">77,5 </t>
  </si>
  <si>
    <t>https://www.oreht.ru/modules.php?name=orehtPriceLS&amp;op=Search&amp;page=1&amp;stext=422478</t>
  </si>
  <si>
    <t>BE-1600Y Лопатка "Ecoline vanilla" 34 см бежевый ( 72 )</t>
  </si>
  <si>
    <t>https://www.oreht.ru/modules.php?name=orehtPriceLS&amp;op=Search&amp;page=1&amp;stext=460078</t>
  </si>
  <si>
    <t>Чешни-Банка 500сс SL арт.97554/1071504/1018062 SL</t>
  </si>
  <si>
    <t xml:space="preserve">76,5 </t>
  </si>
  <si>
    <t>https://www.oreht.ru/modules.php?name=orehtPriceLS&amp;op=Search&amp;page=1&amp;stext=269804</t>
  </si>
  <si>
    <t>Бокал ЭНОТЕКА 175 мл арт.44688SLB</t>
  </si>
  <si>
    <t>https://www.oreht.ru/modules.php?name=orehtPriceLS&amp;op=Search&amp;page=1&amp;stext=382348</t>
  </si>
  <si>
    <t>Разделочная доска "Забавный бычок". Размер 17х29см МТ88-385</t>
  </si>
  <si>
    <t xml:space="preserve">78 </t>
  </si>
  <si>
    <t>https://www.oreht.ru/modules.php?name=orehtPriceLS&amp;op=Search&amp;page=1&amp;stext=382347</t>
  </si>
  <si>
    <t>Разделочная доска "Забавный бычок". Размер 29х17см МТ88-384</t>
  </si>
  <si>
    <t>https://www.oreht.ru/modules.php?name=orehtPriceLS&amp;op=Search&amp;page=1&amp;stext=179489</t>
  </si>
  <si>
    <t>Жестяная банка "Бута" (белая) П67*98h69v040-00696 (12)</t>
  </si>
  <si>
    <t>https://www.oreht.ru/modules.php?name=orehtPriceLS&amp;op=Search&amp;page=1&amp;stext=117969</t>
  </si>
  <si>
    <t>Соусник BASIC 170 мл арт.55012SLB</t>
  </si>
  <si>
    <t xml:space="preserve">78,4 </t>
  </si>
  <si>
    <t>https://www.oreht.ru/modules.php?name=orehtPriceLS&amp;op=Search&amp;page=1&amp;stext=240832</t>
  </si>
  <si>
    <t>Тарелка десертная 18см, Сакура OV804-2</t>
  </si>
  <si>
    <t xml:space="preserve">78,6 </t>
  </si>
  <si>
    <t>https://www.oreht.ru/modules.php?name=orehtPriceLS&amp;op=Search&amp;page=1&amp;stext=348048</t>
  </si>
  <si>
    <t>Пробка для бутылки "Розовый хрусталь", 13.112 (МультиДом)</t>
  </si>
  <si>
    <t xml:space="preserve">78,7 </t>
  </si>
  <si>
    <t>https://www.oreht.ru/modules.php?name=orehtPriceLS&amp;op=Search&amp;page=1&amp;stext=320143</t>
  </si>
  <si>
    <t>Ложка для мороженого 3цв. NEW, 80.357 (МультиДом)</t>
  </si>
  <si>
    <t xml:space="preserve">78,8 </t>
  </si>
  <si>
    <t>https://www.oreht.ru/modules.php?name=orehtPriceLS&amp;op=Search&amp;page=1&amp;stext=88890</t>
  </si>
  <si>
    <t>Вилка транжирная с ЦМР арт.1с347 (г.Аша)*</t>
  </si>
  <si>
    <t xml:space="preserve">79,1 </t>
  </si>
  <si>
    <t>https://www.oreht.ru/modules.php?name=orehtPriceLS&amp;op=Search&amp;page=1&amp;stext=398873</t>
  </si>
  <si>
    <t>Кружка Грей 325 мл арт.55393SLBD63</t>
  </si>
  <si>
    <t xml:space="preserve">79,3 </t>
  </si>
  <si>
    <t>https://www.oreht.ru/modules.php?name=orehtPriceLS&amp;op=Search&amp;page=1&amp;stext=215369</t>
  </si>
  <si>
    <t>Блюдо из закаленного стекла PATISSERIE 280 мм арт. 10352SLB</t>
  </si>
  <si>
    <t>https://www.oreht.ru/modules.php?name=orehtPriceLS&amp;op=Search&amp;page=1&amp;stext=370398</t>
  </si>
  <si>
    <t>Тарелка десертная АММОНИТ 19см арт.P8825</t>
  </si>
  <si>
    <t xml:space="preserve">85,3 </t>
  </si>
  <si>
    <t>https://www.oreht.ru/modules.php?name=orehtPriceLS&amp;op=Search&amp;page=1&amp;stext=88403</t>
  </si>
  <si>
    <t>Тарелка десертная 7" 18см JV917 у колодца</t>
  </si>
  <si>
    <t xml:space="preserve">65,6 </t>
  </si>
  <si>
    <t>https://www.oreht.ru/modules.php?name=orehtPriceLS&amp;op=Search&amp;page=1&amp;stext=229910</t>
  </si>
  <si>
    <t>Кружка для чая 300 мл. арт.334-Д (Живая природа.Подсолнух)</t>
  </si>
  <si>
    <t>https://www.oreht.ru/modules.php?name=orehtPriceLS&amp;op=Search&amp;page=1&amp;stext=421683</t>
  </si>
  <si>
    <t>Форма для выпечки "Подсолнух" 15,3х13х5 см, внутр.размер 12х12х4,5 см, цвета МИКС арт.3624959 г.Екат</t>
  </si>
  <si>
    <t>https://www.oreht.ru/modules.php?name=orehtPriceLS&amp;op=Search&amp;page=1&amp;stext=400011</t>
  </si>
  <si>
    <t>https://www.oreht.ru/modules.php?name=orehtPriceLS&amp;op=Search&amp;page=1&amp;stext=418472</t>
  </si>
  <si>
    <t>Кружка lefard тигриные истории 380мл 260-617</t>
  </si>
  <si>
    <t xml:space="preserve">82 </t>
  </si>
  <si>
    <t>https://www.oreht.ru/modules.php?name=orehtPriceLS&amp;op=Search&amp;page=1&amp;stext=409957</t>
  </si>
  <si>
    <t>1ГЛТ-1 Горшочек "Ломоносовский" 0,35 л (терракот) (12)</t>
  </si>
  <si>
    <t>https://www.oreht.ru/modules.php?name=orehtPriceLS&amp;op=Search&amp;page=1&amp;stext=370399</t>
  </si>
  <si>
    <t>Салатник АММОНИТ 14см белый арт.P8827</t>
  </si>
  <si>
    <t xml:space="preserve">81,9 </t>
  </si>
  <si>
    <t>https://www.oreht.ru/modules.php?name=orehtPriceLS&amp;op=Search&amp;page=1&amp;stext=279887</t>
  </si>
  <si>
    <t>Кружка для чая 300 мл. арт.334-Д (Живая природа.Китайская роза)</t>
  </si>
  <si>
    <t xml:space="preserve">84,2 </t>
  </si>
  <si>
    <t>https://www.oreht.ru/modules.php?name=orehtPriceLS&amp;op=Search&amp;page=1&amp;stext=250460</t>
  </si>
  <si>
    <t>Кружка для чая 300 мл. арт.334-Д (Живая природа.Зеленый лист)</t>
  </si>
  <si>
    <t>https://www.oreht.ru/modules.php?name=orehtPriceLS&amp;op=Search&amp;page=1&amp;stext=322821</t>
  </si>
  <si>
    <t>Бульонница 670 мл с ручкой "ELICA" ДЫМКА арт.62044</t>
  </si>
  <si>
    <t xml:space="preserve">86,4 </t>
  </si>
  <si>
    <t>https://www.oreht.ru/modules.php?name=orehtPriceLS&amp;op=Search&amp;page=1&amp;stext=319040</t>
  </si>
  <si>
    <t>Кружка для супа закал. ШЕФС 480 мл арт.53772SLBT</t>
  </si>
  <si>
    <t>https://www.oreht.ru/modules.php?name=orehtPriceLS&amp;op=Search&amp;page=1&amp;stext=387329</t>
  </si>
  <si>
    <t>Лопатка для торта APOLLO "Stretta" STR-04</t>
  </si>
  <si>
    <t xml:space="preserve">92,2 </t>
  </si>
  <si>
    <t>https://www.oreht.ru/modules.php?name=orehtPriceLS&amp;op=Search&amp;page=1&amp;stext=375372</t>
  </si>
  <si>
    <t>Лопатка перфорированная APOLLO "Tesoro" TSR-05</t>
  </si>
  <si>
    <t xml:space="preserve">129,9 </t>
  </si>
  <si>
    <t>https://www.oreht.ru/modules.php?name=orehtPriceLS&amp;op=Search&amp;page=1&amp;stext=301476</t>
  </si>
  <si>
    <t>Крышки металлические СВЕТЛАНА СКО-III-66/4ПЛ RTS (20 шт) г.Крымск (винтовые) 1шт - 5,61руб</t>
  </si>
  <si>
    <t>https://www.oreht.ru/modules.php?name=orehtPriceLS&amp;op=Search&amp;page=1&amp;stext=394438</t>
  </si>
  <si>
    <t>Картофелечистка APOLLO "DaVinci" DVC-01</t>
  </si>
  <si>
    <t xml:space="preserve">190,7 </t>
  </si>
  <si>
    <t>https://www.oreht.ru/modules.php?name=orehtPriceLS&amp;op=Search&amp;page=1&amp;stext=190395</t>
  </si>
  <si>
    <t>Брызгогаситель "APOLLO" A-03</t>
  </si>
  <si>
    <t xml:space="preserve">123,1 </t>
  </si>
  <si>
    <t>https://www.oreht.ru/modules.php?name=orehtPriceLS&amp;op=Search&amp;page=1&amp;stext=298793</t>
  </si>
  <si>
    <t>Набор мешков кулинарных одноразовых 12шт с насадками APOLLO MCR-01</t>
  </si>
  <si>
    <t>https://www.oreht.ru/modules.php?name=orehtPriceLS&amp;op=Search&amp;page=1&amp;stext=387316</t>
  </si>
  <si>
    <t>Картофелечистка APOLLO Genio "Optimus" OPT-09</t>
  </si>
  <si>
    <t xml:space="preserve">138,4 </t>
  </si>
  <si>
    <t>https://www.oreht.ru/modules.php?name=orehtPriceLS&amp;op=Search&amp;page=1&amp;stext=370241</t>
  </si>
  <si>
    <t>Венчик APOLLO "Acacia" ACC-01</t>
  </si>
  <si>
    <t xml:space="preserve">168,1 </t>
  </si>
  <si>
    <t>https://www.oreht.ru/modules.php?name=orehtPriceLS&amp;op=Search&amp;page=1&amp;stext=370243</t>
  </si>
  <si>
    <t>Лопатка кухонная APOLLO "Acacia" ACC-03</t>
  </si>
  <si>
    <t xml:space="preserve">172,3 </t>
  </si>
  <si>
    <t>https://www.oreht.ru/modules.php?name=orehtPriceLS&amp;op=Search&amp;page=1&amp;stext=359440</t>
  </si>
  <si>
    <t>Лопатка перфорированная APOLLO genio "Optimus" OPT-01</t>
  </si>
  <si>
    <t xml:space="preserve">199 </t>
  </si>
  <si>
    <t>https://www.oreht.ru/modules.php?name=orehtPriceLS&amp;op=Search&amp;page=1&amp;stext=387314</t>
  </si>
  <si>
    <t>Кисть кулинарная APOLLO "Tesoro" TSR-14</t>
  </si>
  <si>
    <t xml:space="preserve">192,7 </t>
  </si>
  <si>
    <t>https://www.oreht.ru/modules.php?name=orehtPriceLS&amp;op=Search&amp;page=1&amp;stext=204758</t>
  </si>
  <si>
    <t>Мангал 300х240х300 мм, сборный, без шампуров в коробке /20 61530 HOT POT</t>
  </si>
  <si>
    <t xml:space="preserve">222,1 </t>
  </si>
  <si>
    <t>https://www.oreht.ru/modules.php?name=orehtPriceLS&amp;op=Search&amp;page=1&amp;stext=320122</t>
  </si>
  <si>
    <t>Вилка-гриль для сосисок 50х21х12 см / 12 61256 BOYSCOUT</t>
  </si>
  <si>
    <t>https://www.oreht.ru/modules.php?name=orehtPriceLS&amp;op=Search&amp;page=1&amp;stext=361530</t>
  </si>
  <si>
    <t>Заварочный чайник LARA 700мл, СИЛИКАТНОЕ СТЕКЛО, стальной фильтр, подъем крышки (LR06-19)</t>
  </si>
  <si>
    <t xml:space="preserve">255,3 </t>
  </si>
  <si>
    <t>https://www.oreht.ru/modules.php?name=orehtPriceLS&amp;op=Search&amp;page=1&amp;stext=393571</t>
  </si>
  <si>
    <t>Тарелка подстанов. "Черно-белое" диаметр=27см. "vogue" (мал=6шт./кор=36шт.) без упаков 359-474</t>
  </si>
  <si>
    <t>https://www.oreht.ru/modules.php?name=orehtPriceLS&amp;op=Search&amp;page=1&amp;stext=267065</t>
  </si>
  <si>
    <t>Чайник заварочный с фильтром из нжс 700 мл. 885-061</t>
  </si>
  <si>
    <t xml:space="preserve">217,6 </t>
  </si>
  <si>
    <t>https://www.oreht.ru/modules.php?name=orehtPriceLS&amp;op=Search&amp;page=1&amp;stext=267067</t>
  </si>
  <si>
    <t>Чайник заварочный с фильтром из нжс 700 мл. 885-063</t>
  </si>
  <si>
    <t xml:space="preserve">181,5 </t>
  </si>
  <si>
    <t>https://www.oreht.ru/modules.php?name=orehtPriceLS&amp;op=Search&amp;page=1&amp;stext=430896</t>
  </si>
  <si>
    <t>Заварочный чайник agness с фильтром 700 мл. 885-081</t>
  </si>
  <si>
    <t xml:space="preserve">242,4 </t>
  </si>
  <si>
    <t>https://www.oreht.ru/modules.php?name=orehtPriceLS&amp;op=Search&amp;page=1&amp;stext=375913</t>
  </si>
  <si>
    <t>Тарелка "Пурпур" 21*21 см. высота=2,5 см. 358-1559</t>
  </si>
  <si>
    <t>https://www.oreht.ru/modules.php?name=orehtPriceLS&amp;op=Search&amp;page=1&amp;stext=430894</t>
  </si>
  <si>
    <t>Заварочный чайник agness с фильтром 700 мл. 885-079</t>
  </si>
  <si>
    <t xml:space="preserve">247,2 </t>
  </si>
  <si>
    <t>https://www.oreht.ru/modules.php?name=orehtPriceLS&amp;op=Search&amp;page=1&amp;stext=375107</t>
  </si>
  <si>
    <t>Форма для выпечки раскладная KR-4003, размер: 22*6,8 см арт.007729</t>
  </si>
  <si>
    <t xml:space="preserve">250,3 </t>
  </si>
  <si>
    <t>https://www.oreht.ru/modules.php?name=orehtPriceLS&amp;op=Search&amp;page=1&amp;stext=374399</t>
  </si>
  <si>
    <t>Банка 82-072-ГВ62 2,5л. с делениями с крышкой г. Москва</t>
  </si>
  <si>
    <t>https://www.oreht.ru/modules.php?name=orehtPriceLS&amp;op=Search&amp;page=1&amp;stext=134706</t>
  </si>
  <si>
    <t>Машинка закаточная ЗМ6 (улитка) (г.Чебоксары)</t>
  </si>
  <si>
    <t xml:space="preserve">270,2 </t>
  </si>
  <si>
    <t>https://www.oreht.ru/modules.php?name=orehtPriceLS&amp;op=Search&amp;page=1&amp;stext=251361</t>
  </si>
  <si>
    <t>Чайник заварочный с жестким фильтром из нжс 700 мл. 885-050</t>
  </si>
  <si>
    <t>https://www.oreht.ru/modules.php?name=orehtPriceLS&amp;op=Search&amp;page=1&amp;stext=422998</t>
  </si>
  <si>
    <t>Нож кухонный APOLLO Genio "Vertex" 18,5 см VRX-01</t>
  </si>
  <si>
    <t>https://www.oreht.ru/modules.php?name=orehtPriceLS&amp;op=Search&amp;page=1&amp;stext=415791</t>
  </si>
  <si>
    <t>РК-0054 Прямоугольная форма для запекания с термостойкого стекла 2,2 л "ЗАБАВА" 34.5*20*5.1 см (8)</t>
  </si>
  <si>
    <t xml:space="preserve">279,7 </t>
  </si>
  <si>
    <t>https://www.oreht.ru/modules.php?name=orehtPriceLS&amp;op=Search&amp;page=1&amp;stext=134704</t>
  </si>
  <si>
    <t>Машинка закаточная ЗМ3 (г.Чебоксары) руч.</t>
  </si>
  <si>
    <t xml:space="preserve">286 </t>
  </si>
  <si>
    <t>https://www.oreht.ru/modules.php?name=orehtPriceLS&amp;op=Search&amp;page=1&amp;stext=444696</t>
  </si>
  <si>
    <t>Машинка закаточная ЗМ7 (г.Чебоксары)</t>
  </si>
  <si>
    <t>https://www.oreht.ru/modules.php?name=orehtPriceLS&amp;op=Search&amp;page=1&amp;stext=198924</t>
  </si>
  <si>
    <t>Полка для специй (358х120х105 мм) хром MX-062</t>
  </si>
  <si>
    <t xml:space="preserve">286,4 </t>
  </si>
  <si>
    <t>https://www.oreht.ru/modules.php?name=orehtPriceLS&amp;op=Search&amp;page=1&amp;stext=375912</t>
  </si>
  <si>
    <t>Тарелка "Вдохновение" 21*21 см. высота=2,5 см. 358-1558</t>
  </si>
  <si>
    <t xml:space="preserve">303,1 </t>
  </si>
  <si>
    <t>https://www.oreht.ru/modules.php?name=orehtPriceLS&amp;op=Search&amp;page=1&amp;stext=400020</t>
  </si>
  <si>
    <t>SATOSHI Ножеточка для керамических и стальных ножей (838-017)</t>
  </si>
  <si>
    <t xml:space="preserve">311,3 </t>
  </si>
  <si>
    <t>https://www.oreht.ru/modules.php?name=orehtPriceLS&amp;op=Search&amp;page=1&amp;stext=352035</t>
  </si>
  <si>
    <t>Термос пищевой 500мл. пластиковый (2033)</t>
  </si>
  <si>
    <t>https://www.oreht.ru/modules.php?name=orehtPriceLS&amp;op=Search&amp;page=1&amp;stext=430895</t>
  </si>
  <si>
    <t>Заварочный чайник agness с фильтром 700 мл. 885-080</t>
  </si>
  <si>
    <t>https://www.oreht.ru/modules.php?name=orehtPriceLS&amp;op=Search&amp;page=1&amp;stext=421138</t>
  </si>
  <si>
    <t>Подставка-держатель для сковород L'ordine SHP-1 арт.005345</t>
  </si>
  <si>
    <t>https://www.oreht.ru/modules.php?name=orehtPriceLS&amp;op=Search&amp;page=1&amp;stext=198920</t>
  </si>
  <si>
    <t>Полка угловая малая, тип-II (205x205x250 мм) хром LE 550</t>
  </si>
  <si>
    <t xml:space="preserve">310,5 </t>
  </si>
  <si>
    <t>https://www.oreht.ru/modules.php?name=orehtPriceLS&amp;op=Search&amp;page=1&amp;stext=310791</t>
  </si>
  <si>
    <t>Подставка-держатель для крышек W5177, размер: 45*18.50*11см арт.310860</t>
  </si>
  <si>
    <t>https://www.oreht.ru/modules.php?name=orehtPriceLS&amp;op=Search&amp;page=1&amp;stext=364683</t>
  </si>
  <si>
    <t>BC-1110 Френч-пресс 350мл</t>
  </si>
  <si>
    <t>https://www.oreht.ru/modules.php?name=orehtPriceLS&amp;op=Search&amp;page=1&amp;stext=347678</t>
  </si>
  <si>
    <t>Консервный нож 15.5см из цинкового сплава с TPR-вставками на ручках (5080)</t>
  </si>
  <si>
    <t>https://www.oreht.ru/modules.php?name=orehtPriceLS&amp;op=Search&amp;page=1&amp;stext=139328</t>
  </si>
  <si>
    <t>Кастрюля 4,5л, (с упаковкой в коробку) арт.1045 "КАЛИТВА"</t>
  </si>
  <si>
    <t xml:space="preserve">340,1 </t>
  </si>
  <si>
    <t>https://www.oreht.ru/modules.php?name=orehtPriceLS&amp;op=Search&amp;page=1&amp;stext=391186</t>
  </si>
  <si>
    <t>Доска разделочная 37*28*0.8см пластиковая (10077)</t>
  </si>
  <si>
    <t>https://www.oreht.ru/modules.php?name=orehtPriceLS&amp;op=Search&amp;page=1&amp;stext=272028</t>
  </si>
  <si>
    <t>Термос WEВBER SS-500Р 500мл (24)</t>
  </si>
  <si>
    <t xml:space="preserve">319,4 </t>
  </si>
  <si>
    <t>https://www.oreht.ru/modules.php?name=orehtPriceLS&amp;op=Search&amp;page=1&amp;stext=272029</t>
  </si>
  <si>
    <t>Термос WEВBER SSK-500P 500мл(24)</t>
  </si>
  <si>
    <t>https://www.oreht.ru/modules.php?name=orehtPriceLS&amp;op=Search&amp;page=1&amp;stext=389531</t>
  </si>
  <si>
    <t>EAV03-405/S Набор - Стаканы для виски 6 шт с узором "Греческий узор "</t>
  </si>
  <si>
    <t>https://www.oreht.ru/modules.php?name=orehtPriceLS&amp;op=Search&amp;page=1&amp;stext=422501</t>
  </si>
  <si>
    <t>AK-04038A Термокружка вакуумная Alpenkok СИНИЙ 400мл крышка 360 (24)</t>
  </si>
  <si>
    <t xml:space="preserve">350,8 </t>
  </si>
  <si>
    <t>https://www.oreht.ru/modules.php?name=orehtPriceLS&amp;op=Search&amp;page=1&amp;stext=409963</t>
  </si>
  <si>
    <t>GR1080ОЛ Контейнер герметичный из стекла Cristallo прямоугольный 0,83 л оливковая роща (8)</t>
  </si>
  <si>
    <t>https://www.oreht.ru/modules.php?name=orehtPriceLS&amp;op=Search&amp;page=1&amp;stext=198952</t>
  </si>
  <si>
    <t>Полка для кружек (245х90х340 мм) хром YJ-G508</t>
  </si>
  <si>
    <t xml:space="preserve">325,7 </t>
  </si>
  <si>
    <t>https://www.oreht.ru/modules.php?name=orehtPriceLS&amp;op=Search&amp;page=1&amp;stext=423264</t>
  </si>
  <si>
    <t>30541 Термокружка 420 мл нерж СИНЯЯ MB (х32) "MAYER &amp; BOCH"</t>
  </si>
  <si>
    <t xml:space="preserve">276,3 </t>
  </si>
  <si>
    <t>https://www.oreht.ru/modules.php?name=orehtPriceLS&amp;op=Search&amp;page=1&amp;stext=269753</t>
  </si>
  <si>
    <t>Посуда для СВЧ форма круглая б/крышки 260мм арт.59044</t>
  </si>
  <si>
    <t>https://www.oreht.ru/modules.php?name=orehtPriceLS&amp;op=Search&amp;page=1&amp;stext=385020</t>
  </si>
  <si>
    <t>РК-0047/2 Прямоугольная форма для запекания с крышкой 1,5л "ЗАБАВА" 30.2*18.4*5.0 см (12)</t>
  </si>
  <si>
    <t xml:space="preserve">322,1 </t>
  </si>
  <si>
    <t>https://www.oreht.ru/modules.php?name=orehtPriceLS&amp;op=Search&amp;page=1&amp;stext=124542</t>
  </si>
  <si>
    <t>Сковорода 180/30мм с ал. ручкой г.КУКМОР арт.с180 "Kukmara"</t>
  </si>
  <si>
    <t xml:space="preserve">338,4 </t>
  </si>
  <si>
    <t>https://www.oreht.ru/modules.php?name=orehtPriceLS&amp;op=Search&amp;page=1&amp;stext=323968</t>
  </si>
  <si>
    <t>Чайная пара DYNASTY 220мл арт.TDS086</t>
  </si>
  <si>
    <t xml:space="preserve">329,8 </t>
  </si>
  <si>
    <t>https://www.oreht.ru/modules.php?name=orehtPriceLS&amp;op=Search&amp;page=1&amp;stext=344705</t>
  </si>
  <si>
    <t>Доска разделочная 40*24*0.8см пластиковая (10059A) (10059)</t>
  </si>
  <si>
    <t xml:space="preserve">340,4 </t>
  </si>
  <si>
    <t>https://www.oreht.ru/modules.php?name=orehtPriceLS&amp;op=Search&amp;page=1&amp;stext=390312</t>
  </si>
  <si>
    <t>BE-6045 Термокружка с ситечком для чая Webber цв. красный 480мл (50)</t>
  </si>
  <si>
    <t xml:space="preserve">328,6 </t>
  </si>
  <si>
    <t>https://www.oreht.ru/modules.php?name=orehtPriceLS&amp;op=Search&amp;page=1&amp;stext=306217</t>
  </si>
  <si>
    <t>LR05-92 LARA Ножницы 6 в 1 (шоубокс) прорезиненые ручки, сверхострая заточка</t>
  </si>
  <si>
    <t xml:space="preserve">346,1 </t>
  </si>
  <si>
    <t>https://www.oreht.ru/modules.php?name=orehtPriceLS&amp;op=Search&amp;page=1&amp;stext=104930</t>
  </si>
  <si>
    <t>Решетка-гриль "Баварская" / 20 (401-737) ПИКНИЧОК</t>
  </si>
  <si>
    <t xml:space="preserve">347,3 </t>
  </si>
  <si>
    <t>https://www.oreht.ru/modules.php?name=orehtPriceLS&amp;op=Search&amp;page=1&amp;stext=202466</t>
  </si>
  <si>
    <t>Мангал Эконом разборный ЛИАНА Ж-027</t>
  </si>
  <si>
    <t xml:space="preserve">348 </t>
  </si>
  <si>
    <t>https://www.oreht.ru/modules.php?name=orehtPriceLS&amp;op=Search&amp;page=1&amp;stext=272698</t>
  </si>
  <si>
    <t>Форма для выпечки LARA прямоугольная 42,8*28,5*5 углеродистая сталь, а/п (LR11-14)</t>
  </si>
  <si>
    <t xml:space="preserve">339,3 </t>
  </si>
  <si>
    <t>https://www.oreht.ru/modules.php?name=orehtPriceLS&amp;op=Search&amp;page=1&amp;stext=198948</t>
  </si>
  <si>
    <t>Полка для фужеров (235х250х100 мм) хром YJ-G507</t>
  </si>
  <si>
    <t xml:space="preserve">256,2 </t>
  </si>
  <si>
    <t>https://www.oreht.ru/modules.php?name=orehtPriceLS&amp;op=Search&amp;page=1&amp;stext=372441</t>
  </si>
  <si>
    <t>Набор салатников "Природа в лицах" 3 пр.: 15 см, 18 см, 20 см, в подарочной упаковке арт.MFK08291</t>
  </si>
  <si>
    <t>https://www.oreht.ru/modules.php?name=orehtPriceLS&amp;op=Search&amp;page=1&amp;stext=375091</t>
  </si>
  <si>
    <t>Ваза керамическая "Вираж", мятная арт.005867</t>
  </si>
  <si>
    <t>https://www.oreht.ru/modules.php?name=orehtPriceLS&amp;op=Search&amp;page=1&amp;stext=417791</t>
  </si>
  <si>
    <t>Френч-пресс из нержавеющей стали 350мл, бакелитовая ручка "МАРУСЯ" (М-5235)</t>
  </si>
  <si>
    <t xml:space="preserve">348,4 </t>
  </si>
  <si>
    <t>https://www.oreht.ru/modules.php?name=orehtPriceLS&amp;op=Search&amp;page=1&amp;stext=422007</t>
  </si>
  <si>
    <t>Бутыль 82-034-ГВ32 "Винная" 2 л.прозрачная с крыш.</t>
  </si>
  <si>
    <t xml:space="preserve">362,5 </t>
  </si>
  <si>
    <t>https://www.oreht.ru/modules.php?name=orehtPriceLS&amp;op=Search&amp;page=1&amp;stext=426638</t>
  </si>
  <si>
    <t>Ваза FLORERO 25см арт.TDD011</t>
  </si>
  <si>
    <t>https://www.oreht.ru/modules.php?name=orehtPriceLS&amp;op=Search&amp;page=1&amp;stext=176634</t>
  </si>
  <si>
    <t>Тарелка десертная 21см ф.круг CS228821-A снежная королева /з</t>
  </si>
  <si>
    <t xml:space="preserve">337,8 </t>
  </si>
  <si>
    <t>https://www.oreht.ru/modules.php?name=orehtPriceLS&amp;op=Search&amp;page=1&amp;stext=394343</t>
  </si>
  <si>
    <t>Банка для сып.продуктов 1000мл с клипсой п/уп, Tuscan vegetables ZFC037-36</t>
  </si>
  <si>
    <t xml:space="preserve">367,4 </t>
  </si>
  <si>
    <t>https://www.oreht.ru/modules.php?name=orehtPriceLS&amp;op=Search&amp;page=1&amp;stext=367680</t>
  </si>
  <si>
    <t>Решетка для гриля 58*30см с двумя деревянными ручками (742)</t>
  </si>
  <si>
    <t xml:space="preserve">371,4 </t>
  </si>
  <si>
    <t>https://www.oreht.ru/modules.php?name=orehtPriceLS&amp;op=Search&amp;page=1&amp;stext=390325</t>
  </si>
  <si>
    <t>AK-9510 Блюдо вращающееся для сервировки 32 см (12)</t>
  </si>
  <si>
    <t xml:space="preserve">373,8 </t>
  </si>
  <si>
    <t>https://www.oreht.ru/modules.php?name=orehtPriceLS&amp;op=Search&amp;page=1&amp;stext=370789</t>
  </si>
  <si>
    <t>Терка роторная ЛЕПСЕ ТР-2 г.Киров</t>
  </si>
  <si>
    <t>https://www.oreht.ru/modules.php?name=orehtPriceLS&amp;op=Search&amp;page=1&amp;stext=198953</t>
  </si>
  <si>
    <t>Полка для крышек (215х115х420 мм) хром YJ-G809B</t>
  </si>
  <si>
    <t xml:space="preserve">381,9 </t>
  </si>
  <si>
    <t>https://www.oreht.ru/modules.php?name=orehtPriceLS&amp;op=Search&amp;page=1&amp;stext=233617</t>
  </si>
  <si>
    <t>11-11 Доска разделочная овал больш с мет.руч "MAYER &amp; BOCH"</t>
  </si>
  <si>
    <t xml:space="preserve">382,8 </t>
  </si>
  <si>
    <t>https://www.oreht.ru/modules.php?name=orehtPriceLS&amp;op=Search&amp;page=1&amp;stext=205336</t>
  </si>
  <si>
    <t>Заварочный чайник с фильтром 1100 мл 884-005</t>
  </si>
  <si>
    <t>https://www.oreht.ru/modules.php?name=orehtPriceLS&amp;op=Search&amp;page=1&amp;stext=387883</t>
  </si>
  <si>
    <t>Френч-пресс agness "Прованс лимоны" 350 мл 894-118</t>
  </si>
  <si>
    <t>https://www.oreht.ru/modules.php?name=orehtPriceLS&amp;op=Search&amp;page=1&amp;stext=389152</t>
  </si>
  <si>
    <t>Бокал АМБЕР 6 шт. 210 мл арт.440295B</t>
  </si>
  <si>
    <t xml:space="preserve">387,3 </t>
  </si>
  <si>
    <t>https://www.oreht.ru/modules.php?name=orehtPriceLS&amp;op=Search&amp;page=1&amp;stext=354626</t>
  </si>
  <si>
    <t>Скалка силиконовая 47см с вращающимся валиком (7711)</t>
  </si>
  <si>
    <t xml:space="preserve">359 </t>
  </si>
  <si>
    <t>https://www.oreht.ru/modules.php?name=orehtPriceLS&amp;op=Search&amp;page=1&amp;stext=353759</t>
  </si>
  <si>
    <t>BE-6037 Термобутылка спортивная Webber мультицвет 500мл (24)</t>
  </si>
  <si>
    <t>https://www.oreht.ru/modules.php?name=orehtPriceLS&amp;op=Search&amp;page=1&amp;stext=297633</t>
  </si>
  <si>
    <t>Набор салфеток д/сервировки 30х45см 3255</t>
  </si>
  <si>
    <t>https://www.oreht.ru/modules.php?name=orehtPriceLS&amp;op=Search&amp;page=1&amp;stext=297632</t>
  </si>
  <si>
    <t>Набор салфеток д/сервировки 30х45см 3254</t>
  </si>
  <si>
    <t>https://www.oreht.ru/modules.php?name=orehtPriceLS&amp;op=Search&amp;page=1&amp;stext=297629</t>
  </si>
  <si>
    <t>Набор салфеток д/сервировки 30х45см 3251</t>
  </si>
  <si>
    <t>https://www.oreht.ru/modules.php?name=orehtPriceLS&amp;op=Search&amp;page=1&amp;stext=297623</t>
  </si>
  <si>
    <t>Набор салфеток д/сервировки 30х45см 3245</t>
  </si>
  <si>
    <t>https://www.oreht.ru/modules.php?name=orehtPriceLS&amp;op=Search&amp;page=1&amp;stext=297620</t>
  </si>
  <si>
    <t>Набор салфеток д/сервировки 30х45см 3242</t>
  </si>
  <si>
    <t>https://www.oreht.ru/modules.php?name=orehtPriceLS&amp;op=Search&amp;page=1&amp;stext=428661</t>
  </si>
  <si>
    <t>Чайник 680мл. ФЛОРЕНС в под.уп.(х24) арт.181-116</t>
  </si>
  <si>
    <t>https://www.oreht.ru/modules.php?name=orehtPriceLS&amp;op=Search&amp;page=1&amp;stext=429426</t>
  </si>
  <si>
    <t>Термос 750 мл из нержавеющей стали (101306)</t>
  </si>
  <si>
    <t>https://www.oreht.ru/modules.php?name=orehtPriceLS&amp;op=Search&amp;page=1&amp;stext=344698</t>
  </si>
  <si>
    <t>Молоток для отбивания мяса 24*6*4.5см из цинкового сплава (0655)</t>
  </si>
  <si>
    <t xml:space="preserve">366,5 </t>
  </si>
  <si>
    <t>https://www.oreht.ru/modules.php?name=orehtPriceLS&amp;op=Search&amp;page=1&amp;stext=423250</t>
  </si>
  <si>
    <t>27543 Ступка с пестиком мрамор MB (х8) "MAYER &amp; BOCH"</t>
  </si>
  <si>
    <t>https://www.oreht.ru/modules.php?name=orehtPriceLS&amp;op=Search&amp;page=1&amp;stext=436289</t>
  </si>
  <si>
    <t>Френчпресс 600мл (нержавеющая сталь, стекло) (100601)</t>
  </si>
  <si>
    <t xml:space="preserve">399,4 </t>
  </si>
  <si>
    <t>https://www.oreht.ru/modules.php?name=orehtPriceLS&amp;op=Search&amp;page=1&amp;stext=395479</t>
  </si>
  <si>
    <t>Емкость для сыпучих продуктов "Coffee" высота=20 см. / 1100 мл. 358-1325</t>
  </si>
  <si>
    <t>https://www.oreht.ru/modules.php?name=orehtPriceLS&amp;op=Search&amp;page=1&amp;stext=400240</t>
  </si>
  <si>
    <t>BE-4524/24 Сковорода блинная "Webber" алюмин. с антипригарным покрытием 24 см (12)</t>
  </si>
  <si>
    <t xml:space="preserve">356 </t>
  </si>
  <si>
    <t>https://www.oreht.ru/modules.php?name=orehtPriceLS&amp;op=Search&amp;page=1&amp;stext=261186</t>
  </si>
  <si>
    <t>Бокал КАРАТ 6 шт. 58 мл арт.440145B</t>
  </si>
  <si>
    <t xml:space="preserve">401,9 </t>
  </si>
  <si>
    <t>https://www.oreht.ru/modules.php?name=orehtPriceLS&amp;op=Search&amp;page=1&amp;stext=402836</t>
  </si>
  <si>
    <t>Тарелка "лаванда" маленькая 21 см арт.15714</t>
  </si>
  <si>
    <t>https://www.oreht.ru/modules.php?name=orehtPriceLS&amp;op=Search&amp;page=1&amp;stext=351643</t>
  </si>
  <si>
    <t>Блюдо Pyrex овальное 35x24см арт.346B000ST</t>
  </si>
  <si>
    <t>https://www.oreht.ru/modules.php?name=orehtPriceLS&amp;op=Search&amp;page=1&amp;stext=375909</t>
  </si>
  <si>
    <t>Тарелка подстановочная "Вдохновение" 26*26 см. высота=3 см. 358-1555</t>
  </si>
  <si>
    <t xml:space="preserve">403 </t>
  </si>
  <si>
    <t>https://www.oreht.ru/modules.php?name=orehtPriceLS&amp;op=Search&amp;page=1&amp;stext=350356</t>
  </si>
  <si>
    <t>Блюдо на ножке "бургундская кувшинка" 21 см (4) арт.16578a/2</t>
  </si>
  <si>
    <t>https://www.oreht.ru/modules.php?name=orehtPriceLS&amp;op=Search&amp;page=1&amp;stext=350353</t>
  </si>
  <si>
    <t>Блюдо на ножке "золотая кувшинка" 21 см (4) арт.16578a/1</t>
  </si>
  <si>
    <t>https://www.oreht.ru/modules.php?name=orehtPriceLS&amp;op=Search&amp;page=1&amp;stext=269770</t>
  </si>
  <si>
    <t>Посуда для СВЧ форма круглая арт.59544</t>
  </si>
  <si>
    <t>https://www.oreht.ru/modules.php?name=orehtPriceLS&amp;op=Search&amp;page=1&amp;stext=348400</t>
  </si>
  <si>
    <t>Заварочный чайник LARA 1500мл, СИЛИКАТНОЕ СТЕКЛО, стальной фильтр, подъем крышки (LR06-16)</t>
  </si>
  <si>
    <t xml:space="preserve">449,6 </t>
  </si>
  <si>
    <t>https://www.oreht.ru/modules.php?name=orehtPriceLS&amp;op=Search&amp;page=1&amp;stext=294936</t>
  </si>
  <si>
    <t>Блюдо прямоугольное с крышкой Cook Freez 22x17x6см 1.5л арт.242P000</t>
  </si>
  <si>
    <t>https://www.oreht.ru/modules.php?name=orehtPriceLS&amp;op=Search&amp;page=1&amp;stext=124558</t>
  </si>
  <si>
    <t>Сковорода 260/60-М (с утолщенным дном) г.КУКМОР арт.с261 "Kukmara"</t>
  </si>
  <si>
    <t xml:space="preserve">438,2 </t>
  </si>
  <si>
    <t>https://www.oreht.ru/modules.php?name=orehtPriceLS&amp;op=Search&amp;page=1&amp;stext=409964</t>
  </si>
  <si>
    <t>GR1081ОЛ Контейнер герметичный из стекла Cristallo прямоугольный 1 л (6)</t>
  </si>
  <si>
    <t xml:space="preserve">414,2 </t>
  </si>
  <si>
    <t>https://www.oreht.ru/modules.php?name=orehtPriceLS&amp;op=Search&amp;page=1&amp;stext=400045</t>
  </si>
  <si>
    <t>Tramontina Professional Master Нож для разделки туши 15см 24606/086 (871-436)</t>
  </si>
  <si>
    <t xml:space="preserve">418,1 </t>
  </si>
  <si>
    <t>https://www.oreht.ru/modules.php?name=orehtPriceLS&amp;op=Search&amp;page=1&amp;stext=245605</t>
  </si>
  <si>
    <t>Посуда для СВЧ лоток прямоуг с крышкой 1,5 л 29*16*10 см арт.59019</t>
  </si>
  <si>
    <t>https://www.oreht.ru/modules.php?name=orehtPriceLS&amp;op=Search&amp;page=1&amp;stext=371301</t>
  </si>
  <si>
    <t>Тяпка для капусты "Березка", нержев. сталь 40х17х2,5 см арт.1241350 г.Екатеринбург</t>
  </si>
  <si>
    <t>https://www.oreht.ru/modules.php?name=orehtPriceLS&amp;op=Search&amp;page=1&amp;stext=436290</t>
  </si>
  <si>
    <t>Френчпресс 800мл (нержавеющая сталь, стекло) (100602)</t>
  </si>
  <si>
    <t xml:space="preserve">401,4 </t>
  </si>
  <si>
    <t>https://www.oreht.ru/modules.php?name=orehtPriceLS&amp;op=Search&amp;page=1&amp;stext=402482</t>
  </si>
  <si>
    <t>Банка с силиконовой крышкой "Шиповник" 500мл 359-787</t>
  </si>
  <si>
    <t>https://www.oreht.ru/modules.php?name=orehtPriceLS&amp;op=Search&amp;page=1&amp;stext=278206</t>
  </si>
  <si>
    <t>AK-801 Гейзерная кофеварка ALPENKOK 220мл на 4 чашки (30)</t>
  </si>
  <si>
    <t>https://www.oreht.ru/modules.php?name=orehtPriceLS&amp;op=Search&amp;page=1&amp;stext=383479</t>
  </si>
  <si>
    <t>Ковш Mediano, объем 1,9 л, диа 16 см, нерж с крышкой, ручки из нерж стали, капсулир дно арт 005441</t>
  </si>
  <si>
    <t xml:space="preserve">423,1 </t>
  </si>
  <si>
    <t>https://www.oreht.ru/modules.php?name=orehtPriceLS&amp;op=Search&amp;page=1&amp;stext=430247</t>
  </si>
  <si>
    <t>Посуда для СВЧ салатник d=264 мм 3,5 л арт.59614</t>
  </si>
  <si>
    <t>https://www.oreht.ru/modules.php?name=orehtPriceLS&amp;op=Search&amp;page=1&amp;stext=418337</t>
  </si>
  <si>
    <t>Салатник с ручками bronco "Midnight gold" 20см 42-370</t>
  </si>
  <si>
    <t>https://www.oreht.ru/modules.php?name=orehtPriceLS&amp;op=Search&amp;page=1&amp;stext=432334</t>
  </si>
  <si>
    <t>Tramontina Professional Master Нож филейный гибкий 15см 24604/086 (871-241)</t>
  </si>
  <si>
    <t xml:space="preserve">424,7 </t>
  </si>
  <si>
    <t>https://www.oreht.ru/modules.php?name=orehtPriceLS&amp;op=Search&amp;page=1&amp;stext=314014</t>
  </si>
  <si>
    <t>Посуда для СВЧ Форма прямоугольная 260*150 мм 1320 мл б/крышки арт.59864</t>
  </si>
  <si>
    <t xml:space="preserve">425,4 </t>
  </si>
  <si>
    <t>https://www.oreht.ru/modules.php?name=orehtPriceLS&amp;op=Search&amp;page=1&amp;stext=430898</t>
  </si>
  <si>
    <t>Масленка "Коллис мемори" 20*12,5*10 см 358-1501</t>
  </si>
  <si>
    <t xml:space="preserve">426 </t>
  </si>
  <si>
    <t>https://www.oreht.ru/modules.php?name=orehtPriceLS&amp;op=Search&amp;page=1&amp;stext=368285</t>
  </si>
  <si>
    <t>Банка для сыпучих продуктов JEWEL Печать 1600 мл (доломитовая керамика) "JEWEL" (ПС00064-05)</t>
  </si>
  <si>
    <t>https://www.oreht.ru/modules.php?name=orehtPriceLS&amp;op=Search&amp;page=1&amp;stext=393203</t>
  </si>
  <si>
    <t>Банка с силиконовой крышкой "Веселые друзья" 500мл 359-576</t>
  </si>
  <si>
    <t>https://www.oreht.ru/modules.php?name=orehtPriceLS&amp;op=Search&amp;page=1&amp;stext=222925</t>
  </si>
  <si>
    <t>Бумага для выпекания силиконизированная коричневая 38см х 50м (209-054)</t>
  </si>
  <si>
    <t>https://www.oreht.ru/modules.php?name=orehtPriceLS&amp;op=Search&amp;page=1&amp;stext=418257</t>
  </si>
  <si>
    <t>Ляган рифленый Риштанская Керамика глубокий 32см арт.2870519 г.Екатеринбург</t>
  </si>
  <si>
    <t>https://www.oreht.ru/modules.php?name=orehtPriceLS&amp;op=Search&amp;page=1&amp;stext=348402</t>
  </si>
  <si>
    <t>Заварочный чайник LARA 1500мл, СИЛИКАТНОЕ СТЕКЛО, стальной фильтр, подъем крышки (LR06-17)</t>
  </si>
  <si>
    <t xml:space="preserve">471,3 </t>
  </si>
  <si>
    <t>https://www.oreht.ru/modules.php?name=orehtPriceLS&amp;op=Search&amp;page=1&amp;stext=269765</t>
  </si>
  <si>
    <t>Лоток для СВЧ прямоугольный LASER LOGO арт.59324</t>
  </si>
  <si>
    <t xml:space="preserve">429,9 </t>
  </si>
  <si>
    <t>https://www.oreht.ru/modules.php?name=orehtPriceLS&amp;op=Search&amp;page=1&amp;stext=367623</t>
  </si>
  <si>
    <t>Набор бокалов ВРЕМЯ ДЕГУСТАЦИЙ КРАФТОВОЕ ПИВО 4шт mix арт.P7623</t>
  </si>
  <si>
    <t>https://www.oreht.ru/modules.php?name=orehtPriceLS&amp;op=Search&amp;page=1&amp;stext=399965</t>
  </si>
  <si>
    <t>SATOSHI Форма для запекания жаропрочная прямоугольная с ручками, стекло 29х17,5х5см (825-005)</t>
  </si>
  <si>
    <t xml:space="preserve">432,3 </t>
  </si>
  <si>
    <t>https://www.oreht.ru/modules.php?name=orehtPriceLS&amp;op=Search&amp;page=1&amp;stext=327076</t>
  </si>
  <si>
    <t>Форма для выпечки LARA прямоуг+зажим 28*28*6.8 углеродистая сталь, а/п (LR11-19)</t>
  </si>
  <si>
    <t xml:space="preserve">432,8 </t>
  </si>
  <si>
    <t>https://www.oreht.ru/modules.php?name=orehtPriceLS&amp;op=Search&amp;page=1&amp;stext=105384</t>
  </si>
  <si>
    <t>Сковорода Consul d 220 ст.кр. RC-008 "SСOVO"</t>
  </si>
  <si>
    <t xml:space="preserve">433 </t>
  </si>
  <si>
    <t>https://www.oreht.ru/modules.php?name=orehtPriceLS&amp;op=Search&amp;page=1&amp;stext=424104</t>
  </si>
  <si>
    <t>Набор салатников "АНТУРАЖ" 7 пр.: 12.5 см 6 шт., 20 см 1 шт арт.OW-7A5/160203</t>
  </si>
  <si>
    <t>https://www.oreht.ru/modules.php?name=orehtPriceLS&amp;op=Search&amp;page=1&amp;stext=240395</t>
  </si>
  <si>
    <t>РК-0011 Овальная форма для запекания 3,2л "ЗАБАВА" 350*245*65 (6)</t>
  </si>
  <si>
    <t xml:space="preserve">435,3 </t>
  </si>
  <si>
    <t>https://www.oreht.ru/modules.php?name=orehtPriceLS&amp;op=Search&amp;page=1&amp;stext=341416</t>
  </si>
  <si>
    <t>https://www.oreht.ru/modules.php?name=orehtPriceLS&amp;op=Search&amp;page=1&amp;stext=121176</t>
  </si>
  <si>
    <t>Кастрюля 1л С-16074АП ЛАСКОВЫЙ МАЙ (г.Лысьва)</t>
  </si>
  <si>
    <t xml:space="preserve">471,4 </t>
  </si>
  <si>
    <t>https://www.oreht.ru/modules.php?name=orehtPriceLS&amp;op=Search&amp;page=1&amp;stext=403935</t>
  </si>
  <si>
    <t>29491 Набор мисок 5пр с/кр эмаль MB (х24) "MAYER &amp; BOCH"</t>
  </si>
  <si>
    <t>https://www.oreht.ru/modules.php?name=orehtPriceLS&amp;op=Search&amp;page=1&amp;stext=421579</t>
  </si>
  <si>
    <t>Чайник заварочный "Эко" 400 мл, 13,5х10х11 см арт.3910473 г.Екатеринбург</t>
  </si>
  <si>
    <t xml:space="preserve">436,3 </t>
  </si>
  <si>
    <t>https://www.oreht.ru/modules.php?name=orehtPriceLS&amp;op=Search&amp;page=1&amp;stext=121168</t>
  </si>
  <si>
    <t>Кастрюля 1л С-16074АП ИТАЛЬЯНСКАЯ КУХНЯ (г.Лысьва)</t>
  </si>
  <si>
    <t>https://www.oreht.ru/modules.php?name=orehtPriceLS&amp;op=Search&amp;page=1&amp;stext=239666</t>
  </si>
  <si>
    <t>Молоток-топорик для мяса, арт. 94-3601 (REGENT)</t>
  </si>
  <si>
    <t>https://www.oreht.ru/modules.php?name=orehtPriceLS&amp;op=Search&amp;page=1&amp;stext=353036</t>
  </si>
  <si>
    <t>BE-0526 Чайник из нерж.стали 2.5л (12)</t>
  </si>
  <si>
    <t>https://www.oreht.ru/modules.php?name=orehtPriceLS&amp;op=Search&amp;page=1&amp;stext=213911</t>
  </si>
  <si>
    <t>Котелок туристический 6л. арт 19060 "КАЛИТВА"</t>
  </si>
  <si>
    <t xml:space="preserve">439,2 </t>
  </si>
  <si>
    <t>https://www.oreht.ru/modules.php?name=orehtPriceLS&amp;op=Search&amp;page=1&amp;stext=88703</t>
  </si>
  <si>
    <t>Пара чайная 280мл ф.круг п/у CS506710-A снежная королева /з</t>
  </si>
  <si>
    <t xml:space="preserve">358,4 </t>
  </si>
  <si>
    <t>https://www.oreht.ru/modules.php?name=orehtPriceLS&amp;op=Search&amp;page=1&amp;stext=374984</t>
  </si>
  <si>
    <t>Форма силиконовая "Кекс конфетти", с отверстием, 21,5*9 см, MARMITON /30/10 17411</t>
  </si>
  <si>
    <t>https://www.oreht.ru/modules.php?name=orehtPriceLS&amp;op=Search&amp;page=1&amp;stext=272031</t>
  </si>
  <si>
    <t>Термос WEВBER SSK-750P 750мл (24)</t>
  </si>
  <si>
    <t>https://www.oreht.ru/modules.php?name=orehtPriceLS&amp;op=Search&amp;page=1&amp;stext=395583</t>
  </si>
  <si>
    <t>Набор салатников "Фиона" 3 пр.: 15 см, 18 см, 20 см, в подарочной упаковке арт.MFK08309</t>
  </si>
  <si>
    <t>https://www.oreht.ru/modules.php?name=orehtPriceLS&amp;op=Search&amp;page=1&amp;stext=423436</t>
  </si>
  <si>
    <t>Блюдо для запекания и выпечки IRRESISTIBLE 30х21см овальное арт.410B000/IR</t>
  </si>
  <si>
    <t>https://www.oreht.ru/modules.php?name=orehtPriceLS&amp;op=Search&amp;page=1&amp;stext=413054</t>
  </si>
  <si>
    <t>BE-0121 Гейзерная кофеварка WEBBER алюминиевая,150мл на 3 чашки (36)</t>
  </si>
  <si>
    <t xml:space="preserve">405,5 </t>
  </si>
  <si>
    <t>https://www.oreht.ru/modules.php?name=orehtPriceLS&amp;op=Search&amp;page=1&amp;stext=379235</t>
  </si>
  <si>
    <t>Сахарница с ложкой 350 мл диаметр=12 см высота=10 см 587-126</t>
  </si>
  <si>
    <t>https://www.oreht.ru/modules.php?name=orehtPriceLS&amp;op=Search&amp;page=1&amp;stext=376842</t>
  </si>
  <si>
    <t>Набор пиал 9,5см, 3шт, подар упак арт.5139404 Узбекистан</t>
  </si>
  <si>
    <t>https://www.oreht.ru/modules.php?name=orehtPriceLS&amp;op=Search&amp;page=1&amp;stext=426253</t>
  </si>
  <si>
    <t>29951 Чайник заварочный чер1,8 л стекло MB (х24) "MAYER &amp; BOCH"</t>
  </si>
  <si>
    <t>https://www.oreht.ru/modules.php?name=orehtPriceLS&amp;op=Search&amp;page=1&amp;stext=340518</t>
  </si>
  <si>
    <t>Емкость для сыпучих продуктов "Сахар" диаметр=11см. высота=15,5см 790-160</t>
  </si>
  <si>
    <t xml:space="preserve">455,6 </t>
  </si>
  <si>
    <t>https://www.oreht.ru/modules.php?name=orehtPriceLS&amp;op=Search&amp;page=1&amp;stext=340520</t>
  </si>
  <si>
    <t>Емкость для сыпучих продуктов "Чай" диаметр=11см. высота=15,5см 790-162</t>
  </si>
  <si>
    <t>https://www.oreht.ru/modules.php?name=orehtPriceLS&amp;op=Search&amp;page=1&amp;stext=423252</t>
  </si>
  <si>
    <t>29649 Подставка для ножей 2пр 21,8 см МВ (х12) "MAYER &amp; BOCH"</t>
  </si>
  <si>
    <t>https://www.oreht.ru/modules.php?name=orehtPriceLS&amp;op=Search&amp;page=1&amp;stext=213902</t>
  </si>
  <si>
    <t>Кастрюля-пароварка 2,5л с мет.кр. арт.14425 "КАЛИТВА"</t>
  </si>
  <si>
    <t xml:space="preserve">426,7 </t>
  </si>
  <si>
    <t>https://www.oreht.ru/modules.php?name=orehtPriceLS&amp;op=Search&amp;page=1&amp;stext=412248</t>
  </si>
  <si>
    <t>Салатник 350мл/14см, Strawberry Thief (red) W006-A07023R (уп/6шт)</t>
  </si>
  <si>
    <t xml:space="preserve">428,4 </t>
  </si>
  <si>
    <t>https://www.oreht.ru/modules.php?name=orehtPriceLS&amp;op=Search&amp;page=1&amp;stext=139331</t>
  </si>
  <si>
    <t>Кастрюля 8,0л, 2руч., мет.кр. арт.14080 "КАЛИТВА"</t>
  </si>
  <si>
    <t xml:space="preserve">496,3 </t>
  </si>
  <si>
    <t>https://www.oreht.ru/modules.php?name=orehtPriceLS&amp;op=Search&amp;page=1&amp;stext=273958</t>
  </si>
  <si>
    <t>Кастрюля 2л С-15104АП2 СИНИЙ ЛЕН (г.Лысьва)</t>
  </si>
  <si>
    <t xml:space="preserve">456,2 </t>
  </si>
  <si>
    <t>https://www.oreht.ru/modules.php?name=orehtPriceLS&amp;op=Search&amp;page=1&amp;stext=294510</t>
  </si>
  <si>
    <t>Посуда для СВЧ лоток прямоуг.с крышкой (1093247) арт.59006K 33*19см</t>
  </si>
  <si>
    <t xml:space="preserve">458,4 </t>
  </si>
  <si>
    <t>https://www.oreht.ru/modules.php?name=orehtPriceLS&amp;op=Search&amp;page=1&amp;stext=426212</t>
  </si>
  <si>
    <t>Крышка стеклянная с силиконовым ободком, серия CAPPELLO, 24 см диа, сил ручка арт.003544</t>
  </si>
  <si>
    <t>https://www.oreht.ru/modules.php?name=orehtPriceLS&amp;op=Search&amp;page=1&amp;stext=426237</t>
  </si>
  <si>
    <t>28343 Блинница 26см мрам/кр АП индукц/дно MB(х12) "MAYER &amp; BOCH"</t>
  </si>
  <si>
    <t>https://www.oreht.ru/modules.php?name=orehtPriceLS&amp;op=Search&amp;page=1&amp;stext=364681</t>
  </si>
  <si>
    <t>BC-1105 Френч-пресс 600мл</t>
  </si>
  <si>
    <t>https://www.oreht.ru/modules.php?name=orehtPriceLS&amp;op=Search&amp;page=1&amp;stext=430616</t>
  </si>
  <si>
    <t>Набор салатников 3 пр. без деколи: салатник 17,5 см, 20 см, 22,5 см арт.OW-3B4(N)</t>
  </si>
  <si>
    <t xml:space="preserve">462 </t>
  </si>
  <si>
    <t>https://www.oreht.ru/modules.php?name=orehtPriceLS&amp;op=Search&amp;page=1&amp;stext=372539</t>
  </si>
  <si>
    <t>Молочник 1.5л с бакелитовой ручкой (5843)</t>
  </si>
  <si>
    <t xml:space="preserve">454,3 </t>
  </si>
  <si>
    <t>https://www.oreht.ru/modules.php?name=orehtPriceLS&amp;op=Search&amp;page=1&amp;stext=349664</t>
  </si>
  <si>
    <t>Чайник 1,5л. из нержавеющей стали со свистком и нейлоновой ручкой, 1080</t>
  </si>
  <si>
    <t>https://www.oreht.ru/modules.php?name=orehtPriceLS&amp;op=Search&amp;page=1&amp;stext=400236</t>
  </si>
  <si>
    <t>ЯР-804/1 Решетка-барбекю универсальная "Алтай" 40*30 см (24)</t>
  </si>
  <si>
    <t>https://www.oreht.ru/modules.php?name=orehtPriceLS&amp;op=Search&amp;page=1&amp;stext=417792</t>
  </si>
  <si>
    <t>Френч-пресс из нержавеющей стали 600мл, бакелитовая ручка "МАРУСЯ" (М-5260)</t>
  </si>
  <si>
    <t xml:space="preserve">465,6 </t>
  </si>
  <si>
    <t>https://www.oreht.ru/modules.php?name=orehtPriceLS&amp;op=Search&amp;page=1&amp;stext=428629</t>
  </si>
  <si>
    <t>Овальное блюдо 28см СТЁЖКА в под.уп.(х16)Керамика арт.110305</t>
  </si>
  <si>
    <t>https://www.oreht.ru/modules.php?name=orehtPriceLS&amp;op=Search&amp;page=1&amp;stext=371284</t>
  </si>
  <si>
    <t>Сковорода на деревянной подставке "Овал. Гриль" 22,6х15,6 см арт.1210696 г.Екатеринбург</t>
  </si>
  <si>
    <t>https://www.oreht.ru/modules.php?name=orehtPriceLS&amp;op=Search&amp;page=1&amp;stext=105516</t>
  </si>
  <si>
    <t>Сковорода Promo d 260 ст.кр. PA-010</t>
  </si>
  <si>
    <t xml:space="preserve">492 </t>
  </si>
  <si>
    <t>https://www.oreht.ru/modules.php?name=orehtPriceLS&amp;op=Search&amp;page=1&amp;stext=204795</t>
  </si>
  <si>
    <t>Набор плоских шампуров 45 см 6 штук в блистере / 12 61326 BOYSCOUT</t>
  </si>
  <si>
    <t xml:space="preserve">468 </t>
  </si>
  <si>
    <t>https://www.oreht.ru/modules.php?name=orehtPriceLS&amp;op=Search&amp;page=1&amp;stext=259166</t>
  </si>
  <si>
    <t>25996 Сахарница мет с/кр 450мл с ложкой MB (х36) "MAYER &amp; BOCH"</t>
  </si>
  <si>
    <t xml:space="preserve">508,2 </t>
  </si>
  <si>
    <t>https://www.oreht.ru/modules.php?name=orehtPriceLS&amp;op=Search&amp;page=1&amp;stext=320342</t>
  </si>
  <si>
    <t>Кофеварка гейзерная, 3 чашки, алюминий (SGS) пластиковая ручка (850-129)</t>
  </si>
  <si>
    <t xml:space="preserve">472,6 </t>
  </si>
  <si>
    <t>https://www.oreht.ru/modules.php?name=orehtPriceLS&amp;op=Search&amp;page=1&amp;stext=409118</t>
  </si>
  <si>
    <t>Кулинарный коврик силиконовый PATERRA, 50*70см (402-818)</t>
  </si>
  <si>
    <t xml:space="preserve">473,6 </t>
  </si>
  <si>
    <t>https://www.oreht.ru/modules.php?name=orehtPriceLS&amp;op=Search&amp;page=1&amp;stext=272032</t>
  </si>
  <si>
    <t>Термос WEВBER SS-1000P 1000мл (24)</t>
  </si>
  <si>
    <t>https://www.oreht.ru/modules.php?name=orehtPriceLS&amp;op=Search&amp;page=1&amp;stext=398814</t>
  </si>
  <si>
    <t>Чайник 1,5л из нержавеющей стали со свистком и нейлоновой ручкой (100304)</t>
  </si>
  <si>
    <t>https://www.oreht.ru/modules.php?name=orehtPriceLS&amp;op=Search&amp;page=1&amp;stext=379891</t>
  </si>
  <si>
    <t>Масленка "Озорные коты" 18*11*9 см. 188-206</t>
  </si>
  <si>
    <t>https://www.oreht.ru/modules.php?name=orehtPriceLS&amp;op=Search&amp;page=1&amp;stext=368518</t>
  </si>
  <si>
    <t>Баночка для меда/варенья с силиконовой крышкой "Веселые друзья" 750мл 10,5*11,5см 359-573</t>
  </si>
  <si>
    <t>https://www.oreht.ru/modules.php?name=orehtPriceLS&amp;op=Search&amp;page=1&amp;stext=257352</t>
  </si>
  <si>
    <t>Кастрюля 4.3л С-16141/4КмЭ АНЮТИНЫ ГЛАЗКИ (г.Лысьва)</t>
  </si>
  <si>
    <t xml:space="preserve">474,5 </t>
  </si>
  <si>
    <t>https://www.oreht.ru/modules.php?name=orehtPriceLS&amp;op=Search&amp;page=1&amp;stext=400102</t>
  </si>
  <si>
    <t>SATOSHI Альфа Топор кухонный с молотком для отбивания мяса, нерж.сталь (882-265)</t>
  </si>
  <si>
    <t>https://www.oreht.ru/modules.php?name=orehtPriceLS&amp;op=Search&amp;page=1&amp;stext=385021</t>
  </si>
  <si>
    <t>РК-0048/2 Прямоугольная форма для запекания с крышкой 2,5л "ЗАБАВА" 35.2*21.3*5.2 см (6)</t>
  </si>
  <si>
    <t xml:space="preserve">431,8 </t>
  </si>
  <si>
    <t>https://www.oreht.ru/modules.php?name=orehtPriceLS&amp;op=Search&amp;page=1&amp;stext=121169</t>
  </si>
  <si>
    <t>Кастрюля 1л С-16074АП КИТАЙСКАЯ РОЗА (г.Лысьва)</t>
  </si>
  <si>
    <t>https://www.oreht.ru/modules.php?name=orehtPriceLS&amp;op=Search&amp;page=1&amp;stext=431781</t>
  </si>
  <si>
    <t>Овальное блюдо 30см RICH в под.уп.(х12) Фарфор арт.109-027</t>
  </si>
  <si>
    <t>https://www.oreht.ru/modules.php?name=orehtPriceLS&amp;op=Search&amp;page=1&amp;stext=121437</t>
  </si>
  <si>
    <t>Кастрюля 3л С-16124АП2 ЛАСКОВЫЙ МАЙ (г.Лысьва)</t>
  </si>
  <si>
    <t xml:space="preserve">518,7 </t>
  </si>
  <si>
    <t>https://www.oreht.ru/modules.php?name=orehtPriceLS&amp;op=Search&amp;page=1&amp;stext=364684</t>
  </si>
  <si>
    <t>BC-1111 Френч-пресс 600мл</t>
  </si>
  <si>
    <t xml:space="preserve">476 </t>
  </si>
  <si>
    <t>https://www.oreht.ru/modules.php?name=orehtPriceLS&amp;op=Search&amp;page=1&amp;stext=425439</t>
  </si>
  <si>
    <t>BC-1167 Френч-пресс 600мл</t>
  </si>
  <si>
    <t>https://www.oreht.ru/modules.php?name=orehtPriceLS&amp;op=Search&amp;page=1&amp;stext=121287</t>
  </si>
  <si>
    <t>Кастрюля 2л С-15104АП2 ИТАЛЬЯНСКАЯ КУХНЯ (г.Лысьва)</t>
  </si>
  <si>
    <t xml:space="preserve">493,1 </t>
  </si>
  <si>
    <t>https://www.oreht.ru/modules.php?name=orehtPriceLS&amp;op=Search&amp;page=1&amp;stext=352030</t>
  </si>
  <si>
    <t>Заварник со съемным ситечком 600мл (стекло, нержавеющая сталь) (1601)</t>
  </si>
  <si>
    <t>https://www.oreht.ru/modules.php?name=orehtPriceLS&amp;op=Search&amp;page=1&amp;stext=402481</t>
  </si>
  <si>
    <t>Банка с силиконовой крышкой "Голубика" 500мл 359-783</t>
  </si>
  <si>
    <t>https://www.oreht.ru/modules.php?name=orehtPriceLS&amp;op=Search&amp;page=1&amp;stext=105301</t>
  </si>
  <si>
    <t>Кастрюля (алюм. 6л) 220мм МТ-075</t>
  </si>
  <si>
    <t xml:space="preserve">479,7 </t>
  </si>
  <si>
    <t>https://www.oreht.ru/modules.php?name=orehtPriceLS&amp;op=Search&amp;page=1&amp;stext=425189</t>
  </si>
  <si>
    <t>Салатник с крышкой 14см. TEKITO в под.уп.(х16)Фарфор арт.133-017</t>
  </si>
  <si>
    <t>https://www.oreht.ru/modules.php?name=orehtPriceLS&amp;op=Search&amp;page=1&amp;stext=402484</t>
  </si>
  <si>
    <t>Банка с силиконовой крышкой "Маки" 500мл 359-804</t>
  </si>
  <si>
    <t xml:space="preserve">480 </t>
  </si>
  <si>
    <t>https://www.oreht.ru/modules.php?name=orehtPriceLS&amp;op=Search&amp;page=1&amp;stext=425097</t>
  </si>
  <si>
    <t>Тортовница на ножке 30см ПОЛЕВЫЕ ЦВЕТЫ в под.уп.(х4)Фарфор арт.105-068</t>
  </si>
  <si>
    <t>https://www.oreht.ru/modules.php?name=orehtPriceLS&amp;op=Search&amp;page=1&amp;stext=430830</t>
  </si>
  <si>
    <t>Блюдо для слоеных салатов коллекция "Bellissimo" 25,4*21,1*4,6 см 230-361</t>
  </si>
  <si>
    <t xml:space="preserve">481 </t>
  </si>
  <si>
    <t>https://www.oreht.ru/modules.php?name=orehtPriceLS&amp;op=Search&amp;page=1&amp;stext=348993</t>
  </si>
  <si>
    <t>26105 Термос 1л ст/колба + 2 кружки MB (х12) "MAYER &amp; BOCH"</t>
  </si>
  <si>
    <t xml:space="preserve">567,6 </t>
  </si>
  <si>
    <t>https://www.oreht.ru/modules.php?name=orehtPriceLS&amp;op=Search&amp;page=1&amp;stext=424951</t>
  </si>
  <si>
    <t>BE-6036 Термобутылка Webber цв. синий 500мл (30)</t>
  </si>
  <si>
    <t xml:space="preserve">419 </t>
  </si>
  <si>
    <t>https://www.oreht.ru/modules.php?name=orehtPriceLS&amp;op=Search&amp;page=1&amp;stext=139395</t>
  </si>
  <si>
    <t>Набор противней б/к с цельн.руч.23*30,27*35 арт.63026 "КАЛИТВА"</t>
  </si>
  <si>
    <t xml:space="preserve">484,2 </t>
  </si>
  <si>
    <t>https://www.oreht.ru/modules.php?name=orehtPriceLS&amp;op=Search&amp;page=1&amp;stext=380780</t>
  </si>
  <si>
    <t>27612 Термос 750мл нерж/сталь чехол-сумка MB (х24) "MAYER &amp; BOCH"</t>
  </si>
  <si>
    <t xml:space="preserve">484,4 </t>
  </si>
  <si>
    <t>https://www.oreht.ru/modules.php?name=orehtPriceLS&amp;op=Search&amp;page=1&amp;stext=202455</t>
  </si>
  <si>
    <t>Мангал Супер в бумаге 6 шампуров ЛИАНА Ж-241</t>
  </si>
  <si>
    <t xml:space="preserve">485 </t>
  </si>
  <si>
    <t>https://www.oreht.ru/modules.php?name=orehtPriceLS&amp;op=Search&amp;page=1&amp;stext=169273</t>
  </si>
  <si>
    <t>Сковорода д.220/95 с пласт.ручк и крышкой А223 "БИОЛ"</t>
  </si>
  <si>
    <t>https://www.oreht.ru/modules.php?name=orehtPriceLS&amp;op=Search&amp;page=1&amp;stext=445068</t>
  </si>
  <si>
    <t>Бутыль 82-033-КП20 "Четверть" 3 л. прозрачная с пробкой</t>
  </si>
  <si>
    <t>https://www.oreht.ru/modules.php?name=orehtPriceLS&amp;op=Search&amp;page=1&amp;stext=399044</t>
  </si>
  <si>
    <t>Ручной измельчитель овощей и фруктов "Витаминка". VL53-93</t>
  </si>
  <si>
    <t xml:space="preserve">462,6 </t>
  </si>
  <si>
    <t>https://www.oreht.ru/modules.php?name=orehtPriceLS&amp;op=Search&amp;page=1&amp;stext=400856</t>
  </si>
  <si>
    <t>Набор салатников "Фиона" 7 пр.: 11,5 см 6 шт., 20 см 1 шт., в подарочной упаковке арт.MFK08315</t>
  </si>
  <si>
    <t>https://www.oreht.ru/modules.php?name=orehtPriceLS&amp;op=Search&amp;page=1&amp;stext=429790</t>
  </si>
  <si>
    <t>30669 Масленка стекло-бамбук с ножом МВ (х24) "MAYER &amp; BOCH"</t>
  </si>
  <si>
    <t>https://www.oreht.ru/modules.php?name=orehtPriceLS&amp;op=Search&amp;page=1&amp;stext=299131</t>
  </si>
  <si>
    <t>Термос в корпусе из нерж,объем-0,75л,колба из нерж стали с дв стенками,серия FORTE, Mallony, 003693</t>
  </si>
  <si>
    <t xml:space="preserve">489,2 </t>
  </si>
  <si>
    <t>https://www.oreht.ru/modules.php?name=orehtPriceLS&amp;op=Search&amp;page=1&amp;stext=204777</t>
  </si>
  <si>
    <t>Решетка-гриль универсальная глубокая, 50(+5)x25x25x4 cм / 8 61338 HOT POT</t>
  </si>
  <si>
    <t xml:space="preserve">489,7 </t>
  </si>
  <si>
    <t>https://www.oreht.ru/modules.php?name=orehtPriceLS&amp;op=Search&amp;page=1&amp;stext=248024</t>
  </si>
  <si>
    <t>Отделитель косточек вишни 1,5л MB механ (х12) "MAYER &amp; BOCH" 4170</t>
  </si>
  <si>
    <t>https://www.oreht.ru/modules.php?name=orehtPriceLS&amp;op=Search&amp;page=1&amp;stext=342575</t>
  </si>
  <si>
    <t>Tramontina Professional Master Нож кухонный 15см 24605/086 (871-053)</t>
  </si>
  <si>
    <t xml:space="preserve">492,1 </t>
  </si>
  <si>
    <t>https://www.oreht.ru/modules.php?name=orehtPriceLS&amp;op=Search&amp;page=1&amp;stext=121277</t>
  </si>
  <si>
    <t>Кастрюля 2л С-15104АП2 АНЮТИНЫ ГЛАЗКИ (г.Лысьва)</t>
  </si>
  <si>
    <t>https://www.oreht.ru/modules.php?name=orehtPriceLS&amp;op=Search&amp;page=1&amp;stext=418336</t>
  </si>
  <si>
    <t>Тарелка с ручками bronco "Midnight gold" 24см 42-369</t>
  </si>
  <si>
    <t>https://www.oreht.ru/modules.php?name=orehtPriceLS&amp;op=Search&amp;page=1&amp;stext=403908</t>
  </si>
  <si>
    <t>28116 Набор ножей 3 пр в упаковке МВ (х24) "MAYER &amp; BOCH"</t>
  </si>
  <si>
    <t xml:space="preserve">499,1 </t>
  </si>
  <si>
    <t>https://www.oreht.ru/modules.php?name=orehtPriceLS&amp;op=Search&amp;page=1&amp;stext=350367</t>
  </si>
  <si>
    <t>Блюдо на ножке "барокко" 20 см (4) арт.16897a</t>
  </si>
  <si>
    <t>https://www.oreht.ru/modules.php?name=orehtPriceLS&amp;op=Search&amp;page=1&amp;stext=195814</t>
  </si>
  <si>
    <t>Кулинарная форма д/слоеных блюд круг. регулир. 24-30 см New, 8.27 (МультиДом)</t>
  </si>
  <si>
    <t xml:space="preserve">497,2 </t>
  </si>
  <si>
    <t>https://www.oreht.ru/modules.php?name=orehtPriceLS&amp;op=Search&amp;page=1&amp;stext=314940</t>
  </si>
  <si>
    <t>термос LARA (черный) - 600мл, молотковая эмаль, прорезиненая крышка (LR04-15)</t>
  </si>
  <si>
    <t xml:space="preserve">502,7 </t>
  </si>
  <si>
    <t>https://www.oreht.ru/modules.php?name=orehtPriceLS&amp;op=Search&amp;page=1&amp;stext=389530</t>
  </si>
  <si>
    <t>EAV03-1687/S Набор - Бокалы для шампанского 6 шт с узором "Греческий узор "</t>
  </si>
  <si>
    <t>https://www.oreht.ru/modules.php?name=orehtPriceLS&amp;op=Search&amp;page=1&amp;stext=432634</t>
  </si>
  <si>
    <t>Набор бокалов для бренди из 3 шт "Лазурит" 410 мл 194-516</t>
  </si>
  <si>
    <t>https://www.oreht.ru/modules.php?name=orehtPriceLS&amp;op=Search&amp;page=1&amp;stext=259779</t>
  </si>
  <si>
    <t>Заварочный чайник LARA 1400мл, БОРОСИЛИКАТНОЕ СТЕКЛО, стальной фильтр, складная ручка (LR06-13)</t>
  </si>
  <si>
    <t xml:space="preserve">559,2 </t>
  </si>
  <si>
    <t>https://www.oreht.ru/modules.php?name=orehtPriceLS&amp;op=Search&amp;page=1&amp;stext=338092</t>
  </si>
  <si>
    <t>Кастрюля цил. 2л "Pasta", черн., 1RD161M</t>
  </si>
  <si>
    <t xml:space="preserve">504,9 </t>
  </si>
  <si>
    <t>https://www.oreht.ru/modules.php?name=orehtPriceLS&amp;op=Search&amp;page=1&amp;stext=395485</t>
  </si>
  <si>
    <t>Блюдо овальное "Лавандовая весна" 31,5*25,5 см. высота=3 см. 358-1712</t>
  </si>
  <si>
    <t>https://www.oreht.ru/modules.php?name=orehtPriceLS&amp;op=Search&amp;page=1&amp;stext=375906</t>
  </si>
  <si>
    <t>Блюдо овальное "Вдохновение" 31,5*25,5 см. высота=3 см. 358-1552</t>
  </si>
  <si>
    <t xml:space="preserve">505 </t>
  </si>
  <si>
    <t>https://www.oreht.ru/modules.php?name=orehtPriceLS&amp;op=Search&amp;page=1&amp;stext=314393</t>
  </si>
  <si>
    <t>Кастрюля 2л С-4210АП2/4 ИТАЛЬЯНСКАЯ КУХНЯ (г.Лысьва)</t>
  </si>
  <si>
    <t xml:space="preserve">525 </t>
  </si>
  <si>
    <t>https://www.oreht.ru/modules.php?name=orehtPriceLS&amp;op=Search&amp;page=1&amp;stext=415935</t>
  </si>
  <si>
    <t>Кофеварка гейзерная 300мл (6 порций) из нержавеющей стали (101101)</t>
  </si>
  <si>
    <t>https://www.oreht.ru/modules.php?name=orehtPriceLS&amp;op=Search&amp;page=1&amp;stext=429751</t>
  </si>
  <si>
    <t>27800 Противень керамика 1,4л 29х18х6см LR (х12) "MAYER &amp; BOCH"</t>
  </si>
  <si>
    <t xml:space="preserve">506,1 </t>
  </si>
  <si>
    <t>https://www.oreht.ru/modules.php?name=orehtPriceLS&amp;op=Search&amp;page=1&amp;stext=424051</t>
  </si>
  <si>
    <t>Подставка для приправ и зубочисток "Салфетница", 14 х 8 х 4 см, массив бука арт.7134132 г.Екатеринбу</t>
  </si>
  <si>
    <t xml:space="preserve">506,5 </t>
  </si>
  <si>
    <t>https://www.oreht.ru/modules.php?name=orehtPriceLS&amp;op=Search&amp;page=1&amp;stext=323814</t>
  </si>
  <si>
    <t>Решетка для барбекю X-382-NSD с антипригарным покрытием арт.999620</t>
  </si>
  <si>
    <t xml:space="preserve">507 </t>
  </si>
  <si>
    <t>https://www.oreht.ru/modules.php?name=orehtPriceLS&amp;op=Search&amp;page=1&amp;stext=429742</t>
  </si>
  <si>
    <t>29934 Термос нерж 750мл мет/колба МВ (х24) "MAYER &amp; BOCH"</t>
  </si>
  <si>
    <t xml:space="preserve">430,4 </t>
  </si>
  <si>
    <t>https://www.oreht.ru/modules.php?name=orehtPriceLS&amp;op=Search&amp;page=1&amp;stext=163684</t>
  </si>
  <si>
    <t>Блюдо прямоугольное Smart cooking 35х23см 234B000/5046</t>
  </si>
  <si>
    <t xml:space="preserve">497,8 </t>
  </si>
  <si>
    <t>https://www.oreht.ru/modules.php?name=orehtPriceLS&amp;op=Search&amp;page=1&amp;stext=105456</t>
  </si>
  <si>
    <t>Сковорода EXPERT NEW d 240 ст.кр. СЭ-028 Scovo</t>
  </si>
  <si>
    <t xml:space="preserve">509,9 </t>
  </si>
  <si>
    <t>https://www.oreht.ru/modules.php?name=orehtPriceLS&amp;op=Search&amp;page=1&amp;stext=344480</t>
  </si>
  <si>
    <t>Кастрюля 4.5л Р-1615Б/4 ГРУША (г.Лысьва)</t>
  </si>
  <si>
    <t>https://www.oreht.ru/modules.php?name=orehtPriceLS&amp;op=Search&amp;page=1&amp;stext=231312</t>
  </si>
  <si>
    <t>Кастрюля 4.3л С-16141/4Э ЛАСКОВЫЙ МАЙ (г.Лысьва)</t>
  </si>
  <si>
    <t xml:space="preserve">510,4 </t>
  </si>
  <si>
    <t>https://www.oreht.ru/modules.php?name=orehtPriceLS&amp;op=Search&amp;page=1&amp;stext=124553</t>
  </si>
  <si>
    <t>Сковорода 240/60-М с ручкой (с утолщенным дном) КУКМОР арт.с241 "Kukmara"</t>
  </si>
  <si>
    <t xml:space="preserve">552,8 </t>
  </si>
  <si>
    <t>https://www.oreht.ru/modules.php?name=orehtPriceLS&amp;op=Search&amp;page=1&amp;stext=273576</t>
  </si>
  <si>
    <t>Кастрюля конич., 2,0л, белосн., Европейская кухня арт.1с45я (г.Череповец)</t>
  </si>
  <si>
    <t xml:space="preserve">512,5 </t>
  </si>
  <si>
    <t>https://www.oreht.ru/modules.php?name=orehtPriceLS&amp;op=Search&amp;page=1&amp;stext=118087</t>
  </si>
  <si>
    <t>Набор бокалов IMPERIAL PLUS 6 шт. 315 мл арт.44809B</t>
  </si>
  <si>
    <t xml:space="preserve">504,6 </t>
  </si>
  <si>
    <t>https://www.oreht.ru/modules.php?name=orehtPriceLS&amp;op=Search&amp;page=1&amp;stext=371904</t>
  </si>
  <si>
    <t>Чайник заварочный коллекция "Cosmos" 1120 мл,13,5*13,5 см 155-424</t>
  </si>
  <si>
    <t>https://www.oreht.ru/modules.php?name=orehtPriceLS&amp;op=Search&amp;page=1&amp;stext=377144</t>
  </si>
  <si>
    <t>LR06-55-1000 Френч-пресс 1000мл экологически чистый материал, стальной фильтр 18/10, боросил стекл</t>
  </si>
  <si>
    <t xml:space="preserve">515,7 </t>
  </si>
  <si>
    <t>https://www.oreht.ru/modules.php?name=orehtPriceLS&amp;op=Search&amp;page=1&amp;stext=272685</t>
  </si>
  <si>
    <t>термос LARA (сталь) - 500мл, ШИРОКАЯ ГОРЛОВИНА, КЛАПАН, ремешок, 2-е стенки (LR04-50)</t>
  </si>
  <si>
    <t xml:space="preserve">513,7 </t>
  </si>
  <si>
    <t>https://www.oreht.ru/modules.php?name=orehtPriceLS&amp;op=Search&amp;page=1&amp;stext=258535</t>
  </si>
  <si>
    <t>Пресс для гриля чугунный с деревянной ручкой, круглый, PRESSA, диа 18 см, тм Mallony арт.985061</t>
  </si>
  <si>
    <t xml:space="preserve">484,7 </t>
  </si>
  <si>
    <t>https://www.oreht.ru/modules.php?name=orehtPriceLS&amp;op=Search&amp;page=1&amp;stext=379360</t>
  </si>
  <si>
    <t>Блюдо "Ля мур" 28.5*28.5*2.5см 490-326</t>
  </si>
  <si>
    <t>https://www.oreht.ru/modules.php?name=orehtPriceLS&amp;op=Search&amp;page=1&amp;stext=294933</t>
  </si>
  <si>
    <t>Блюдо прямоугольное с крышкой Cook Freez 25x19x8см 2.6л арт.243P000</t>
  </si>
  <si>
    <t>https://www.oreht.ru/modules.php?name=orehtPriceLS&amp;op=Search&amp;page=1&amp;stext=409103</t>
  </si>
  <si>
    <t>SATOSHI Подставка для ножей с полипропиленовыми разделителями, 10x10x22,5см, квадр, SH-003 (838-024)</t>
  </si>
  <si>
    <t xml:space="preserve">506,7 </t>
  </si>
  <si>
    <t>https://www.oreht.ru/modules.php?name=orehtPriceLS&amp;op=Search&amp;page=1&amp;stext=293158</t>
  </si>
  <si>
    <t>Ваза д/конфет ф.квадр.600мл CS904712-A снежная королева/з</t>
  </si>
  <si>
    <t>https://www.oreht.ru/modules.php?name=orehtPriceLS&amp;op=Search&amp;page=1&amp;stext=105388</t>
  </si>
  <si>
    <t>Сковорода Consul d 260 ст.кр. RC-010 "SСOVO"</t>
  </si>
  <si>
    <t xml:space="preserve">534,5 </t>
  </si>
  <si>
    <t>https://www.oreht.ru/modules.php?name=orehtPriceLS&amp;op=Search&amp;page=1&amp;stext=434818</t>
  </si>
  <si>
    <t>Пл/крышка Боржам-форма квадратная 3,2л (318*283*60мм) арт.59024/1093246 с/кр</t>
  </si>
  <si>
    <t xml:space="preserve">409,7 </t>
  </si>
  <si>
    <t>https://www.oreht.ru/modules.php?name=orehtPriceLS&amp;op=Search&amp;page=1&amp;stext=428587</t>
  </si>
  <si>
    <t>Банка с крышкой 25 см ПИОНЫ в под.уп.(х12)Фарфор арт.105-810</t>
  </si>
  <si>
    <t xml:space="preserve">516,5 </t>
  </si>
  <si>
    <t>https://www.oreht.ru/modules.php?name=orehtPriceLS&amp;op=Search&amp;page=1&amp;stext=421409</t>
  </si>
  <si>
    <t>Тарелка "пейсли золото" 32см (6) 15794/2</t>
  </si>
  <si>
    <t>https://www.oreht.ru/modules.php?name=orehtPriceLS&amp;op=Search&amp;page=1&amp;stext=402790</t>
  </si>
  <si>
    <t>Тарелка "ривьера жемчуг" 28см (6) 15738/1</t>
  </si>
  <si>
    <t>https://www.oreht.ru/modules.php?name=orehtPriceLS&amp;op=Search&amp;page=1&amp;stext=410541</t>
  </si>
  <si>
    <t>Термос пищевой SSW-0600/1N с колбой из нерж и нерж ложкой 600 мл, (30)</t>
  </si>
  <si>
    <t xml:space="preserve">517,1 </t>
  </si>
  <si>
    <t>https://www.oreht.ru/modules.php?name=orehtPriceLS&amp;op=Search&amp;page=1&amp;stext=278207</t>
  </si>
  <si>
    <t>AK-802 Гейзерная кофеварка ALPENKOK 330мл на 6 чашек (24)</t>
  </si>
  <si>
    <t xml:space="preserve">517,8 </t>
  </si>
  <si>
    <t>https://www.oreht.ru/modules.php?name=orehtPriceLS&amp;op=Search&amp;page=1&amp;stext=306224</t>
  </si>
  <si>
    <t>LR04-12 термос LARA (сталь) - 1200мл, КЛАПАН, двойные стенки, крышка-чашка</t>
  </si>
  <si>
    <t xml:space="preserve">517,9 </t>
  </si>
  <si>
    <t>https://www.oreht.ru/modules.php?name=orehtPriceLS&amp;op=Search&amp;page=1&amp;stext=395513</t>
  </si>
  <si>
    <t>Банка с силиконовой крышкой "Маки" 750мл 359-805</t>
  </si>
  <si>
    <t xml:space="preserve">518 </t>
  </si>
  <si>
    <t>https://www.oreht.ru/modules.php?name=orehtPriceLS&amp;op=Search&amp;page=1&amp;stext=424043</t>
  </si>
  <si>
    <t>Тарелка с прямым бортиком, 20 см, массив дуба арт.4338179 г.Екатеринбург</t>
  </si>
  <si>
    <t>https://www.oreht.ru/modules.php?name=orehtPriceLS&amp;op=Search&amp;page=1&amp;stext=349824</t>
  </si>
  <si>
    <t>GE03-307/S Набор-бокалы для шампанского 6 шт.с узором " Греческий узор "</t>
  </si>
  <si>
    <t xml:space="preserve">519,2 </t>
  </si>
  <si>
    <t>https://www.oreht.ru/modules.php?name=orehtPriceLS&amp;op=Search&amp;page=1&amp;stext=234222</t>
  </si>
  <si>
    <t>Блюдо прямоугольное O CUISINE 39x24см арт.249BC00/1046</t>
  </si>
  <si>
    <t xml:space="preserve">509,3 </t>
  </si>
  <si>
    <t>https://www.oreht.ru/modules.php?name=orehtPriceLS&amp;op=Search&amp;page=1&amp;stext=423435</t>
  </si>
  <si>
    <t>Блюдо для запекания и выпечки IRRESISTIBLE 35х24см овальное арт.411B000/IR</t>
  </si>
  <si>
    <t>https://www.oreht.ru/modules.php?name=orehtPriceLS&amp;op=Search&amp;page=1&amp;stext=430864</t>
  </si>
  <si>
    <t>Блюдо для запекания с крышкой 800 мл / 14*14*11 см 490-459</t>
  </si>
  <si>
    <t>https://www.oreht.ru/modules.php?name=orehtPriceLS&amp;op=Search&amp;page=1&amp;stext=296547</t>
  </si>
  <si>
    <t>Термос пищевой AK-04533M Alpenkok 450ml (24)</t>
  </si>
  <si>
    <t xml:space="preserve">521,1 </t>
  </si>
  <si>
    <t>https://www.oreht.ru/modules.php?name=orehtPriceLS&amp;op=Search&amp;page=1&amp;stext=430550</t>
  </si>
  <si>
    <t>Масленка-сырница 204-50012 "OLAFF"</t>
  </si>
  <si>
    <t>https://www.oreht.ru/modules.php?name=orehtPriceLS&amp;op=Search&amp;page=1&amp;stext=421999</t>
  </si>
  <si>
    <t>Бутыль 82-030-ГВ62 "Рифленая" 5 л прозрачная с крышкой</t>
  </si>
  <si>
    <t>https://www.oreht.ru/modules.php?name=orehtPriceLS&amp;op=Search&amp;page=1&amp;stext=111865</t>
  </si>
  <si>
    <t>Противень EASY глубокий 38 х 27 х 4.8см арт. 93-CS-EA-2-02 (REGENT)</t>
  </si>
  <si>
    <t>https://www.oreht.ru/modules.php?name=orehtPriceLS&amp;op=Search&amp;page=1&amp;stext=315525</t>
  </si>
  <si>
    <t>Решетка для барбекю ECOS RD-103C (глубокая,регулир.глубина,р-р40х27х5см,общ длина 62 см) арт 999609</t>
  </si>
  <si>
    <t xml:space="preserve">597,7 </t>
  </si>
  <si>
    <t>https://www.oreht.ru/modules.php?name=orehtPriceLS&amp;op=Search&amp;page=1&amp;stext=399972</t>
  </si>
  <si>
    <t>SATOSHI Графит Противень 40х27х6,5см, алюминий, антипригарное покрытие, XRT-391 (846-039)</t>
  </si>
  <si>
    <t xml:space="preserve">581,2 </t>
  </si>
  <si>
    <t>https://www.oreht.ru/modules.php?name=orehtPriceLS&amp;op=Search&amp;page=1&amp;stext=434685</t>
  </si>
  <si>
    <t>Чайник 1000 109-06013 "OLAFF"</t>
  </si>
  <si>
    <t>https://www.oreht.ru/modules.php?name=orehtPriceLS&amp;op=Search&amp;page=1&amp;stext=408044</t>
  </si>
  <si>
    <t>BE-0538 Чайник из нерж.стали 2,5л.,индукционное дно (12)</t>
  </si>
  <si>
    <t>https://www.oreht.ru/modules.php?name=orehtPriceLS&amp;op=Search&amp;page=1&amp;stext=402809</t>
  </si>
  <si>
    <t>Блюдо "пейсли золото" 30см (4) 15796/2</t>
  </si>
  <si>
    <t xml:space="preserve">524,2 </t>
  </si>
  <si>
    <t>https://www.oreht.ru/modules.php?name=orehtPriceLS&amp;op=Search&amp;page=1&amp;stext=306220</t>
  </si>
  <si>
    <t>Сотейник LARA (нерж) серия PROMO 12x6см,0.65л,капсулированное индукционное дно (LR03-18)</t>
  </si>
  <si>
    <t xml:space="preserve">521,4 </t>
  </si>
  <si>
    <t>https://www.oreht.ru/modules.php?name=orehtPriceLS&amp;op=Search&amp;page=1&amp;stext=338093</t>
  </si>
  <si>
    <t>Кастрюля цил. 3л "Pasta", черн., 1RD181M</t>
  </si>
  <si>
    <t xml:space="preserve">525,1 </t>
  </si>
  <si>
    <t>https://www.oreht.ru/modules.php?name=orehtPriceLS&amp;op=Search&amp;page=1&amp;stext=349821</t>
  </si>
  <si>
    <t>GE03-163/S Набор - Бокалы для вина 6 шт с узором "Греческий узор "</t>
  </si>
  <si>
    <t>https://www.oreht.ru/modules.php?name=orehtPriceLS&amp;op=Search&amp;page=1&amp;stext=94470</t>
  </si>
  <si>
    <t>Решетка для барбекю "Отдых" 22 х 34см AN84-23 (МультиДом)</t>
  </si>
  <si>
    <t xml:space="preserve">526,1 </t>
  </si>
  <si>
    <t>https://www.oreht.ru/modules.php?name=orehtPriceLS&amp;op=Search&amp;page=1&amp;stext=109340</t>
  </si>
  <si>
    <t>Чайник 42704-102/6 2л (КОРИЧНЕВЫЙ) пр-во ООО "КМК"</t>
  </si>
  <si>
    <t xml:space="preserve">566,8 </t>
  </si>
  <si>
    <t>https://www.oreht.ru/modules.php?name=orehtPriceLS&amp;op=Search&amp;page=1&amp;stext=434804</t>
  </si>
  <si>
    <t>Ретро-Набор 6 бокалов 190сс /1п=64н/ арт.440075/1018662</t>
  </si>
  <si>
    <t xml:space="preserve">528,2 </t>
  </si>
  <si>
    <t>https://www.oreht.ru/modules.php?name=orehtPriceLS&amp;op=Search&amp;page=1&amp;stext=402487</t>
  </si>
  <si>
    <t>Банка с силиконовой крышкой "Озорные коты" 500мл 359-809</t>
  </si>
  <si>
    <t>https://www.oreht.ru/modules.php?name=orehtPriceLS&amp;op=Search&amp;page=1&amp;stext=426233</t>
  </si>
  <si>
    <t>25692 Блинница 26см мрам/кр АП индукц/дно MB (х12) "MAYER &amp; BOCH"</t>
  </si>
  <si>
    <t>https://www.oreht.ru/modules.php?name=orehtPriceLS&amp;op=Search&amp;page=1&amp;stext=426576</t>
  </si>
  <si>
    <t>Набор стаканов из 6 шт "Танзанит" 310 мл 194-537</t>
  </si>
  <si>
    <t>https://www.oreht.ru/modules.php?name=orehtPriceLS&amp;op=Search&amp;page=1&amp;stext=399968</t>
  </si>
  <si>
    <t>SATOSHI Подставка для ножей с полипропиленовыми разделителями, d11см, h18см, круглая (838-012)</t>
  </si>
  <si>
    <t xml:space="preserve">492,5 </t>
  </si>
  <si>
    <t>https://www.oreht.ru/modules.php?name=orehtPriceLS&amp;op=Search&amp;page=1&amp;stext=402265</t>
  </si>
  <si>
    <t>Нож для мяса НМБ 455мм "Поварская тройка"-хит (С232)</t>
  </si>
  <si>
    <t>https://www.oreht.ru/modules.php?name=orehtPriceLS&amp;op=Search&amp;page=1&amp;stext=424315</t>
  </si>
  <si>
    <t>Бульонница "Лавандовая весна" 19*14*7 см. / 650 мл. 358-1831</t>
  </si>
  <si>
    <t xml:space="preserve">532,8 </t>
  </si>
  <si>
    <t>https://www.oreht.ru/modules.php?name=orehtPriceLS&amp;op=Search&amp;page=1&amp;stext=124617</t>
  </si>
  <si>
    <t>Тренога для котла походного - №3 т03 (до 15л) "Kukmara"</t>
  </si>
  <si>
    <t xml:space="preserve">533,4 </t>
  </si>
  <si>
    <t>https://www.oreht.ru/modules.php?name=orehtPriceLS&amp;op=Search&amp;page=1&amp;stext=371221</t>
  </si>
  <si>
    <t>Набор салатников 3 шт с крышками d=16/15/12 см МИКС арт.1053357 г.Екатеринбург</t>
  </si>
  <si>
    <t xml:space="preserve">533,8 </t>
  </si>
  <si>
    <t>https://www.oreht.ru/modules.php?name=orehtPriceLS&amp;op=Search&amp;page=1&amp;stext=292969</t>
  </si>
  <si>
    <t>Блюдо "Оливия" 24х7,5х4 см арт.WD-3156</t>
  </si>
  <si>
    <t>https://www.oreht.ru/modules.php?name=orehtPriceLS&amp;op=Search&amp;page=1&amp;stext=421386</t>
  </si>
  <si>
    <t>Тарелка "талисман" 28 см коричневая (6) 17857/с</t>
  </si>
  <si>
    <t xml:space="preserve">437,4 </t>
  </si>
  <si>
    <t>https://www.oreht.ru/modules.php?name=orehtPriceLS&amp;op=Search&amp;page=1&amp;stext=421463</t>
  </si>
  <si>
    <t>Тарелка "талисман" 28 см красная (6) 17857/r</t>
  </si>
  <si>
    <t xml:space="preserve">521,5 </t>
  </si>
  <si>
    <t>https://www.oreht.ru/modules.php?name=orehtPriceLS&amp;op=Search&amp;page=1&amp;stext=421360</t>
  </si>
  <si>
    <t>Тарелка "талисман" 28 см синяя (6) 17857/n</t>
  </si>
  <si>
    <t>https://www.oreht.ru/modules.php?name=orehtPriceLS&amp;op=Search&amp;page=1&amp;stext=107531</t>
  </si>
  <si>
    <t>Термос у/г 2 пробки. NB-500-2 БИОСТАЛЬ</t>
  </si>
  <si>
    <t xml:space="preserve">569,9 </t>
  </si>
  <si>
    <t>https://www.oreht.ru/modules.php?name=orehtPriceLS&amp;op=Search&amp;page=1&amp;stext=382777</t>
  </si>
  <si>
    <t>Тортовница вращающаяся "Торжество" диаметр=32 см высота=3 см 357-155</t>
  </si>
  <si>
    <t xml:space="preserve">536 </t>
  </si>
  <si>
    <t>https://www.oreht.ru/modules.php?name=orehtPriceLS&amp;op=Search&amp;page=1&amp;stext=107538</t>
  </si>
  <si>
    <t>Термос у/г чехол NB-500B БИОСТАЛЬ</t>
  </si>
  <si>
    <t xml:space="preserve">554,1 </t>
  </si>
  <si>
    <t>https://www.oreht.ru/modules.php?name=orehtPriceLS&amp;op=Search&amp;page=1&amp;stext=379755</t>
  </si>
  <si>
    <t>Термос у/г NB-350Z, пробка с ситечком, БИОСТАЛЬ</t>
  </si>
  <si>
    <t xml:space="preserve">553,1 </t>
  </si>
  <si>
    <t>https://www.oreht.ru/modules.php?name=orehtPriceLS&amp;op=Search&amp;page=1&amp;stext=279817</t>
  </si>
  <si>
    <t>Посудосушитель настенный белый арт.LF-136</t>
  </si>
  <si>
    <t xml:space="preserve">545,8 </t>
  </si>
  <si>
    <t>https://www.oreht.ru/modules.php?name=orehtPriceLS&amp;op=Search&amp;page=1&amp;stext=339128</t>
  </si>
  <si>
    <t>Форма для запекания SMART CUISINE ТРИАНОН 26см круглая арт.P4021</t>
  </si>
  <si>
    <t xml:space="preserve">475,3 </t>
  </si>
  <si>
    <t>https://www.oreht.ru/modules.php?name=orehtPriceLS&amp;op=Search&amp;page=1&amp;stext=412186</t>
  </si>
  <si>
    <t>1622-1 Чайник MB 2л.со свис. (х12) "MAYER &amp; BOCH"</t>
  </si>
  <si>
    <t>https://www.oreht.ru/modules.php?name=orehtPriceLS&amp;op=Search&amp;page=1&amp;stext=432619</t>
  </si>
  <si>
    <t>Набор 6 стаканов 330 мл "Королевская фуксия" 194-357</t>
  </si>
  <si>
    <t>https://www.oreht.ru/modules.php?name=orehtPriceLS&amp;op=Search&amp;page=1&amp;stext=429738</t>
  </si>
  <si>
    <t>25888 Термос нерж/сталь 750мл мет/колба МВ (х24) "MAYER &amp; BOCH"</t>
  </si>
  <si>
    <t xml:space="preserve">538,2 </t>
  </si>
  <si>
    <t>https://www.oreht.ru/modules.php?name=orehtPriceLS&amp;op=Search&amp;page=1&amp;stext=362144</t>
  </si>
  <si>
    <t>Решетка д/барбекю "Лайт" 34*22*1,5см AN84-64</t>
  </si>
  <si>
    <t xml:space="preserve">538,3 </t>
  </si>
  <si>
    <t>https://www.oreht.ru/modules.php?name=orehtPriceLS&amp;op=Search&amp;page=1&amp;stext=424118</t>
  </si>
  <si>
    <t>Набор "Буба" 3 пр.: кружка 250 мл, салатник 13 см, тарелка 19,5 см в под.уп. арт.ББН3-1</t>
  </si>
  <si>
    <t>https://www.oreht.ru/modules.php?name=orehtPriceLS&amp;op=Search&amp;page=1&amp;stext=438219</t>
  </si>
  <si>
    <t>Кастрюля цил. 3л, белосн. "Ромашки лето", белосн., 6RD181M</t>
  </si>
  <si>
    <t xml:space="preserve">539,9 </t>
  </si>
  <si>
    <t>https://www.oreht.ru/modules.php?name=orehtPriceLS&amp;op=Search&amp;page=1&amp;stext=373349</t>
  </si>
  <si>
    <t>Тарелка плоская 27 см арт.2741414 Узбекистан</t>
  </si>
  <si>
    <t>https://www.oreht.ru/modules.php?name=orehtPriceLS&amp;op=Search&amp;page=1&amp;stext=430862</t>
  </si>
  <si>
    <t>Блюдо для запекания с крышкой 800 мл / 20*14,5*8 см 490-457</t>
  </si>
  <si>
    <t xml:space="preserve">541,9 </t>
  </si>
  <si>
    <t>https://www.oreht.ru/modules.php?name=orehtPriceLS&amp;op=Search&amp;page=1&amp;stext=204779</t>
  </si>
  <si>
    <t>Решетка-гриль для сосисок и колбасок 55(+5)x21x16x2,5 cм / 12 61307 BOYSCOUT</t>
  </si>
  <si>
    <t xml:space="preserve">542,1 </t>
  </si>
  <si>
    <t>https://www.oreht.ru/modules.php?name=orehtPriceLS&amp;op=Search&amp;page=1&amp;stext=272686</t>
  </si>
  <si>
    <t>LR04-51 термос LARA (сталь) - 750мл, ШИРОКАЯ ГОРЛОВИНА, КЛАПАН, ремешок, 2-е стенки</t>
  </si>
  <si>
    <t xml:space="preserve">542,2 </t>
  </si>
  <si>
    <t>https://www.oreht.ru/modules.php?name=orehtPriceLS&amp;op=Search&amp;page=1&amp;stext=374398</t>
  </si>
  <si>
    <t>Банка стеклянная 82-037-ГВ38 "Дария" 5л., прозрачная с крышкой (бутыль)</t>
  </si>
  <si>
    <t>https://www.oreht.ru/modules.php?name=orehtPriceLS&amp;op=Search&amp;page=1&amp;stext=403281</t>
  </si>
  <si>
    <t>Чайник заварочный agness с фильтром из нжс 800 мл 891-031</t>
  </si>
  <si>
    <t>https://www.oreht.ru/modules.php?name=orehtPriceLS&amp;op=Search&amp;page=1&amp;stext=364527</t>
  </si>
  <si>
    <t>BE-158/2 Кастрюля из нерж стали со стеклянной крышкой (d=22; 4.2 л) (12)</t>
  </si>
  <si>
    <t xml:space="preserve">546,4 </t>
  </si>
  <si>
    <t>https://www.oreht.ru/modules.php?name=orehtPriceLS&amp;op=Search&amp;page=1&amp;stext=421431</t>
  </si>
  <si>
    <t>Тарелка "серебро хюррем" 28см (кор.6шт) арт.17170/4</t>
  </si>
  <si>
    <t>https://www.oreht.ru/modules.php?name=orehtPriceLS&amp;op=Search&amp;page=1&amp;stext=347055</t>
  </si>
  <si>
    <t>Тарелка "пламя хюррем" 28см (кор.6шт) 17170/2</t>
  </si>
  <si>
    <t>https://www.oreht.ru/modules.php?name=orehtPriceLS&amp;op=Search&amp;page=1&amp;stext=347048</t>
  </si>
  <si>
    <t>Тарелка "хюррем бирюза" 28см (кор.6шт) 17170/1</t>
  </si>
  <si>
    <t>https://www.oreht.ru/modules.php?name=orehtPriceLS&amp;op=Search&amp;page=1&amp;stext=347062</t>
  </si>
  <si>
    <t>Тарелка "хюррем изумруд" 28см (кор.6шт) 17170/3</t>
  </si>
  <si>
    <t>https://www.oreht.ru/modules.php?name=orehtPriceLS&amp;op=Search&amp;page=1&amp;stext=384429</t>
  </si>
  <si>
    <t>Тарелка "кристал" 21 см (8) арт.16836</t>
  </si>
  <si>
    <t xml:space="preserve">547,2 </t>
  </si>
  <si>
    <t>https://www.oreht.ru/modules.php?name=orehtPriceLS&amp;op=Search&amp;page=1&amp;stext=384452</t>
  </si>
  <si>
    <t>Тарелка средняя "жасмин" кремовый 28 cm (кор.6шт) 16297/3</t>
  </si>
  <si>
    <t>https://www.oreht.ru/modules.php?name=orehtPriceLS&amp;op=Search&amp;page=1&amp;stext=198957</t>
  </si>
  <si>
    <t>Держатель ложки хром HYJ-007</t>
  </si>
  <si>
    <t xml:space="preserve">547,5 </t>
  </si>
  <si>
    <t>https://www.oreht.ru/modules.php?name=orehtPriceLS&amp;op=Search&amp;page=1&amp;stext=322830</t>
  </si>
  <si>
    <t>Набор чайный 12 пр "ELICA" ДЫМКА арт.62099</t>
  </si>
  <si>
    <t xml:space="preserve">547,7 </t>
  </si>
  <si>
    <t>https://www.oreht.ru/modules.php?name=orehtPriceLS&amp;op=Search&amp;page=1&amp;stext=284345</t>
  </si>
  <si>
    <t>Термос WEВBER SS-1200P 1200мл (24)</t>
  </si>
  <si>
    <t>https://www.oreht.ru/modules.php?name=orehtPriceLS&amp;op=Search&amp;page=1&amp;stext=323796</t>
  </si>
  <si>
    <t>BE-0527 Чайник из нерж.стали 3.5л (12)</t>
  </si>
  <si>
    <t>https://www.oreht.ru/modules.php?name=orehtPriceLS&amp;op=Search&amp;page=1&amp;stext=319318</t>
  </si>
  <si>
    <t>Перцемолка ручная PICCANTE, р-р 6,6*19,5 см, акрил, нерж сталь, Mallony арт.003935</t>
  </si>
  <si>
    <t xml:space="preserve">550 </t>
  </si>
  <si>
    <t>https://www.oreht.ru/modules.php?name=orehtPriceLS&amp;op=Search&amp;page=1&amp;stext=105393</t>
  </si>
  <si>
    <t>Сотейник Consul d 240 ст.кр. RC-020 "SСOVO"</t>
  </si>
  <si>
    <t>https://www.oreht.ru/modules.php?name=orehtPriceLS&amp;op=Search&amp;page=1&amp;stext=380758</t>
  </si>
  <si>
    <t>27605 Термос 1л нерж/сталь в кожан.чех MB(х24) "MAYER &amp; BOCH"</t>
  </si>
  <si>
    <t>https://www.oreht.ru/modules.php?name=orehtPriceLS&amp;op=Search&amp;page=1&amp;stext=294881</t>
  </si>
  <si>
    <t>Форма для запекания SMART CUISINE 28см круглая арт.N3165</t>
  </si>
  <si>
    <t xml:space="preserve">541,5 </t>
  </si>
  <si>
    <t>https://www.oreht.ru/modules.php?name=orehtPriceLS&amp;op=Search&amp;page=1&amp;stext=432889</t>
  </si>
  <si>
    <t>Блюдо прямоугольное "аквамарин" 34x17 см (4) арт.17774/2</t>
  </si>
  <si>
    <t xml:space="preserve">554,8 </t>
  </si>
  <si>
    <t>https://www.oreht.ru/modules.php?name=orehtPriceLS&amp;op=Search&amp;page=1&amp;stext=421451</t>
  </si>
  <si>
    <t>Тарелка "метелица" белое 28 см (6) арт.16822/w</t>
  </si>
  <si>
    <t>https://www.oreht.ru/modules.php?name=orehtPriceLS&amp;op=Search&amp;page=1&amp;stext=421448</t>
  </si>
  <si>
    <t>Тарелка "метелица" красное 28 см (6) арт.16822/r</t>
  </si>
  <si>
    <t>https://www.oreht.ru/modules.php?name=orehtPriceLS&amp;op=Search&amp;page=1&amp;stext=104932</t>
  </si>
  <si>
    <t>Решетка-гриль "Русская" 28*22 глубокая (401-729) ПИКНИЧОК</t>
  </si>
  <si>
    <t xml:space="preserve">555,9 </t>
  </si>
  <si>
    <t>https://www.oreht.ru/modules.php?name=orehtPriceLS&amp;op=Search&amp;page=1&amp;stext=156546</t>
  </si>
  <si>
    <t>Чайник из нерж. стали MAL-039-MP, 2,3 литра, матовый, со свистком 985605</t>
  </si>
  <si>
    <t xml:space="preserve">497,4 </t>
  </si>
  <si>
    <t>https://www.oreht.ru/modules.php?name=orehtPriceLS&amp;op=Search&amp;page=1&amp;stext=238836</t>
  </si>
  <si>
    <t>Чайник «Золото Востока» 900 мл (1/6) арт.216-H-9</t>
  </si>
  <si>
    <t>https://www.oreht.ru/modules.php?name=orehtPriceLS&amp;op=Search&amp;page=1&amp;stext=401365</t>
  </si>
  <si>
    <t>Кастрюля 1л С-1607АП/6Жм Норвежский лес (г.Лысьва)</t>
  </si>
  <si>
    <t>https://www.oreht.ru/modules.php?name=orehtPriceLS&amp;op=Search&amp;page=1&amp;stext=337043</t>
  </si>
  <si>
    <t>Емкость для сыпучих продуктов "Лавандовая весна" 1100 мл. высота=20 см. 358-1102</t>
  </si>
  <si>
    <t xml:space="preserve">488,8 </t>
  </si>
  <si>
    <t>https://www.oreht.ru/modules.php?name=orehtPriceLS&amp;op=Search&amp;page=1&amp;stext=341384</t>
  </si>
  <si>
    <t>Чайник/кофейник (кофе-пресс) стеклянный, 1000 мл, в корп из нерж ст, Lavello, тм Mallony арт.005532</t>
  </si>
  <si>
    <t>https://www.oreht.ru/modules.php?name=orehtPriceLS&amp;op=Search&amp;page=1&amp;stext=422240</t>
  </si>
  <si>
    <t>Шинковка деревянная "Славянская", 2 лезвия, нержавеющая сталь, 16 х 43 см, массив бука арт.4920783 г</t>
  </si>
  <si>
    <t>https://www.oreht.ru/modules.php?name=orehtPriceLS&amp;op=Search&amp;page=1&amp;stext=311683</t>
  </si>
  <si>
    <t>Полка угловая малая, д230 ш230 в280, хром арт.YJ-G301A</t>
  </si>
  <si>
    <t xml:space="preserve">559,9 </t>
  </si>
  <si>
    <t>https://www.oreht.ru/modules.php?name=orehtPriceLS&amp;op=Search&amp;page=1&amp;stext=306222</t>
  </si>
  <si>
    <t>LR04-10 термос LARA (сталь) - 750мл, КЛАПАН, двойные стенки, крышка-чашка</t>
  </si>
  <si>
    <t xml:space="preserve">560,5 </t>
  </si>
  <si>
    <t>https://www.oreht.ru/modules.php?name=orehtPriceLS&amp;op=Search&amp;page=1&amp;stext=285330</t>
  </si>
  <si>
    <t>Набор бокалов 200мл. арт.1712-ГЗ (Византия) гравировка, отводка золотом,6шт.</t>
  </si>
  <si>
    <t>https://www.oreht.ru/modules.php?name=orehtPriceLS&amp;op=Search&amp;page=1&amp;stext=360020</t>
  </si>
  <si>
    <t>28733 Набор для специй 6 пр на подставке MB (х18) "MAYER &amp; BOCH"</t>
  </si>
  <si>
    <t xml:space="preserve">561,9 </t>
  </si>
  <si>
    <t>https://www.oreht.ru/modules.php?name=orehtPriceLS&amp;op=Search&amp;page=1&amp;stext=402844</t>
  </si>
  <si>
    <t>Блюдо на ножке "золотая кувшинка" 28 см (4) арт.16579a/1</t>
  </si>
  <si>
    <t>https://www.oreht.ru/modules.php?name=orehtPriceLS&amp;op=Search&amp;page=1&amp;stext=428630</t>
  </si>
  <si>
    <t>Менажница 31см в под.уп.(х6)Керамика арт.110329</t>
  </si>
  <si>
    <t>https://www.oreht.ru/modules.php?name=orehtPriceLS&amp;op=Search&amp;page=1&amp;stext=341394</t>
  </si>
  <si>
    <t>https://www.oreht.ru/modules.php?name=orehtPriceLS&amp;op=Search&amp;page=1&amp;stext=393851</t>
  </si>
  <si>
    <t>Тарелка "inspiration green" 28cm 16468/1</t>
  </si>
  <si>
    <t>https://www.oreht.ru/modules.php?name=orehtPriceLS&amp;op=Search&amp;page=1&amp;stext=337092</t>
  </si>
  <si>
    <t>Нож сантоку Spata Rondell RD-1139 (BK)</t>
  </si>
  <si>
    <t xml:space="preserve">498 </t>
  </si>
  <si>
    <t>https://www.oreht.ru/modules.php?name=orehtPriceLS&amp;op=Search&amp;page=1&amp;stext=350357</t>
  </si>
  <si>
    <t>Блюдо на ножке "бургундская кувшинка" 28 см (4) арт.16579a/2</t>
  </si>
  <si>
    <t xml:space="preserve">565,2 </t>
  </si>
  <si>
    <t>https://www.oreht.ru/modules.php?name=orehtPriceLS&amp;op=Search&amp;page=1&amp;stext=338094</t>
  </si>
  <si>
    <t>Кастрюля цил. 4л "Pasta", черн., 1RD201M</t>
  </si>
  <si>
    <t xml:space="preserve">565,4 </t>
  </si>
  <si>
    <t>https://www.oreht.ru/modules.php?name=orehtPriceLS&amp;op=Search&amp;page=1&amp;stext=399005</t>
  </si>
  <si>
    <t>Кастрюля цил. 4,0л "Мозаика" крыш. с нерж. петл., белосн., 1RB221S</t>
  </si>
  <si>
    <t>https://www.oreht.ru/modules.php?name=orehtPriceLS&amp;op=Search&amp;page=1&amp;stext=255232</t>
  </si>
  <si>
    <t>Кастрюля сф. 2л, белосн. "Ромашки лето", белосн., 6RC161M</t>
  </si>
  <si>
    <t xml:space="preserve">565,7 </t>
  </si>
  <si>
    <t>https://www.oreht.ru/modules.php?name=orehtPriceLS&amp;op=Search&amp;page=1&amp;stext=330011</t>
  </si>
  <si>
    <t>Решетка для барбекю Fry-3073 круглая с деревянной ручкой, 30,5*4см арт.999665</t>
  </si>
  <si>
    <t>https://www.oreht.ru/modules.php?name=orehtPriceLS&amp;op=Search&amp;page=1&amp;stext=342598</t>
  </si>
  <si>
    <t>Tramontina Professional Master Нож кухонный 20см 24620/088 (871-415)</t>
  </si>
  <si>
    <t xml:space="preserve">547 </t>
  </si>
  <si>
    <t>https://www.oreht.ru/modules.php?name=orehtPriceLS&amp;op=Search&amp;page=1&amp;stext=379864</t>
  </si>
  <si>
    <t>Тарелка "inspiration" 28cm 16468/339-059</t>
  </si>
  <si>
    <t>https://www.oreht.ru/modules.php?name=orehtPriceLS&amp;op=Search&amp;page=1&amp;stext=88670</t>
  </si>
  <si>
    <t>Масленка (СS) S606820-A снежная королева /з</t>
  </si>
  <si>
    <t xml:space="preserve">533,9 </t>
  </si>
  <si>
    <t>https://www.oreht.ru/modules.php?name=orehtPriceLS&amp;op=Search&amp;page=1&amp;stext=431543</t>
  </si>
  <si>
    <t>Бокал "Непробиваемый", пуля, для коньяка, коробка, 390 мл арт.6384229 г.Екатеринбург</t>
  </si>
  <si>
    <t>https://www.oreht.ru/modules.php?name=orehtPriceLS&amp;op=Search&amp;page=1&amp;stext=370283</t>
  </si>
  <si>
    <t>Блюдо большое "ромашка" 30 см (4) арт.16492</t>
  </si>
  <si>
    <t>https://www.oreht.ru/modules.php?name=orehtPriceLS&amp;op=Search&amp;page=1&amp;stext=142192</t>
  </si>
  <si>
    <t>Крышка для котла 20л к201 "Kukmara" 360 мм</t>
  </si>
  <si>
    <t xml:space="preserve">570,8 </t>
  </si>
  <si>
    <t>https://www.oreht.ru/modules.php?name=orehtPriceLS&amp;op=Search&amp;page=1&amp;stext=363861</t>
  </si>
  <si>
    <t>Коврик для пикника PR-46A (акрил), размер 150*135см, с влагостойкой основой арт.999646</t>
  </si>
  <si>
    <t>https://www.oreht.ru/modules.php?name=orehtPriceLS&amp;op=Search&amp;page=1&amp;stext=364693</t>
  </si>
  <si>
    <t>ВС-1135 Гейзерная кофеварка на 6 чашек</t>
  </si>
  <si>
    <t>https://www.oreht.ru/modules.php?name=orehtPriceLS&amp;op=Search&amp;page=1&amp;stext=409107</t>
  </si>
  <si>
    <t>SATOSHI Карбон Подставка для ножей d11х22см, полипропиленовые разделители (838-036)</t>
  </si>
  <si>
    <t xml:space="preserve">541,3 </t>
  </si>
  <si>
    <t>https://www.oreht.ru/modules.php?name=orehtPriceLS&amp;op=Search&amp;page=1&amp;stext=428552</t>
  </si>
  <si>
    <t>Кувшин 1100мл. 1100мл, Арль зеленый GB2611V001ZB</t>
  </si>
  <si>
    <t xml:space="preserve">537,7 </t>
  </si>
  <si>
    <t>https://www.oreht.ru/modules.php?name=orehtPriceLS&amp;op=Search&amp;page=1&amp;stext=428548</t>
  </si>
  <si>
    <t>Кувшин 1100мл. 1100мл, Тебриз зеленый GB2611D001LJ</t>
  </si>
  <si>
    <t>https://www.oreht.ru/modules.php?name=orehtPriceLS&amp;op=Search&amp;page=1&amp;stext=407089</t>
  </si>
  <si>
    <t>Набор стаканов 1/6 240мл., Гвент фиолетовый GB2604D5209DZS</t>
  </si>
  <si>
    <t>https://www.oreht.ru/modules.php?name=orehtPriceLS&amp;op=Search&amp;page=1&amp;stext=377141</t>
  </si>
  <si>
    <t>LR06-51-600 Френч-пресс 600мл экологически чистый материал, пищевая сталь 304, боросиликатное стекло</t>
  </si>
  <si>
    <t xml:space="preserve">548,6 </t>
  </si>
  <si>
    <t>https://www.oreht.ru/modules.php?name=orehtPriceLS&amp;op=Search&amp;page=1&amp;stext=355678</t>
  </si>
  <si>
    <t>Кастрюля круглая Classic 2.1л арт.108A000N/2017</t>
  </si>
  <si>
    <t>https://www.oreht.ru/modules.php?name=orehtPriceLS&amp;op=Search&amp;page=1&amp;stext=421997</t>
  </si>
  <si>
    <t>Бутыль 82-030-ГВ62 "Рифленая" 10л прозрачная с крышкой</t>
  </si>
  <si>
    <t>https://www.oreht.ru/modules.php?name=orehtPriceLS&amp;op=Search&amp;page=1&amp;stext=393844</t>
  </si>
  <si>
    <t>Блюдо на ножке "inspiration green" овальное 22cm 16470а/1</t>
  </si>
  <si>
    <t>https://www.oreht.ru/modules.php?name=orehtPriceLS&amp;op=Search&amp;page=1&amp;stext=254832</t>
  </si>
  <si>
    <t>Противень 335х220*55 мм г.КУКМОР арт.п01 "Kukmara"</t>
  </si>
  <si>
    <t xml:space="preserve">549,1 </t>
  </si>
  <si>
    <t>https://www.oreht.ru/modules.php?name=orehtPriceLS&amp;op=Search&amp;page=1&amp;stext=421406</t>
  </si>
  <si>
    <t>Тарелка "пейсли антрацит" 28см (6) 15793/1</t>
  </si>
  <si>
    <t xml:space="preserve">575,7 </t>
  </si>
  <si>
    <t>https://www.oreht.ru/modules.php?name=orehtPriceLS&amp;op=Search&amp;page=1&amp;stext=421399</t>
  </si>
  <si>
    <t>Тарелка "ривьера бронза" 28см (6) 15738/2</t>
  </si>
  <si>
    <t xml:space="preserve">527,9 </t>
  </si>
  <si>
    <t>https://www.oreht.ru/modules.php?name=orehtPriceLS&amp;op=Search&amp;page=1&amp;stext=402824</t>
  </si>
  <si>
    <t>Тарелка "элеонора бронза" 28см (6) 15723/2</t>
  </si>
  <si>
    <t>https://www.oreht.ru/modules.php?name=orehtPriceLS&amp;op=Search&amp;page=1&amp;stext=402817</t>
  </si>
  <si>
    <t>Тарелка "элеонора патина" 28см (6) 15723/1</t>
  </si>
  <si>
    <t>https://www.oreht.ru/modules.php?name=orehtPriceLS&amp;op=Search&amp;page=1&amp;stext=424106</t>
  </si>
  <si>
    <t>Набор салатников "Розы" 7 пр.: 11,5 см 6 шт., 20 см 1 шт., в подарочной упаковке арт.MFK08325</t>
  </si>
  <si>
    <t>https://www.oreht.ru/modules.php?name=orehtPriceLS&amp;op=Search&amp;page=1&amp;stext=373758</t>
  </si>
  <si>
    <t>Кастрюля agness эмалированная, серия куриный переполох1,7л диаметр=16 см высота=10 см 951-010</t>
  </si>
  <si>
    <t>https://www.oreht.ru/modules.php?name=orehtPriceLS&amp;op=Search&amp;page=1&amp;stext=424028</t>
  </si>
  <si>
    <t>Противень для разморозки продуктов 29,5х20,5 арт.6117131 г.Екатеринбург</t>
  </si>
  <si>
    <t>https://www.oreht.ru/modules.php?name=orehtPriceLS&amp;op=Search&amp;page=1&amp;stext=422000</t>
  </si>
  <si>
    <t>Бутыль 82-032-ГВ163 12л с крышкой гидрозатворной (банка)</t>
  </si>
  <si>
    <t>https://www.oreht.ru/modules.php?name=orehtPriceLS&amp;op=Search&amp;page=1&amp;stext=303603</t>
  </si>
  <si>
    <t>Ковшик с антипригарным покрытием и стекл. крышкой 600 мл без упаковки 906-202</t>
  </si>
  <si>
    <t>https://www.oreht.ru/modules.php?name=orehtPriceLS&amp;op=Search&amp;page=1&amp;stext=273999</t>
  </si>
  <si>
    <t>Кастрюля 4.5л С-16154АП2 ГРИБНАЯ ПОЛЯНА (г.Лысьва)</t>
  </si>
  <si>
    <t xml:space="preserve">603,5 </t>
  </si>
  <si>
    <t>https://www.oreht.ru/modules.php?name=orehtPriceLS&amp;op=Search&amp;page=1&amp;stext=384438</t>
  </si>
  <si>
    <t>Тарелка "снежные узоры" 28 см белая () арт.16347/S</t>
  </si>
  <si>
    <t xml:space="preserve">580 </t>
  </si>
  <si>
    <t>https://www.oreht.ru/modules.php?name=orehtPriceLS&amp;op=Search&amp;page=1&amp;stext=384441</t>
  </si>
  <si>
    <t>Тарелка "снежные узоры" 28 см красная () арт.16347/R</t>
  </si>
  <si>
    <t>https://www.oreht.ru/modules.php?name=orehtPriceLS&amp;op=Search&amp;page=1&amp;stext=400896</t>
  </si>
  <si>
    <t>Набор "Transformers" 3 пр.: кружка 240 мл, миска 18 см, тарелка 19 см в подар упаковке. арт.TRS3-2</t>
  </si>
  <si>
    <t xml:space="preserve">466 </t>
  </si>
  <si>
    <t>https://www.oreht.ru/modules.php?name=orehtPriceLS&amp;op=Search&amp;page=1&amp;stext=437057</t>
  </si>
  <si>
    <t>Набор стаканов из 6 шт "Танзанит" 330 мл 194-534</t>
  </si>
  <si>
    <t>https://www.oreht.ru/modules.php?name=orehtPriceLS&amp;op=Search&amp;page=1&amp;stext=437058</t>
  </si>
  <si>
    <t>Набор стаканов из 6 шт "Гречишный мед" 310 мл 194-542</t>
  </si>
  <si>
    <t>https://www.oreht.ru/modules.php?name=orehtPriceLS&amp;op=Search&amp;page=1&amp;stext=426574</t>
  </si>
  <si>
    <t>Набор стаканов из 6 шт "Гречишный мед" 330 мл 194-535</t>
  </si>
  <si>
    <t xml:space="preserve">582,5 </t>
  </si>
  <si>
    <t>https://www.oreht.ru/modules.php?name=orehtPriceLS&amp;op=Search&amp;page=1&amp;stext=426575</t>
  </si>
  <si>
    <t>Набор стаканов из 6 шт "Лиловая дымка" 310 мл 194-536</t>
  </si>
  <si>
    <t>https://www.oreht.ru/modules.php?name=orehtPriceLS&amp;op=Search&amp;page=1&amp;stext=320430</t>
  </si>
  <si>
    <t>Блюдо овальное O CUISINE 39х27см 4л арт.347BC00/1044</t>
  </si>
  <si>
    <t xml:space="preserve">570,5 </t>
  </si>
  <si>
    <t>https://www.oreht.ru/modules.php?name=orehtPriceLS&amp;op=Search&amp;page=1&amp;stext=431548</t>
  </si>
  <si>
    <t>Набор стакан и камни для виски "Виски" с пулей, 3 камня в мешочке, 250 мл арт.5374231 г.Екатеринбург</t>
  </si>
  <si>
    <t xml:space="preserve">583,8 </t>
  </si>
  <si>
    <t>https://www.oreht.ru/modules.php?name=orehtPriceLS&amp;op=Search&amp;page=1&amp;stext=259176</t>
  </si>
  <si>
    <t>26889 Набор для специй 6 предмета 90мл MB (х24) "MAYER &amp; BOCH"</t>
  </si>
  <si>
    <t>https://www.oreht.ru/modules.php?name=orehtPriceLS&amp;op=Search&amp;page=1&amp;stext=432914</t>
  </si>
  <si>
    <t>Салатник "Лазурит" 22х7,3 см арт.6959109 г.Екатеринбург</t>
  </si>
  <si>
    <t>https://www.oreht.ru/modules.php?name=orehtPriceLS&amp;op=Search&amp;page=1&amp;stext=406590</t>
  </si>
  <si>
    <t>Доска разделочная APOLLO "Cloud" 43*28*0.8 см CLD-43</t>
  </si>
  <si>
    <t>https://www.oreht.ru/modules.php?name=orehtPriceLS&amp;op=Search&amp;page=1&amp;stext=432864</t>
  </si>
  <si>
    <t>Чаша на ножке "розовый лотос" 16см (4) 16536а/р</t>
  </si>
  <si>
    <t xml:space="preserve">558,1 </t>
  </si>
  <si>
    <t>https://www.oreht.ru/modules.php?name=orehtPriceLS&amp;op=Search&amp;page=1&amp;stext=432859</t>
  </si>
  <si>
    <t>Чаша на ножке "сиреневый лотос" 16см (4) 16536а/с</t>
  </si>
  <si>
    <t xml:space="preserve">564 </t>
  </si>
  <si>
    <t>https://www.oreht.ru/modules.php?name=orehtPriceLS&amp;op=Search&amp;page=1&amp;stext=397281</t>
  </si>
  <si>
    <t>Набор столовых приборов 4 предмета Magistro "Оску стандарт" красный арт.4684565 г.Екатеринбург</t>
  </si>
  <si>
    <t xml:space="preserve">585 </t>
  </si>
  <si>
    <t>https://www.oreht.ru/modules.php?name=orehtPriceLS&amp;op=Search&amp;page=1&amp;stext=400854</t>
  </si>
  <si>
    <t>Набор салатников "Орхидеи" 7 пр.: 11,5 см 6 шт., 20 см 1 шт., в подарочной упаковке арт.MFK08313</t>
  </si>
  <si>
    <t>https://www.oreht.ru/modules.php?name=orehtPriceLS&amp;op=Search&amp;page=1&amp;stext=403645</t>
  </si>
  <si>
    <t>Ф19-057R Заварочный чайник с фильтром и подставкой : 750мл, фиолетовый (12)</t>
  </si>
  <si>
    <t>https://www.oreht.ru/modules.php?name=orehtPriceLS&amp;op=Search&amp;page=1&amp;stext=202066</t>
  </si>
  <si>
    <t>https://www.oreht.ru/modules.php?name=orehtPriceLS&amp;op=Search&amp;page=1&amp;stext=339127</t>
  </si>
  <si>
    <t>Форма для запекания SMART CUISINE 23см квадратная арт.P4025</t>
  </si>
  <si>
    <t xml:space="preserve">575,5 </t>
  </si>
  <si>
    <t>https://www.oreht.ru/modules.php?name=orehtPriceLS&amp;op=Search&amp;page=1&amp;stext=434723</t>
  </si>
  <si>
    <t>Набор из 6 стаканов 250мл. в под.уп.(х4)Стекло арт.588-308</t>
  </si>
  <si>
    <t>https://www.oreht.ru/modules.php?name=orehtPriceLS&amp;op=Search&amp;page=1&amp;stext=105423</t>
  </si>
  <si>
    <t>Сковорода Scovo DISCOVERY d 280 СД-025</t>
  </si>
  <si>
    <t xml:space="preserve">588,6 </t>
  </si>
  <si>
    <t>https://www.oreht.ru/modules.php?name=orehtPriceLS&amp;op=Search&amp;page=1&amp;stext=213912</t>
  </si>
  <si>
    <t>Котелок туристический 8л. арт 19080 "КАЛИТВА"</t>
  </si>
  <si>
    <t xml:space="preserve">588,7 </t>
  </si>
  <si>
    <t>https://www.oreht.ru/modules.php?name=orehtPriceLS&amp;op=Search&amp;page=1&amp;stext=154857</t>
  </si>
  <si>
    <t>Сковорода д.260/102 с пласт.ручк и крышкой А263 "БИОЛ"</t>
  </si>
  <si>
    <t>https://www.oreht.ru/modules.php?name=orehtPriceLS&amp;op=Search&amp;page=1&amp;stext=362890</t>
  </si>
  <si>
    <t>Пельменница мет. (2356)</t>
  </si>
  <si>
    <t>https://www.oreht.ru/modules.php?name=orehtPriceLS&amp;op=Search&amp;page=1&amp;stext=340519</t>
  </si>
  <si>
    <t>Емкость для сыпучих продуктов "Кофе" диаметр=11см. высота=15,5см 790-161</t>
  </si>
  <si>
    <t xml:space="preserve">556 </t>
  </si>
  <si>
    <t>https://www.oreht.ru/modules.php?name=orehtPriceLS&amp;op=Search&amp;page=1&amp;stext=383470</t>
  </si>
  <si>
    <t>Декоративный поднос "HOME" (32*27 см) белый арт.008543</t>
  </si>
  <si>
    <t>https://www.oreht.ru/modules.php?name=orehtPriceLS&amp;op=Search&amp;page=1&amp;stext=343765</t>
  </si>
  <si>
    <t>Набор фужеров (бокалов) для вина СЕЛЕСТ 350мл 6шт арт.L5831</t>
  </si>
  <si>
    <t xml:space="preserve">629,4 </t>
  </si>
  <si>
    <t>https://www.oreht.ru/modules.php?name=orehtPriceLS&amp;op=Search&amp;page=1&amp;stext=423270</t>
  </si>
  <si>
    <t>29673-2 Набор рюмок 6шт 50мл ЗОЛОТО (х16) "MAYER &amp; BOCH"</t>
  </si>
  <si>
    <t>https://www.oreht.ru/modules.php?name=orehtPriceLS&amp;op=Search&amp;page=1&amp;stext=413565</t>
  </si>
  <si>
    <t>Бульонница "Пурпур" 19*14*7 см. / 520 мл. 358-1761</t>
  </si>
  <si>
    <t>https://www.oreht.ru/modules.php?name=orehtPriceLS&amp;op=Search&amp;page=1&amp;stext=234698</t>
  </si>
  <si>
    <t>Сахарница с ложкой 460 мл. диаметр=11 см. высота=10 см. 912-023</t>
  </si>
  <si>
    <t xml:space="preserve">596 </t>
  </si>
  <si>
    <t>https://www.oreht.ru/modules.php?name=orehtPriceLS&amp;op=Search&amp;page=1&amp;stext=219059</t>
  </si>
  <si>
    <t>Посуда для СВЧ лоток прямоуг с крышкой 2,8 л арт.59010</t>
  </si>
  <si>
    <t>https://www.oreht.ru/modules.php?name=orehtPriceLS&amp;op=Search&amp;page=1&amp;stext=116469</t>
  </si>
  <si>
    <t>Набор фужеров (бокалов) для коньяка ДОМИНО 4шт 410мл арт. J3030</t>
  </si>
  <si>
    <t xml:space="preserve">586,8 </t>
  </si>
  <si>
    <t>https://www.oreht.ru/modules.php?name=orehtPriceLS&amp;op=Search&amp;page=1&amp;stext=421389</t>
  </si>
  <si>
    <t>Тарелка "античная роза" 28 см золото (6) 17909/g</t>
  </si>
  <si>
    <t xml:space="preserve">571,9 </t>
  </si>
  <si>
    <t>https://www.oreht.ru/modules.php?name=orehtPriceLS&amp;op=Search&amp;page=1&amp;stext=421393</t>
  </si>
  <si>
    <t>Тарелка "античная роза" 28 см платина (6) 17909/р</t>
  </si>
  <si>
    <t xml:space="preserve">599,1 </t>
  </si>
  <si>
    <t>https://www.oreht.ru/modules.php?name=orehtPriceLS&amp;op=Search&amp;page=1&amp;stext=104929</t>
  </si>
  <si>
    <t>Решетка-гриль "Альпийская" 6 секции большая (401-732) ПИКНИЧОК</t>
  </si>
  <si>
    <t xml:space="preserve">599,4 </t>
  </si>
  <si>
    <t>https://www.oreht.ru/modules.php?name=orehtPriceLS&amp;op=Search&amp;page=1&amp;stext=426238</t>
  </si>
  <si>
    <t>25620 Сковородка 20см мрам/крошка с руч МВ (х6) "MAYER &amp; BOCH"</t>
  </si>
  <si>
    <t>https://www.oreht.ru/modules.php?name=orehtPriceLS&amp;op=Search&amp;page=1&amp;stext=337088</t>
  </si>
  <si>
    <t>Нож для хлеба Spata Rondell RD-1135 (BK)</t>
  </si>
  <si>
    <t xml:space="preserve">538 </t>
  </si>
  <si>
    <t>https://www.oreht.ru/modules.php?name=orehtPriceLS&amp;op=Search&amp;page=1&amp;stext=124611</t>
  </si>
  <si>
    <t>Тренога - №8 двухместная т08 (до 7л) "Kukmara"</t>
  </si>
  <si>
    <t>https://www.oreht.ru/modules.php?name=orehtPriceLS&amp;op=Search&amp;page=1&amp;stext=364682</t>
  </si>
  <si>
    <t>BC-1106 Френч-пресс 800мл</t>
  </si>
  <si>
    <t>https://www.oreht.ru/modules.php?name=orehtPriceLS&amp;op=Search&amp;page=1&amp;stext=124615</t>
  </si>
  <si>
    <t>Тренога для котла походного - №2 с чехлом т021 (до 10л) "Kukmara"</t>
  </si>
  <si>
    <t xml:space="preserve">602,2 </t>
  </si>
  <si>
    <t>https://www.oreht.ru/modules.php?name=orehtPriceLS&amp;op=Search&amp;page=1&amp;stext=253584</t>
  </si>
  <si>
    <t>22552 Конфетница 3-х ярусная на ножке LR (х12) "MAYER &amp; BOCH"</t>
  </si>
  <si>
    <t>https://www.oreht.ru/modules.php?name=orehtPriceLS&amp;op=Search&amp;page=1&amp;stext=339681</t>
  </si>
  <si>
    <t>РК-512 Квадратная кастрюля с крышкой из термостойкого стекла 2,7 л "ЗАБАВА" 26.1*21.6*12.5 см (6)</t>
  </si>
  <si>
    <t xml:space="preserve">582,4 </t>
  </si>
  <si>
    <t>https://www.oreht.ru/modules.php?name=orehtPriceLS&amp;op=Search&amp;page=1&amp;stext=432938</t>
  </si>
  <si>
    <t>Тарелка десертная "Гравитация" 22x20,5x3 см, цвет бежевый арт.7161954 г.Екатеринбург</t>
  </si>
  <si>
    <t xml:space="preserve">605,6 </t>
  </si>
  <si>
    <t>https://www.oreht.ru/modules.php?name=orehtPriceLS&amp;op=Search&amp;page=1&amp;stext=362145</t>
  </si>
  <si>
    <t>Решетка д/барбекю "Лайт" 28*18*5 см AN84-62</t>
  </si>
  <si>
    <t xml:space="preserve">607,3 </t>
  </si>
  <si>
    <t>https://www.oreht.ru/modules.php?name=orehtPriceLS&amp;op=Search&amp;page=1&amp;stext=204798</t>
  </si>
  <si>
    <t>Набор плоских шампуров 60 см 6 штук в чехле / 12 61329 BOYSCOUT</t>
  </si>
  <si>
    <t xml:space="preserve">608 </t>
  </si>
  <si>
    <t>https://www.oreht.ru/modules.php?name=orehtPriceLS&amp;op=Search&amp;page=1&amp;stext=159836</t>
  </si>
  <si>
    <t>Кастрюля 4.5л С-16154АП2 ФРУКТОВЫЙ МИКС (г.Лысьва)</t>
  </si>
  <si>
    <t>https://www.oreht.ru/modules.php?name=orehtPriceLS&amp;op=Search&amp;page=1&amp;stext=292205</t>
  </si>
  <si>
    <t>Кастрюля 4.5л С-15154АП2 ИТАЛЬЯНСКАЯ КУХНЯ (г.Лысьва)</t>
  </si>
  <si>
    <t>https://www.oreht.ru/modules.php?name=orehtPriceLS&amp;op=Search&amp;page=1&amp;stext=403637</t>
  </si>
  <si>
    <t>BE-2263N Набор ножей 5 пр.+овощечистка (нерж.сталь+антибактер.покрытие) (10)</t>
  </si>
  <si>
    <t xml:space="preserve">566 </t>
  </si>
  <si>
    <t>https://www.oreht.ru/modules.php?name=orehtPriceLS&amp;op=Search&amp;page=1&amp;stext=392389</t>
  </si>
  <si>
    <t>BE-0577 Чайник WEBBER из нерж.стали 2 л. со свистком (12)</t>
  </si>
  <si>
    <t>https://www.oreht.ru/modules.php?name=orehtPriceLS&amp;op=Search&amp;page=1&amp;stext=187077</t>
  </si>
  <si>
    <t>Кастрюля 6л С-16184АП2 СОЧНАЯ КЛУБНИКА (г.Лысьва)</t>
  </si>
  <si>
    <t xml:space="preserve">665,7 </t>
  </si>
  <si>
    <t>https://www.oreht.ru/modules.php?name=orehtPriceLS&amp;op=Search&amp;page=1&amp;stext=364702</t>
  </si>
  <si>
    <t>ВС-5009 Набор для специй на подставке</t>
  </si>
  <si>
    <t>https://www.oreht.ru/modules.php?name=orehtPriceLS&amp;op=Search&amp;page=1&amp;stext=413053</t>
  </si>
  <si>
    <t>BE-127/2 Ковш 2,1л WEBBER со стекл.крышкой, 16*9,5 см, нерж.сталь, капсул. индукционное дно (6)</t>
  </si>
  <si>
    <t xml:space="preserve">618,4 </t>
  </si>
  <si>
    <t>https://www.oreht.ru/modules.php?name=orehtPriceLS&amp;op=Search&amp;page=1&amp;stext=353037</t>
  </si>
  <si>
    <t>BE-0578 Чайник WEBBER из нерж.стали 2 л. со свистком (12)</t>
  </si>
  <si>
    <t>https://www.oreht.ru/modules.php?name=orehtPriceLS&amp;op=Search&amp;page=1&amp;stext=421465</t>
  </si>
  <si>
    <t>Тарелка "серебро хюррем" 33см (кор.6шт) 17171/4</t>
  </si>
  <si>
    <t>https://www.oreht.ru/modules.php?name=orehtPriceLS&amp;op=Search&amp;page=1&amp;stext=421427</t>
  </si>
  <si>
    <t>Блюдо большое "серебро хюррем" 30 см (кор.4шт) 17164/4</t>
  </si>
  <si>
    <t>https://www.oreht.ru/modules.php?name=orehtPriceLS&amp;op=Search&amp;page=1&amp;stext=299897</t>
  </si>
  <si>
    <t>Tramontina Athus Нож овощной 8см, белая ручка 23080/083 (871-177)</t>
  </si>
  <si>
    <t xml:space="preserve">591,6 </t>
  </si>
  <si>
    <t>https://www.oreht.ru/modules.php?name=orehtPriceLS&amp;op=Search&amp;page=1&amp;stext=299893</t>
  </si>
  <si>
    <t>Tramontina Athus Нож для томатов 12.7см, черная ручка 23088/005 (871-166)</t>
  </si>
  <si>
    <t xml:space="preserve">741,6 </t>
  </si>
  <si>
    <t>https://www.oreht.ru/modules.php?name=orehtPriceLS&amp;op=Search&amp;page=1&amp;stext=422001</t>
  </si>
  <si>
    <t>Бутыль (банка) с крышкой гидрозатворной (15л) 82-032-ГВ163</t>
  </si>
  <si>
    <t>https://www.oreht.ru/modules.php?name=orehtPriceLS&amp;op=Search&amp;page=1&amp;stext=344701</t>
  </si>
  <si>
    <t>Сушилка для посуды 52*32*13 см из хромированной стали с поддоном (0761A)</t>
  </si>
  <si>
    <t xml:space="preserve">620,1 </t>
  </si>
  <si>
    <t>https://www.oreht.ru/modules.php?name=orehtPriceLS&amp;op=Search&amp;page=1&amp;stext=397270</t>
  </si>
  <si>
    <t>Блюдо для торта "Цветок" 25 см арт.5204535 г.Екатеринбург</t>
  </si>
  <si>
    <t>https://www.oreht.ru/modules.php?name=orehtPriceLS&amp;op=Search&amp;page=1&amp;stext=269740</t>
  </si>
  <si>
    <t>Набор посуды для СВЧ 2 пр (круглые формы для запекания d 320 мм + d 260 мм) 2,6 л+1,6 л арт.159022</t>
  </si>
  <si>
    <t>https://www.oreht.ru/modules.php?name=orehtPriceLS&amp;op=Search&amp;page=1&amp;stext=424404</t>
  </si>
  <si>
    <t>https://www.oreht.ru/modules.php?name=orehtPriceLS&amp;op=Search&amp;page=1&amp;stext=358099</t>
  </si>
  <si>
    <t>Термос 22012/2 со стеклянной колбой 1,2 л (12)</t>
  </si>
  <si>
    <t>https://www.oreht.ru/modules.php?name=orehtPriceLS&amp;op=Search&amp;page=1&amp;stext=272038</t>
  </si>
  <si>
    <t>Термос WEВBER SST-800P (12)</t>
  </si>
  <si>
    <t xml:space="preserve">623,9 </t>
  </si>
  <si>
    <t>https://www.oreht.ru/modules.php?name=orehtPriceLS&amp;op=Search&amp;page=1&amp;stext=104931</t>
  </si>
  <si>
    <t>Решетка-гриль "Калифорнийская" глубокая антипригарная (401-026) ПИКНИЧОК</t>
  </si>
  <si>
    <t xml:space="preserve">625,1 </t>
  </si>
  <si>
    <t>https://www.oreht.ru/modules.php?name=orehtPriceLS&amp;op=Search&amp;page=1&amp;stext=357733</t>
  </si>
  <si>
    <t>Rosegold Line Френч-пресс 600мл арт.1494-BH</t>
  </si>
  <si>
    <t xml:space="preserve">630 </t>
  </si>
  <si>
    <t>https://www.oreht.ru/modules.php?name=orehtPriceLS&amp;op=Search&amp;page=1&amp;stext=252383</t>
  </si>
  <si>
    <t>Полка двухъярусная малая для банок, хром арт.MX-068</t>
  </si>
  <si>
    <t xml:space="preserve">486,2 </t>
  </si>
  <si>
    <t>https://www.oreht.ru/modules.php?name=orehtPriceLS&amp;op=Search&amp;page=1&amp;stext=390527</t>
  </si>
  <si>
    <t>Набор стаканов "Ромбо" из 6шт. серия "muza color" 240мл. / в=10 см 781-125</t>
  </si>
  <si>
    <t>https://www.oreht.ru/modules.php?name=orehtPriceLS&amp;op=Search&amp;page=1&amp;stext=424042</t>
  </si>
  <si>
    <t>Тарелка для подачи, 18 х 15 см, массив дуба арт.4341564 г.Екатеринбург</t>
  </si>
  <si>
    <t xml:space="preserve">561 </t>
  </si>
  <si>
    <t>https://www.oreht.ru/modules.php?name=orehtPriceLS&amp;op=Search&amp;page=1&amp;stext=400127</t>
  </si>
  <si>
    <t>VETTA Овощерезка универсальная "Супер Слайсер", VS-288, 14 предметов (885-042)</t>
  </si>
  <si>
    <t xml:space="preserve">634,3 </t>
  </si>
  <si>
    <t>https://www.oreht.ru/modules.php?name=orehtPriceLS&amp;op=Search&amp;page=1&amp;stext=379145</t>
  </si>
  <si>
    <t>Масленка "Пальчики оближешь" 17*13*9 см. 359-662</t>
  </si>
  <si>
    <t>https://www.oreht.ru/modules.php?name=orehtPriceLS&amp;op=Search&amp;page=1&amp;stext=403178</t>
  </si>
  <si>
    <t>Променад Кастрюля 2.1 л. со стекл./кр (INTEROS) 3918</t>
  </si>
  <si>
    <t>https://www.oreht.ru/modules.php?name=orehtPriceLS&amp;op=Search&amp;page=1&amp;stext=286061</t>
  </si>
  <si>
    <t>Тренога для казана 4,5л "Kukmara" т045 d295мм</t>
  </si>
  <si>
    <t xml:space="preserve">638,5 </t>
  </si>
  <si>
    <t>https://www.oreht.ru/modules.php?name=orehtPriceLS&amp;op=Search&amp;page=1&amp;stext=323797</t>
  </si>
  <si>
    <t>BE-0528 Чайник из нерж.стали 4.5л (12)</t>
  </si>
  <si>
    <t xml:space="preserve">636 </t>
  </si>
  <si>
    <t>https://www.oreht.ru/modules.php?name=orehtPriceLS&amp;op=Search&amp;page=1&amp;stext=316746</t>
  </si>
  <si>
    <t>BE-0123 Гейзерная кофеварка WEBBER алюминиевая,450мл на 9 чашек (12)</t>
  </si>
  <si>
    <t xml:space="preserve">639,6 </t>
  </si>
  <si>
    <t>https://www.oreht.ru/modules.php?name=orehtPriceLS&amp;op=Search&amp;page=1&amp;stext=387210</t>
  </si>
  <si>
    <t>29081 Термос 1,8л ст/колба + 2 кружки MB (х12) "MAYER &amp; BOCH"</t>
  </si>
  <si>
    <t xml:space="preserve">701,8 </t>
  </si>
  <si>
    <t>https://www.oreht.ru/modules.php?name=orehtPriceLS&amp;op=Search&amp;page=1&amp;stext=347019</t>
  </si>
  <si>
    <t>Блюдо большое "лунное сияние" 30 см (кор.4шт) 18411/1</t>
  </si>
  <si>
    <t>https://www.oreht.ru/modules.php?name=orehtPriceLS&amp;op=Search&amp;page=1&amp;stext=384045</t>
  </si>
  <si>
    <t>Овощерезка механическая "Дует", ABS-пластик, нерж. сталь арт.5141289 г.Екатеринбург</t>
  </si>
  <si>
    <t>https://www.oreht.ru/modules.php?name=orehtPriceLS&amp;op=Search&amp;page=1&amp;stext=402835</t>
  </si>
  <si>
    <t>Тарелка "лаванда" средняя 28 см арт.15715</t>
  </si>
  <si>
    <t>https://www.oreht.ru/modules.php?name=orehtPriceLS&amp;op=Search&amp;page=1&amp;stext=390143</t>
  </si>
  <si>
    <t>Механический дозатор - миксер для приготовления теста. Объём 900 мл. арт.MO-2512</t>
  </si>
  <si>
    <t>https://www.oreht.ru/modules.php?name=orehtPriceLS&amp;op=Search&amp;page=1&amp;stext=396425</t>
  </si>
  <si>
    <t>Контейнер DIAFANO,1500 мл, из жаропроч стекла с крыш. из пласт, темп режим -40 до +300С арт. 005473</t>
  </si>
  <si>
    <t xml:space="preserve">659,4 </t>
  </si>
  <si>
    <t>https://www.oreht.ru/modules.php?name=orehtPriceLS&amp;op=Search&amp;page=1&amp;stext=116471</t>
  </si>
  <si>
    <t>Набор фужеров (бокалов) для шампанского ДОМИНО 6шт 170мл арт.H8167</t>
  </si>
  <si>
    <t xml:space="preserve">705,8 </t>
  </si>
  <si>
    <t>https://www.oreht.ru/modules.php?name=orehtPriceLS&amp;op=Search&amp;page=1&amp;stext=370069</t>
  </si>
  <si>
    <t>25788 Кофейный сервиз"Розы"12пр,90мл костяной фарфор LR (х16) "MAYER &amp; BOCH"</t>
  </si>
  <si>
    <t>https://www.oreht.ru/modules.php?name=orehtPriceLS&amp;op=Search&amp;page=1&amp;stext=373315</t>
  </si>
  <si>
    <t>Супница 28 см, микс арт.2741378 Узбекистан</t>
  </si>
  <si>
    <t>https://www.oreht.ru/modules.php?name=orehtPriceLS&amp;op=Search&amp;page=1&amp;stext=375905</t>
  </si>
  <si>
    <t>Блюдо овальное "Лемон три" 31,5*25,5 см. высота=3 см. 358-1551</t>
  </si>
  <si>
    <t xml:space="preserve">646,2 </t>
  </si>
  <si>
    <t>https://www.oreht.ru/modules.php?name=orehtPriceLS&amp;op=Search&amp;page=1&amp;stext=422678</t>
  </si>
  <si>
    <t>Набор стаканов из 6 шт "Бельведер золотой" 310 мл 194-576</t>
  </si>
  <si>
    <t xml:space="preserve">597,3 </t>
  </si>
  <si>
    <t>https://www.oreht.ru/modules.php?name=orehtPriceLS&amp;op=Search&amp;page=1&amp;stext=437059</t>
  </si>
  <si>
    <t>Набор стаканов из 6 шт "Бельведер" 310 мл 194-571</t>
  </si>
  <si>
    <t>https://www.oreht.ru/modules.php?name=orehtPriceLS&amp;op=Search&amp;page=1&amp;stext=219590</t>
  </si>
  <si>
    <t>Банка для чая "аятуль-курси"" 11*8*8 см. 86-1779</t>
  </si>
  <si>
    <t>https://www.oreht.ru/modules.php?name=orehtPriceLS&amp;op=Search&amp;page=1&amp;stext=275609</t>
  </si>
  <si>
    <t>Блюдо Pyrex Irresistible 39х27см овальное арт.412B000/7044</t>
  </si>
  <si>
    <t xml:space="preserve">636,9 </t>
  </si>
  <si>
    <t>https://www.oreht.ru/modules.php?name=orehtPriceLS&amp;op=Search&amp;page=1&amp;stext=438262</t>
  </si>
  <si>
    <t>Машинка закаточная д/консервирования автомат. МЗА (Кременчуг)</t>
  </si>
  <si>
    <t>https://www.oreht.ru/modules.php?name=orehtPriceLS&amp;op=Search&amp;page=1&amp;stext=347065</t>
  </si>
  <si>
    <t>Тарелка большая "жасмин" красный 32 cm (кор.6шт) 16298/2</t>
  </si>
  <si>
    <t xml:space="preserve">650,5 </t>
  </si>
  <si>
    <t>https://www.oreht.ru/modules.php?name=orehtPriceLS&amp;op=Search&amp;page=1&amp;stext=370297</t>
  </si>
  <si>
    <t>Блюдо глубокое "аметист" 25см без упаковки (кор.4шт) 17547/3</t>
  </si>
  <si>
    <t xml:space="preserve">618 </t>
  </si>
  <si>
    <t>https://www.oreht.ru/modules.php?name=orehtPriceLS&amp;op=Search&amp;page=1&amp;stext=432635</t>
  </si>
  <si>
    <t>Набор бокалов из 3 шт "Лазурит" 420 мл 194-523</t>
  </si>
  <si>
    <t>https://www.oreht.ru/modules.php?name=orehtPriceLS&amp;op=Search&amp;page=1&amp;stext=421456</t>
  </si>
  <si>
    <t>Тарелка "снежный вихрь" 28 см белая (4/6) арт.15336/w</t>
  </si>
  <si>
    <t>https://www.oreht.ru/modules.php?name=orehtPriceLS&amp;op=Search&amp;page=1&amp;stext=421460</t>
  </si>
  <si>
    <t>Тарелка "снежный вихрь" 28 см красная (4/6) арт.15336/r</t>
  </si>
  <si>
    <t xml:space="preserve">653,1 </t>
  </si>
  <si>
    <t>https://www.oreht.ru/modules.php?name=orehtPriceLS&amp;op=Search&amp;page=1&amp;stext=397279</t>
  </si>
  <si>
    <t>Набор столовых приборов 4 предмета Magistro "Оску стандарт" бронза арт.4684560 г.Екатеринбург</t>
  </si>
  <si>
    <t>https://www.oreht.ru/modules.php?name=orehtPriceLS&amp;op=Search&amp;page=1&amp;stext=364685</t>
  </si>
  <si>
    <t>BC-1112 Френч-пресс 1000мл</t>
  </si>
  <si>
    <t>https://www.oreht.ru/modules.php?name=orehtPriceLS&amp;op=Search&amp;page=1&amp;stext=112189</t>
  </si>
  <si>
    <t>Турка "Таково" с бак. ручкой (099415) Терракот 9090</t>
  </si>
  <si>
    <t xml:space="preserve">729 </t>
  </si>
  <si>
    <t>https://www.oreht.ru/modules.php?name=orehtPriceLS&amp;op=Search&amp;page=1&amp;stext=418428</t>
  </si>
  <si>
    <t>Набор для специй agness 4 пр."Черное золото" на магнитах, в т.ч. метал.подставка 20*6*5 см 912-033</t>
  </si>
  <si>
    <t xml:space="preserve">661 </t>
  </si>
  <si>
    <t>https://www.oreht.ru/modules.php?name=orehtPriceLS&amp;op=Search&amp;page=1&amp;stext=223960</t>
  </si>
  <si>
    <t>AK-0045/24N Сковорода алюминиевая блинная антипригарное покрытие GRANIT ALPENKOK d=24см (6)</t>
  </si>
  <si>
    <t xml:space="preserve">659,9 </t>
  </si>
  <si>
    <t>https://www.oreht.ru/modules.php?name=orehtPriceLS&amp;op=Search&amp;page=1&amp;stext=242878</t>
  </si>
  <si>
    <t>26220 Блюдо д/блинов 23,8х11см "Клубника" LR (х12) "MAYER &amp; BOCH"</t>
  </si>
  <si>
    <t>https://www.oreht.ru/modules.php?name=orehtPriceLS&amp;op=Search&amp;page=1&amp;stext=418291</t>
  </si>
  <si>
    <t>Набор 6 кружек 250 мл "Либерти" 194-348</t>
  </si>
  <si>
    <t>https://www.oreht.ru/modules.php?name=orehtPriceLS&amp;op=Search&amp;page=1&amp;stext=353040</t>
  </si>
  <si>
    <t>BE-0595 Чайник WEBBER из нерж.стали 2.5 л. со свистком, капсулир. дно (12)</t>
  </si>
  <si>
    <t xml:space="preserve">661,4 </t>
  </si>
  <si>
    <t>https://www.oreht.ru/modules.php?name=orehtPriceLS&amp;op=Search&amp;page=1&amp;stext=437899</t>
  </si>
  <si>
    <t>Набор бокалов для вина СЕЛЕСТ ЗОЛОТОЙ МЕД 4шт 270мл арт.P9306</t>
  </si>
  <si>
    <t>https://www.oreht.ru/modules.php?name=orehtPriceLS&amp;op=Search&amp;page=1&amp;stext=359598</t>
  </si>
  <si>
    <t>Доска разделочная для пиццы, бук 32х1,5см. 6 кусков арт.986047</t>
  </si>
  <si>
    <t xml:space="preserve">665,5 </t>
  </si>
  <si>
    <t>https://www.oreht.ru/modules.php?name=orehtPriceLS&amp;op=Search&amp;page=1&amp;stext=430551</t>
  </si>
  <si>
    <t>Масленка-сырница 204-50013 "OLAFF"</t>
  </si>
  <si>
    <t xml:space="preserve">511,6 </t>
  </si>
  <si>
    <t>https://www.oreht.ru/modules.php?name=orehtPriceLS&amp;op=Search&amp;page=1&amp;stext=432639</t>
  </si>
  <si>
    <t>Набор стаканов из 6 шт "Мед деми" 330 мл 194-599</t>
  </si>
  <si>
    <t xml:space="preserve">667,8 </t>
  </si>
  <si>
    <t>https://www.oreht.ru/modules.php?name=orehtPriceLS&amp;op=Search&amp;page=1&amp;stext=428842</t>
  </si>
  <si>
    <t>Набор для напитков Креатив Саммер (кувшин+6 стаканов) арт.96725BD2</t>
  </si>
  <si>
    <t xml:space="preserve">660,6 </t>
  </si>
  <si>
    <t>https://www.oreht.ru/modules.php?name=orehtPriceLS&amp;op=Search&amp;page=1&amp;stext=245409</t>
  </si>
  <si>
    <t>Мангал 500х300х500 мм, сборный без шампуров, в картонной коробке /5 61232 BOYSCOUT</t>
  </si>
  <si>
    <t xml:space="preserve">670,9 </t>
  </si>
  <si>
    <t>https://www.oreht.ru/modules.php?name=orehtPriceLS&amp;op=Search&amp;page=1&amp;stext=346218</t>
  </si>
  <si>
    <t>Бокал ЭНОТЕКА 6 шт. 590 мл арт.44738B</t>
  </si>
  <si>
    <t>https://www.oreht.ru/modules.php?name=orehtPriceLS&amp;op=Search&amp;page=1&amp;stext=212108</t>
  </si>
  <si>
    <t>Блюдо "Шубница" 15*17см. 760-036</t>
  </si>
  <si>
    <t xml:space="preserve">672,8 </t>
  </si>
  <si>
    <t>https://www.oreht.ru/modules.php?name=orehtPriceLS&amp;op=Search&amp;page=1&amp;stext=104935</t>
  </si>
  <si>
    <t>Решетка-гриль "Сибирская" средняя + вилка в подарок / 8 (401-731) ПИКНИЧОК</t>
  </si>
  <si>
    <t xml:space="preserve">673,1 </t>
  </si>
  <si>
    <t>https://www.oreht.ru/modules.php?name=orehtPriceLS&amp;op=Search&amp;page=1&amp;stext=351766</t>
  </si>
  <si>
    <t>EM-131X1/8 Чайник эмалированный с фильтром из нерж.стали "Орхидея" 1,3л (8)</t>
  </si>
  <si>
    <t>https://www.oreht.ru/modules.php?name=orehtPriceLS&amp;op=Search&amp;page=1&amp;stext=163686</t>
  </si>
  <si>
    <t>Блюдо прямоугольное Smart cooking 40х27см 239B000/5046</t>
  </si>
  <si>
    <t>https://www.oreht.ru/modules.php?name=orehtPriceLS&amp;op=Search&amp;page=1&amp;stext=354311</t>
  </si>
  <si>
    <t>Чашка с блюдцем Ташкент на 6 персон 290 мл арт.96806B</t>
  </si>
  <si>
    <t>https://www.oreht.ru/modules.php?name=orehtPriceLS&amp;op=Search&amp;page=1&amp;stext=286062</t>
  </si>
  <si>
    <t>Тренога для казана 7л "Kukmara" т070 d324мм</t>
  </si>
  <si>
    <t xml:space="preserve">676,5 </t>
  </si>
  <si>
    <t>https://www.oreht.ru/modules.php?name=orehtPriceLS&amp;op=Search&amp;page=1&amp;stext=280372</t>
  </si>
  <si>
    <t>Сковорода 18см АП Гранит black арт,18802</t>
  </si>
  <si>
    <t xml:space="preserve">678 </t>
  </si>
  <si>
    <t>https://www.oreht.ru/modules.php?name=orehtPriceLS&amp;op=Search&amp;page=1&amp;stext=119339</t>
  </si>
  <si>
    <t>Мясорубка бытовая ручная "Уралочка" МА-С (алюмин., картон. упак)</t>
  </si>
  <si>
    <t>https://www.oreht.ru/modules.php?name=orehtPriceLS&amp;op=Search&amp;page=1&amp;stext=432641</t>
  </si>
  <si>
    <t>Набор стаканов из 6 шт "Бакарра ромб черное золото" 330 мл 194-630</t>
  </si>
  <si>
    <t xml:space="preserve">589 </t>
  </si>
  <si>
    <t>https://www.oreht.ru/modules.php?name=orehtPriceLS&amp;op=Search&amp;page=1&amp;stext=445080</t>
  </si>
  <si>
    <t>Банка стеклянная с гидрозатвором (82-032-ГВ163) 7 л г.Москва</t>
  </si>
  <si>
    <t xml:space="preserve">648 </t>
  </si>
  <si>
    <t>https://www.oreht.ru/modules.php?name=orehtPriceLS&amp;op=Search&amp;page=1&amp;stext=432642</t>
  </si>
  <si>
    <t>Набор стаканов из 6 шт "Бакарра ромб черное золото" 310 мл 194-631</t>
  </si>
  <si>
    <t xml:space="preserve">611,3 </t>
  </si>
  <si>
    <t>https://www.oreht.ru/modules.php?name=orehtPriceLS&amp;op=Search&amp;page=1&amp;stext=388575</t>
  </si>
  <si>
    <t>Термос 1000мл из нержавеющей стали (1 чашка;,) (2000A)</t>
  </si>
  <si>
    <t>https://www.oreht.ru/modules.php?name=orehtPriceLS&amp;op=Search&amp;page=1&amp;stext=423233</t>
  </si>
  <si>
    <t>22551 Конфетница 3-х ярусная на ножке МВ (х12) "MAYER &amp; BOCH"</t>
  </si>
  <si>
    <t>https://www.oreht.ru/modules.php?name=orehtPriceLS&amp;op=Search&amp;page=1&amp;stext=169276</t>
  </si>
  <si>
    <t>Казан походный 4,0 л с 2мя алюм. ручк. и крыш. "Туризм" д.240 К0400т "БИОЛ"</t>
  </si>
  <si>
    <t>https://www.oreht.ru/modules.php?name=orehtPriceLS&amp;op=Search&amp;page=1&amp;stext=426380</t>
  </si>
  <si>
    <t>Набор стаканов из 6 шт "Бакарра графит" 330 мл 194-620</t>
  </si>
  <si>
    <t xml:space="preserve">680 </t>
  </si>
  <si>
    <t>https://www.oreht.ru/modules.php?name=orehtPriceLS&amp;op=Search&amp;page=1&amp;stext=393343</t>
  </si>
  <si>
    <t>Термос 750мл из нержавеющей стали с резиновой вставкой (2210)</t>
  </si>
  <si>
    <t xml:space="preserve">682 </t>
  </si>
  <si>
    <t>https://www.oreht.ru/modules.php?name=orehtPriceLS&amp;op=Search&amp;page=1&amp;stext=421133</t>
  </si>
  <si>
    <t>Ковш Fortuna из нерж стали, ручка сталь/силикон, объем 1,65 л, диа 16 см, капсулир дно арт.007216</t>
  </si>
  <si>
    <t>https://www.oreht.ru/modules.php?name=orehtPriceLS&amp;op=Search&amp;page=1&amp;stext=384448</t>
  </si>
  <si>
    <t>Тарелка большая "тропики день и ночь" 32 см (6) арт.16630/2</t>
  </si>
  <si>
    <t xml:space="preserve">682,3 </t>
  </si>
  <si>
    <t>https://www.oreht.ru/modules.php?name=orehtPriceLS&amp;op=Search&amp;page=1&amp;stext=347015</t>
  </si>
  <si>
    <t>Тарелка "вирджиния хрусталь" 40см (кор.5шт) 17293/2</t>
  </si>
  <si>
    <t>https://www.oreht.ru/modules.php?name=orehtPriceLS&amp;op=Search&amp;page=1&amp;stext=415326</t>
  </si>
  <si>
    <t>Банка для сахара коллекция "Crystal" 13*13*20 см 900 мл 157-176</t>
  </si>
  <si>
    <t xml:space="preserve">565 </t>
  </si>
  <si>
    <t>https://www.oreht.ru/modules.php?name=orehtPriceLS&amp;op=Search&amp;page=1&amp;stext=381613</t>
  </si>
  <si>
    <t>Банка для сахара коллекция"Crystal" 13*13*20 см 1350 мл 157-177</t>
  </si>
  <si>
    <t xml:space="preserve">563,9 </t>
  </si>
  <si>
    <t>https://www.oreht.ru/modules.php?name=orehtPriceLS&amp;op=Search&amp;page=1&amp;stext=421130</t>
  </si>
  <si>
    <t>Кастрюля Fortuna, объем 2,5 л, из нерж стали с крышкой, матовый корпус, ручки с силиконом арт.007218</t>
  </si>
  <si>
    <t xml:space="preserve">717,6 </t>
  </si>
  <si>
    <t>https://www.oreht.ru/modules.php?name=orehtPriceLS&amp;op=Search&amp;page=1&amp;stext=384309</t>
  </si>
  <si>
    <t>Набор стаканов "Серпентина" из 6шт. серия "muza color" 270мл. / в=10 см 781-108</t>
  </si>
  <si>
    <t xml:space="preserve">686,2 </t>
  </si>
  <si>
    <t>https://www.oreht.ru/modules.php?name=orehtPriceLS&amp;op=Search&amp;page=1&amp;stext=273580</t>
  </si>
  <si>
    <t>Кастрюля конич., 4,0л, белосн., Европейская кухня арт.1с46я (г.Череповец)</t>
  </si>
  <si>
    <t xml:space="preserve">686,5 </t>
  </si>
  <si>
    <t>https://www.oreht.ru/modules.php?name=orehtPriceLS&amp;op=Search&amp;page=1&amp;stext=397250</t>
  </si>
  <si>
    <t>Чайный набор 4 предмета "Рельеф красный" 120мл арт.5204279 г.Екатеринбург</t>
  </si>
  <si>
    <t>https://www.oreht.ru/modules.php?name=orehtPriceLS&amp;op=Search&amp;page=1&amp;stext=397251</t>
  </si>
  <si>
    <t>Чайный набор 4 предмета "Рельеф синий" 120мл арт.5204278 г.Екатеринбург</t>
  </si>
  <si>
    <t>https://www.oreht.ru/modules.php?name=orehtPriceLS&amp;op=Search&amp;page=1&amp;stext=397252</t>
  </si>
  <si>
    <t>Чайный набор 4 предмета "Рельеф сиреневый" 120мл арт.5204276 г.Екатеринбург</t>
  </si>
  <si>
    <t>https://www.oreht.ru/modules.php?name=orehtPriceLS&amp;op=Search&amp;page=1&amp;stext=215987</t>
  </si>
  <si>
    <t>BE-110/2 Кастрюля из нерж стали со стеклянной крышкой (d=16; 2,2 л) (6)</t>
  </si>
  <si>
    <t xml:space="preserve">585,2 </t>
  </si>
  <si>
    <t>https://www.oreht.ru/modules.php?name=orehtPriceLS&amp;op=Search&amp;page=1&amp;stext=309701</t>
  </si>
  <si>
    <t>Кастрюля с крышкой 24 см (фарфор) "JEWEL" (ПП00030-08)</t>
  </si>
  <si>
    <t>https://www.oreht.ru/modules.php?name=orehtPriceLS&amp;op=Search&amp;page=1&amp;stext=401376</t>
  </si>
  <si>
    <t>Чайник 2л С-2710П2/6Жм "НОРВЕЖСКИЙ ЛЕС" (г.Лысьва)</t>
  </si>
  <si>
    <t>https://www.oreht.ru/modules.php?name=orehtPriceLS&amp;op=Search&amp;page=1&amp;stext=237546</t>
  </si>
  <si>
    <t>Сковорода блинная 22см АП Гранит арт12701</t>
  </si>
  <si>
    <t xml:space="preserve">699,6 </t>
  </si>
  <si>
    <t>https://www.oreht.ru/modules.php?name=orehtPriceLS&amp;op=Search&amp;page=1&amp;stext=384413</t>
  </si>
  <si>
    <t>Набор пиал "ромашки" 3 предмета 15 см (4) арт.16498s3</t>
  </si>
  <si>
    <t>https://www.oreht.ru/modules.php?name=orehtPriceLS&amp;op=Search&amp;page=1&amp;stext=116467</t>
  </si>
  <si>
    <t>Набор фужеров (бокалов) для вина ДОМИНО 6шт 250мл арт.H8169</t>
  </si>
  <si>
    <t xml:space="preserve">686,9 </t>
  </si>
  <si>
    <t>https://www.oreht.ru/modules.php?name=orehtPriceLS&amp;op=Search&amp;page=1&amp;stext=109494</t>
  </si>
  <si>
    <t>Кастрюля сф. 4,0л "Луговые цветы" слон. кость, 3RC201M</t>
  </si>
  <si>
    <t xml:space="preserve">704 </t>
  </si>
  <si>
    <t>https://www.oreht.ru/modules.php?name=orehtPriceLS&amp;op=Search&amp;page=1&amp;stext=264500</t>
  </si>
  <si>
    <t>Сковорода-Бриллиант 20см АП престиж арт, 20576</t>
  </si>
  <si>
    <t xml:space="preserve">706,3 </t>
  </si>
  <si>
    <t>https://www.oreht.ru/modules.php?name=orehtPriceLS&amp;op=Search&amp;page=1&amp;stext=425803</t>
  </si>
  <si>
    <t>Термос у/г с чехлом NB-350BZ, пробка с ситечком БИОСТАЛЬ</t>
  </si>
  <si>
    <t xml:space="preserve">707,8 </t>
  </si>
  <si>
    <t>https://www.oreht.ru/modules.php?name=orehtPriceLS&amp;op=Search&amp;page=1&amp;stext=434725</t>
  </si>
  <si>
    <t>Набор из 6 рюмок в под.уп.(х24) арт.588-407</t>
  </si>
  <si>
    <t>https://www.oreht.ru/modules.php?name=orehtPriceLS&amp;op=Search&amp;page=1&amp;stext=94476</t>
  </si>
  <si>
    <t>Решетка для барбекю "Пикник" 28 х 18см AN84-70 (МультиДом)</t>
  </si>
  <si>
    <t xml:space="preserve">711,6 </t>
  </si>
  <si>
    <t>https://www.oreht.ru/modules.php?name=orehtPriceLS&amp;op=Search&amp;page=1&amp;stext=372056</t>
  </si>
  <si>
    <t>Ваза 15*15*39 см 146-1035</t>
  </si>
  <si>
    <t>https://www.oreht.ru/modules.php?name=orehtPriceLS&amp;op=Search&amp;page=1&amp;stext=442778</t>
  </si>
  <si>
    <t>ВС-5013 Набор для специй на подставке</t>
  </si>
  <si>
    <t>https://www.oreht.ru/modules.php?name=orehtPriceLS&amp;op=Search&amp;page=1&amp;stext=360877</t>
  </si>
  <si>
    <t>BC-1058 Чайник заварочный с ситечком 1,0л</t>
  </si>
  <si>
    <t>https://www.oreht.ru/modules.php?name=orehtPriceLS&amp;op=Search&amp;page=1&amp;stext=402794</t>
  </si>
  <si>
    <t>Блюдо "барокко блэк" 30см (4) 15772/1</t>
  </si>
  <si>
    <t xml:space="preserve">718 </t>
  </si>
  <si>
    <t>https://www.oreht.ru/modules.php?name=orehtPriceLS&amp;op=Search&amp;page=1&amp;stext=316987</t>
  </si>
  <si>
    <t>Форма EASY круглая разъемная 26 х 7см арт. 93-CS-EA-45-06 (REGENT)</t>
  </si>
  <si>
    <t xml:space="preserve">645,3 </t>
  </si>
  <si>
    <t>https://www.oreht.ru/modules.php?name=orehtPriceLS&amp;op=Search&amp;page=1&amp;stext=426229</t>
  </si>
  <si>
    <t>25683 Сотейник 26см мрамор/крошка АП MB (х6) "MAYER &amp; BOCH"</t>
  </si>
  <si>
    <t>https://www.oreht.ru/modules.php?name=orehtPriceLS&amp;op=Search&amp;page=1&amp;stext=94474</t>
  </si>
  <si>
    <t>Решетка для барбекю "Отдых" 30 х 40,5см AN84-20 (МультиДом)</t>
  </si>
  <si>
    <t xml:space="preserve">724,2 </t>
  </si>
  <si>
    <t>https://www.oreht.ru/modules.php?name=orehtPriceLS&amp;op=Search&amp;page=1&amp;stext=276903</t>
  </si>
  <si>
    <t>Сковорода 20см АП Гранит black арт,20802</t>
  </si>
  <si>
    <t xml:space="preserve">724,9 </t>
  </si>
  <si>
    <t>https://www.oreht.ru/modules.php?name=orehtPriceLS&amp;op=Search&amp;page=1&amp;stext=311261</t>
  </si>
  <si>
    <t>https://www.oreht.ru/modules.php?name=orehtPriceLS&amp;op=Search&amp;page=1&amp;stext=306766</t>
  </si>
  <si>
    <t>Турка эмалированная 0,4л (Олива, Классическая посуда, 193178,0,4,) 2821</t>
  </si>
  <si>
    <t xml:space="preserve">774 </t>
  </si>
  <si>
    <t>https://www.oreht.ru/modules.php?name=orehtPriceLS&amp;op=Search&amp;page=1&amp;stext=373768</t>
  </si>
  <si>
    <t>Ковш agness эмалированный с пластик.ручкой, серия bellisimo 1,5л диа.16см 951-025</t>
  </si>
  <si>
    <t>https://www.oreht.ru/modules.php?name=orehtPriceLS&amp;op=Search&amp;page=1&amp;stext=441675</t>
  </si>
  <si>
    <t>Бутыль 82-023-СКО82 "Ламели" 10л прозрачная</t>
  </si>
  <si>
    <t>https://www.oreht.ru/modules.php?name=orehtPriceLS&amp;op=Search&amp;page=1&amp;stext=118708</t>
  </si>
  <si>
    <t>Набор фужеров (бокалов) для вина ДОМИНО 6шт 350мл арт.J0015</t>
  </si>
  <si>
    <t xml:space="preserve">781,7 </t>
  </si>
  <si>
    <t>https://www.oreht.ru/modules.php?name=orehtPriceLS&amp;op=Search&amp;page=1&amp;stext=438007</t>
  </si>
  <si>
    <t>Доска разделочная с метал. стяжками 500 ДР17А</t>
  </si>
  <si>
    <t xml:space="preserve">731,5 </t>
  </si>
  <si>
    <t>https://www.oreht.ru/modules.php?name=orehtPriceLS&amp;op=Search&amp;page=1&amp;stext=343347</t>
  </si>
  <si>
    <t>Black Royal Collection Набор кухонных принадлежностей 4пр. ВН-6217</t>
  </si>
  <si>
    <t>https://www.oreht.ru/modules.php?name=orehtPriceLS&amp;op=Search&amp;page=1&amp;stext=347044</t>
  </si>
  <si>
    <t>Блюдо большое "хюррем бирюза" 30см (кор.4шт)17164/1</t>
  </si>
  <si>
    <t xml:space="preserve">733,2 </t>
  </si>
  <si>
    <t>https://www.oreht.ru/modules.php?name=orehtPriceLS&amp;op=Search&amp;page=1&amp;stext=405467</t>
  </si>
  <si>
    <t>Форма для выпечки "Мишки" арт.М001</t>
  </si>
  <si>
    <t>https://www.oreht.ru/modules.php?name=orehtPriceLS&amp;op=Search&amp;page=1&amp;stext=361985</t>
  </si>
  <si>
    <t>Набор питьевой 7 предметов БРАШМАНИЯ ОРАНЖ арт.P7451</t>
  </si>
  <si>
    <t xml:space="preserve">719,4 </t>
  </si>
  <si>
    <t>https://www.oreht.ru/modules.php?name=orehtPriceLS&amp;op=Search&amp;page=1&amp;stext=195333</t>
  </si>
  <si>
    <t>Набор Новарусса для окрошки-3 (к) ОБЧ14458103</t>
  </si>
  <si>
    <t>https://www.oreht.ru/modules.php?name=orehtPriceLS&amp;op=Search&amp;page=1&amp;stext=407947</t>
  </si>
  <si>
    <t>Турка Таково с бак. ручкой Брокколи 342113,0,4,9 2701</t>
  </si>
  <si>
    <t xml:space="preserve">737 </t>
  </si>
  <si>
    <t>https://www.oreht.ru/modules.php?name=orehtPriceLS&amp;op=Search&amp;page=1&amp;stext=347047</t>
  </si>
  <si>
    <t>Тарелка "хюррем бирюза" 33см (кор.6шт) 17171/1</t>
  </si>
  <si>
    <t>https://www.oreht.ru/modules.php?name=orehtPriceLS&amp;op=Search&amp;page=1&amp;stext=361073</t>
  </si>
  <si>
    <t>Чайник 2л из нержавеющей стали со свистком и бакелитовой ручкой (1071)</t>
  </si>
  <si>
    <t>https://www.oreht.ru/modules.php?name=orehtPriceLS&amp;op=Search&amp;page=1&amp;stext=415950</t>
  </si>
  <si>
    <t>Набор кухонных принадлежностей с подставкой 7 предметов нейлоновые с ручкой под дерево (5236)</t>
  </si>
  <si>
    <t xml:space="preserve">698,5 </t>
  </si>
  <si>
    <t>https://www.oreht.ru/modules.php?name=orehtPriceLS&amp;op=Search&amp;page=1&amp;stext=361982</t>
  </si>
  <si>
    <t>Набор питьевой 7 предметов БРАШМАНИЯ РЕД арт.P7452</t>
  </si>
  <si>
    <t xml:space="preserve">725,8 </t>
  </si>
  <si>
    <t>https://www.oreht.ru/modules.php?name=orehtPriceLS&amp;op=Search&amp;page=1&amp;stext=255235</t>
  </si>
  <si>
    <t>Кастрюля сф. 4л, белосн. "Ромашки лето", белосн., 6RC201M</t>
  </si>
  <si>
    <t xml:space="preserve">739,7 </t>
  </si>
  <si>
    <t>https://www.oreht.ru/modules.php?name=orehtPriceLS&amp;op=Search&amp;page=1&amp;stext=316983</t>
  </si>
  <si>
    <t>Форма EASY для выпечки квадратная 24,5*24,5*4,5 арт. 93-CS-EA-42-06 (REGENT)</t>
  </si>
  <si>
    <t>https://www.oreht.ru/modules.php?name=orehtPriceLS&amp;op=Search&amp;page=1&amp;stext=343351</t>
  </si>
  <si>
    <t>Emerald Collection Набор кухонных принадлежностей 4пр. ВН-6236</t>
  </si>
  <si>
    <t>https://www.oreht.ru/modules.php?name=orehtPriceLS&amp;op=Search&amp;page=1&amp;stext=401775</t>
  </si>
  <si>
    <t>Сковорода 180/40мм с ручкой, АП (темный мрамор) "Kukmara" смт18401а</t>
  </si>
  <si>
    <t xml:space="preserve">706,2 </t>
  </si>
  <si>
    <t>https://www.oreht.ru/modules.php?name=orehtPriceLS&amp;op=Search&amp;page=1&amp;stext=405437</t>
  </si>
  <si>
    <t>Блюдо "Медвежонок" 27х21х2см арт.9/984</t>
  </si>
  <si>
    <t>https://www.oreht.ru/modules.php?name=orehtPriceLS&amp;op=Search&amp;page=1&amp;stext=390522</t>
  </si>
  <si>
    <t>Емкость для спагетти "Корейская роза" 12*12*33 см. 358-1451</t>
  </si>
  <si>
    <t>https://www.oreht.ru/modules.php?name=orehtPriceLS&amp;op=Search&amp;page=1&amp;stext=347694</t>
  </si>
  <si>
    <t>Набор емкостей для специй на прямоугольной подставке (7036)</t>
  </si>
  <si>
    <t xml:space="preserve">757,4 </t>
  </si>
  <si>
    <t>https://www.oreht.ru/modules.php?name=orehtPriceLS&amp;op=Search&amp;page=1&amp;stext=390319</t>
  </si>
  <si>
    <t>Термос пищевой 750мл SSB-0750N (20)</t>
  </si>
  <si>
    <t>https://www.oreht.ru/modules.php?name=orehtPriceLS&amp;op=Search&amp;page=1&amp;stext=280381</t>
  </si>
  <si>
    <t>Сковорода 18см АП Гранит black со съемной ручкой арт,018802</t>
  </si>
  <si>
    <t xml:space="preserve">759,1 </t>
  </si>
  <si>
    <t>https://www.oreht.ru/modules.php?name=orehtPriceLS&amp;op=Search&amp;page=1&amp;stext=202218</t>
  </si>
  <si>
    <t>ВЕ-0547 Чайник мет. WEBBER нерж. сатин 2,7 л(12)</t>
  </si>
  <si>
    <t xml:space="preserve">759,7 </t>
  </si>
  <si>
    <t>https://www.oreht.ru/modules.php?name=orehtPriceLS&amp;op=Search&amp;page=1&amp;stext=270397</t>
  </si>
  <si>
    <t>Black-burgundy Metallic Line Сковорода 20см арт.1620N-ВН</t>
  </si>
  <si>
    <t>https://www.oreht.ru/modules.php?name=orehtPriceLS&amp;op=Search&amp;page=1&amp;stext=418258</t>
  </si>
  <si>
    <t>Набор больших пиал 11см, 6шт в подар упак арт.5349594 г.Екатеринбург</t>
  </si>
  <si>
    <t>https://www.oreht.ru/modules.php?name=orehtPriceLS&amp;op=Search&amp;page=1&amp;stext=223958</t>
  </si>
  <si>
    <t>AK-0043A/26N Сковорода алюминиевая антипригарное покрытие Индукция GRANIT ALPENKOK d=26см (6)</t>
  </si>
  <si>
    <t xml:space="preserve">690,4 </t>
  </si>
  <si>
    <t>https://www.oreht.ru/modules.php?name=orehtPriceLS&amp;op=Search&amp;page=1&amp;stext=362146</t>
  </si>
  <si>
    <t>Решетка д/барбекю "Лайт" 31*25*5 см AN84-63</t>
  </si>
  <si>
    <t>https://www.oreht.ru/modules.php?name=orehtPriceLS&amp;op=Search&amp;page=1&amp;stext=344721</t>
  </si>
  <si>
    <t>Термос пищевой 500мл. из нержавеющей стали (2092)</t>
  </si>
  <si>
    <t>https://www.oreht.ru/modules.php?name=orehtPriceLS&amp;op=Search&amp;page=1&amp;stext=272036</t>
  </si>
  <si>
    <t>Термос WEВBER SST-1500P (12)</t>
  </si>
  <si>
    <t>https://www.oreht.ru/modules.php?name=orehtPriceLS&amp;op=Search&amp;page=1&amp;stext=370290</t>
  </si>
  <si>
    <t>Блюдо большое "аметист" 30см (кор.4шт) 18410/3</t>
  </si>
  <si>
    <t xml:space="preserve">747,3 </t>
  </si>
  <si>
    <t>https://www.oreht.ru/modules.php?name=orehtPriceLS&amp;op=Search&amp;page=1&amp;stext=407757</t>
  </si>
  <si>
    <t>29349 Чайник стекло 600мл+ подогрев,сито МВ (х16) "MAYER &amp; BOCH"</t>
  </si>
  <si>
    <t>https://www.oreht.ru/modules.php?name=orehtPriceLS&amp;op=Search&amp;page=1&amp;stext=403179</t>
  </si>
  <si>
    <t>Променад Кастрюля 3.1 л. со стекл./кр (INTEROS) 3918</t>
  </si>
  <si>
    <t xml:space="preserve">776,1 </t>
  </si>
  <si>
    <t>https://www.oreht.ru/modules.php?name=orehtPriceLS&amp;op=Search&amp;page=1&amp;stext=430549</t>
  </si>
  <si>
    <t>Масленка-сырница 204-50010 "OLAFF"</t>
  </si>
  <si>
    <t>https://www.oreht.ru/modules.php?name=orehtPriceLS&amp;op=Search&amp;page=1&amp;stext=204782</t>
  </si>
  <si>
    <t>Решетка-гриль универсальная, 62(+5)x30x25x5,5 cм / 8 61302 BOYSCOUT</t>
  </si>
  <si>
    <t xml:space="preserve">782,1 </t>
  </si>
  <si>
    <t>https://www.oreht.ru/modules.php?name=orehtPriceLS&amp;op=Search&amp;page=1&amp;stext=418243</t>
  </si>
  <si>
    <t>Ляган "Гранаты"36 см арт.1924217 г.Екатеринбург</t>
  </si>
  <si>
    <t xml:space="preserve">785,3 </t>
  </si>
  <si>
    <t>https://www.oreht.ru/modules.php?name=orehtPriceLS&amp;op=Search&amp;page=1&amp;stext=88994</t>
  </si>
  <si>
    <t>Мангал (440 х 290 х 400/1,4мм) 1с728 (г.Аша)</t>
  </si>
  <si>
    <t xml:space="preserve">786,1 </t>
  </si>
  <si>
    <t>https://www.oreht.ru/modules.php?name=orehtPriceLS&amp;op=Search&amp;page=1&amp;stext=243999</t>
  </si>
  <si>
    <t>Bronze Сковорода LARA (бронз) кованый чугун 26х5 см, ручка сталь, антипригар покр, индукц. LR01-81</t>
  </si>
  <si>
    <t>https://www.oreht.ru/modules.php?name=orehtPriceLS&amp;op=Search&amp;page=1&amp;stext=408082</t>
  </si>
  <si>
    <t>МР024U2/6 Набор салатников 6 ПРЕДМЕТОВ, 11 см. "Завтрак у королевы" (12)</t>
  </si>
  <si>
    <t>https://www.oreht.ru/modules.php?name=orehtPriceLS&amp;op=Search&amp;page=1&amp;stext=259802</t>
  </si>
  <si>
    <t>Сотейник LARA (нерж) серия SONATA 16x10.5см, 2.1л, 7-cтупенчатое дно, комбо-полировка крыш. (LR03-11</t>
  </si>
  <si>
    <t xml:space="preserve">854,8 </t>
  </si>
  <si>
    <t>https://www.oreht.ru/modules.php?name=orehtPriceLS&amp;op=Search&amp;page=1&amp;stext=382522</t>
  </si>
  <si>
    <t>29655 Набор ножей 4пр + подставка MВ (х6) "MAYER &amp; BOCH"</t>
  </si>
  <si>
    <t>https://www.oreht.ru/modules.php?name=orehtPriceLS&amp;op=Search&amp;page=1&amp;stext=399040</t>
  </si>
  <si>
    <t>Машинка механическая для очистки и нарезки овощей и фруктов VL53-81</t>
  </si>
  <si>
    <t xml:space="preserve">798,1 </t>
  </si>
  <si>
    <t>https://www.oreht.ru/modules.php?name=orehtPriceLS&amp;op=Search&amp;page=1&amp;stext=367653</t>
  </si>
  <si>
    <t>Заварник со съемным ситечком 1800мл (стекло, пластик) (1613)</t>
  </si>
  <si>
    <t>https://www.oreht.ru/modules.php?name=orehtPriceLS&amp;op=Search&amp;page=1&amp;stext=357280</t>
  </si>
  <si>
    <t>Терка-шинковка ЛЕПСЕ ТШ-1 г.Киров</t>
  </si>
  <si>
    <t xml:space="preserve">811 </t>
  </si>
  <si>
    <t>https://www.oreht.ru/modules.php?name=orehtPriceLS&amp;op=Search&amp;page=1&amp;stext=401774</t>
  </si>
  <si>
    <t>Сковорода 180/40мм с ручкой, АП (кофейный мрамор) "Kukmara" смк18401а</t>
  </si>
  <si>
    <t xml:space="preserve">708,2 </t>
  </si>
  <si>
    <t>https://www.oreht.ru/modules.php?name=orehtPriceLS&amp;op=Search&amp;page=1&amp;stext=376798</t>
  </si>
  <si>
    <t>Ляган "Гранаты" 31,5 см арт.1924241 Узбекистан</t>
  </si>
  <si>
    <t xml:space="preserve">802,6 </t>
  </si>
  <si>
    <t>https://www.oreht.ru/modules.php?name=orehtPriceLS&amp;op=Search&amp;page=1&amp;stext=276904</t>
  </si>
  <si>
    <t>Сковорода 20см АП Гранит black со съемной ручкой арт,020802</t>
  </si>
  <si>
    <t xml:space="preserve">806,6 </t>
  </si>
  <si>
    <t>https://www.oreht.ru/modules.php?name=orehtPriceLS&amp;op=Search&amp;page=1&amp;stext=311262</t>
  </si>
  <si>
    <t>Сковорода блинная 24см АП Гранит brown арт.14806</t>
  </si>
  <si>
    <t xml:space="preserve">809,6 </t>
  </si>
  <si>
    <t>https://www.oreht.ru/modules.php?name=orehtPriceLS&amp;op=Search&amp;page=1&amp;stext=88942</t>
  </si>
  <si>
    <t>Набор столовый 18-ти предметный тонкий арт.1с318 (г.Аша)</t>
  </si>
  <si>
    <t xml:space="preserve">810 </t>
  </si>
  <si>
    <t>https://www.oreht.ru/modules.php?name=orehtPriceLS&amp;op=Search&amp;page=1&amp;stext=275500</t>
  </si>
  <si>
    <t>7781 Чайник MB 1,5л.со свистком (х24) "MAYER &amp; BOCH"</t>
  </si>
  <si>
    <t xml:space="preserve">657,1 </t>
  </si>
  <si>
    <t>https://www.oreht.ru/modules.php?name=orehtPriceLS&amp;op=Search&amp;page=1&amp;stext=204762</t>
  </si>
  <si>
    <t>Мангал 500х300х850 мм, ВЫСОКИЙ, сборный, в картонной коробке /5 61538 BOYSCOUT</t>
  </si>
  <si>
    <t xml:space="preserve">815,6 </t>
  </si>
  <si>
    <t>https://www.oreht.ru/modules.php?name=orehtPriceLS&amp;op=Search&amp;page=1&amp;stext=190921</t>
  </si>
  <si>
    <t>Сковорода чугунная д.240 блинная со съемной ручк. без крышки 04241 "БИОЛ"</t>
  </si>
  <si>
    <t>https://www.oreht.ru/modules.php?name=orehtPriceLS&amp;op=Search&amp;page=1&amp;stext=418342</t>
  </si>
  <si>
    <t>Блюдо для запекания bronco "Midnight gold" 25см 42-378</t>
  </si>
  <si>
    <t xml:space="preserve">817 </t>
  </si>
  <si>
    <t>https://www.oreht.ru/modules.php?name=orehtPriceLS&amp;op=Search&amp;page=1&amp;stext=419749</t>
  </si>
  <si>
    <t>Сковорода 30см. с антипригарным покрытием Grey marble из алюминия (4115)</t>
  </si>
  <si>
    <t xml:space="preserve">822 </t>
  </si>
  <si>
    <t>https://www.oreht.ru/modules.php?name=orehtPriceLS&amp;op=Search&amp;page=1&amp;stext=302328</t>
  </si>
  <si>
    <t>Пресс для гриля чугунный с бакелитовой ручкой, квадр формы, PRESSA, р-р 23*23 см, тм Mallony 985062</t>
  </si>
  <si>
    <t xml:space="preserve">809,8 </t>
  </si>
  <si>
    <t>https://www.oreht.ru/modules.php?name=orehtPriceLS&amp;op=Search&amp;page=1&amp;stext=338163</t>
  </si>
  <si>
    <t>Набор кухонных принадлежностей 4пр. I-Rose Edition арт.6239-ВН</t>
  </si>
  <si>
    <t xml:space="preserve">823,5 </t>
  </si>
  <si>
    <t>https://www.oreht.ru/modules.php?name=orehtPriceLS&amp;op=Search&amp;page=1&amp;stext=343769</t>
  </si>
  <si>
    <t>Набор фужеров (бокалов) для вина СЕЛЕСТ 580мл 6шт арт.L5833</t>
  </si>
  <si>
    <t xml:space="preserve">796,7 </t>
  </si>
  <si>
    <t>https://www.oreht.ru/modules.php?name=orehtPriceLS&amp;op=Search&amp;page=1&amp;stext=223965</t>
  </si>
  <si>
    <t>AK-1004/26N Сковорода алюминиевая сотейник антипригарное покрытие GRANIT ALPENKOK d=26см (6)</t>
  </si>
  <si>
    <t xml:space="preserve">829,3 </t>
  </si>
  <si>
    <t>https://www.oreht.ru/modules.php?name=orehtPriceLS&amp;op=Search&amp;page=1&amp;stext=399071</t>
  </si>
  <si>
    <t>EM-251X1/55 Чайник эмалированный с керамической ручкой "Восток" 2,5л (8)</t>
  </si>
  <si>
    <t xml:space="preserve">830,7 </t>
  </si>
  <si>
    <t>https://www.oreht.ru/modules.php?name=orehtPriceLS&amp;op=Search&amp;page=1&amp;stext=351768</t>
  </si>
  <si>
    <t>EM-251X1/57 Чайник эмалированный с керамической ручкой "Ирис" 2,5л, (8)</t>
  </si>
  <si>
    <t>https://www.oreht.ru/modules.php?name=orehtPriceLS&amp;op=Search&amp;page=1&amp;stext=413056</t>
  </si>
  <si>
    <t>EM-251X1/69 Чайник эмалированный с керамической ручкой " Бабочки" 2,5л (8)</t>
  </si>
  <si>
    <t>https://www.oreht.ru/modules.php?name=orehtPriceLS&amp;op=Search&amp;page=1&amp;stext=344717</t>
  </si>
  <si>
    <t>Термос пищевой 1000мл из нержавеющей стали (2062)</t>
  </si>
  <si>
    <t>https://www.oreht.ru/modules.php?name=orehtPriceLS&amp;op=Search&amp;page=1&amp;stext=418696</t>
  </si>
  <si>
    <t>Термос у/г NB-1200 БИОСТАЛЬ</t>
  </si>
  <si>
    <t xml:space="preserve">876,5 </t>
  </si>
  <si>
    <t>https://www.oreht.ru/modules.php?name=orehtPriceLS&amp;op=Search&amp;page=1&amp;stext=422006</t>
  </si>
  <si>
    <t>Бутыль (банка) с крышкой гидрозатворной (9л) 82-032-ГВ163</t>
  </si>
  <si>
    <t>https://www.oreht.ru/modules.php?name=orehtPriceLS&amp;op=Search&amp;page=1&amp;stext=327621</t>
  </si>
  <si>
    <t>EM-251X1/28 Чайник эмалированный с керамической ручкой "Французский шарм" 2,5л (8)</t>
  </si>
  <si>
    <t xml:space="preserve">831,1 </t>
  </si>
  <si>
    <t>https://www.oreht.ru/modules.php?name=orehtPriceLS&amp;op=Search&amp;page=1&amp;stext=341393</t>
  </si>
  <si>
    <t>https://www.oreht.ru/modules.php?name=orehtPriceLS&amp;op=Search&amp;page=1&amp;stext=94485</t>
  </si>
  <si>
    <t>Решетка для гриля "Пикник" 31 х 25см (нерж) AN84-50 (МультиДом)</t>
  </si>
  <si>
    <t>https://www.oreht.ru/modules.php?name=orehtPriceLS&amp;op=Search&amp;page=1&amp;stext=355682</t>
  </si>
  <si>
    <t>Декантер IMPERATOR 1л арт.CN02009</t>
  </si>
  <si>
    <t>https://www.oreht.ru/modules.php?name=orehtPriceLS&amp;op=Search&amp;page=1&amp;stext=204800</t>
  </si>
  <si>
    <t>Набор плоских шампуров 55 см с деревянными ручками с кольцами, 6 штук в упаковке 61264 BOYSCOUT</t>
  </si>
  <si>
    <t xml:space="preserve">842,5 </t>
  </si>
  <si>
    <t>https://www.oreht.ru/modules.php?name=orehtPriceLS&amp;op=Search&amp;page=1&amp;stext=371286</t>
  </si>
  <si>
    <t>Соковыжималка механическая "Fresh", цвет зеленый арт.4579192 г.Екатеринбург</t>
  </si>
  <si>
    <t xml:space="preserve">851,6 </t>
  </si>
  <si>
    <t>https://www.oreht.ru/modules.php?name=orehtPriceLS&amp;op=Search&amp;page=1&amp;stext=351769</t>
  </si>
  <si>
    <t>EM-251X1/67 Чайник эмалированный с керамической ручкой "Love" 2,5л (8)</t>
  </si>
  <si>
    <t xml:space="preserve">831,9 </t>
  </si>
  <si>
    <t>https://www.oreht.ru/modules.php?name=orehtPriceLS&amp;op=Search&amp;page=1&amp;stext=385028</t>
  </si>
  <si>
    <t>BE-0520 Чайник из нерж.стали 3л, меняет цвет при закипании (12)</t>
  </si>
  <si>
    <t xml:space="preserve">844 </t>
  </si>
  <si>
    <t>https://www.oreht.ru/modules.php?name=orehtPriceLS&amp;op=Search&amp;page=1&amp;stext=314941</t>
  </si>
  <si>
    <t>термос LARA (черный) - 1200мл, молотковая эмаль, складные ручки (LR04-16)</t>
  </si>
  <si>
    <t xml:space="preserve">848,4 </t>
  </si>
  <si>
    <t>https://www.oreht.ru/modules.php?name=orehtPriceLS&amp;op=Search&amp;page=1&amp;stext=198935</t>
  </si>
  <si>
    <t>Полка для миксера (270х140х280 мм) хром YJ-G211</t>
  </si>
  <si>
    <t xml:space="preserve">848,6 </t>
  </si>
  <si>
    <t>https://www.oreht.ru/modules.php?name=orehtPriceLS&amp;op=Search&amp;page=1&amp;stext=223959</t>
  </si>
  <si>
    <t>AK-0044A/28N Сковорода алюминиевая антипригарное покрытие Индукция GRANIT ALPENKOK d=28см (6)</t>
  </si>
  <si>
    <t>https://www.oreht.ru/modules.php?name=orehtPriceLS&amp;op=Search&amp;page=1&amp;stext=94478</t>
  </si>
  <si>
    <t>Решетка для барбекю "Пикник" 37 х 27см AN84-68 (МультиДом)</t>
  </si>
  <si>
    <t>https://www.oreht.ru/modules.php?name=orehtPriceLS&amp;op=Search&amp;page=1&amp;stext=408046</t>
  </si>
  <si>
    <t>BE-0569/1 Чайник нерж со свистком 3л, сатин (12)</t>
  </si>
  <si>
    <t>https://www.oreht.ru/modules.php?name=orehtPriceLS&amp;op=Search&amp;page=1&amp;stext=422003</t>
  </si>
  <si>
    <t>Бутыль 82-032-ГВ163 18л с крышкой гидрозатворной (банка)</t>
  </si>
  <si>
    <t>https://www.oreht.ru/modules.php?name=orehtPriceLS&amp;op=Search&amp;page=1&amp;stext=342488</t>
  </si>
  <si>
    <t>Сковорода д.220 с пласт.ручк. без крышки 2213Н "БИОЛ"</t>
  </si>
  <si>
    <t>https://www.oreht.ru/modules.php?name=orehtPriceLS&amp;op=Search&amp;page=1&amp;stext=258828</t>
  </si>
  <si>
    <t>Полка на рейлинг со стаканами для столовых приборов с крючками, хром арт.MX-400</t>
  </si>
  <si>
    <t xml:space="preserve">744,7 </t>
  </si>
  <si>
    <t>https://www.oreht.ru/modules.php?name=orehtPriceLS&amp;op=Search&amp;page=1&amp;stext=204761</t>
  </si>
  <si>
    <t>Мангал 500х300х500 мм, сборный, + 6 шампуров в картонной коробке /5 61237 BOYSCOUT</t>
  </si>
  <si>
    <t xml:space="preserve">865,7 </t>
  </si>
  <si>
    <t>https://www.oreht.ru/modules.php?name=orehtPriceLS&amp;op=Search&amp;page=1&amp;stext=311266</t>
  </si>
  <si>
    <t>Сковорода 24см АП Гранит brown арт.24806</t>
  </si>
  <si>
    <t xml:space="preserve">872,8 </t>
  </si>
  <si>
    <t>https://www.oreht.ru/modules.php?name=orehtPriceLS&amp;op=Search&amp;page=1&amp;stext=215990</t>
  </si>
  <si>
    <t>BE-113/2 Кастрюля из нерж стали со стеклянной крышкой (d=22; 5,2 л) (6)</t>
  </si>
  <si>
    <t xml:space="preserve">906,3 </t>
  </si>
  <si>
    <t>https://www.oreht.ru/modules.php?name=orehtPriceLS&amp;op=Search&amp;page=1&amp;stext=237562</t>
  </si>
  <si>
    <t>Сковорода 24см АП Гранит black арт.24802</t>
  </si>
  <si>
    <t>https://www.oreht.ru/modules.php?name=orehtPriceLS&amp;op=Search&amp;page=1&amp;stext=237549</t>
  </si>
  <si>
    <t>Сковорода 24см АП Гранит арт,24701</t>
  </si>
  <si>
    <t>https://www.oreht.ru/modules.php?name=orehtPriceLS&amp;op=Search&amp;page=1&amp;stext=423644</t>
  </si>
  <si>
    <t>Шампур нерж., 6шт с кольцом 1,5х12х500(600) в рулоне, нато, 2К-337Н арт.2К-337Н</t>
  </si>
  <si>
    <t>https://www.oreht.ru/modules.php?name=orehtPriceLS&amp;op=Search&amp;page=1&amp;stext=342489</t>
  </si>
  <si>
    <t>Сковорода д.240 с нерж.ручк. без крышки 2413Н "БИОЛ"</t>
  </si>
  <si>
    <t>https://www.oreht.ru/modules.php?name=orehtPriceLS&amp;op=Search&amp;page=1&amp;stext=397285</t>
  </si>
  <si>
    <t>Набор столовых приборов 4 предмета Magistro "Эсквайр" черный арт.3599644 г.Екатеринбург</t>
  </si>
  <si>
    <t>https://www.oreht.ru/modules.php?name=orehtPriceLS&amp;op=Search&amp;page=1&amp;stext=401149</t>
  </si>
  <si>
    <t>Сковорода блинная 220мм с ручкой, АП (темный мрамор) "Kukmara" сбмт222а</t>
  </si>
  <si>
    <t>https://www.oreht.ru/modules.php?name=orehtPriceLS&amp;op=Search&amp;page=1&amp;stext=204783</t>
  </si>
  <si>
    <t>Решетка-гриль универсальная с АНТИПРИГАРНЫМ покрытием 62(+5)x30x25x5,5cм / 8 61303 BOYSCOUT</t>
  </si>
  <si>
    <t xml:space="preserve">883,3 </t>
  </si>
  <si>
    <t>https://www.oreht.ru/modules.php?name=orehtPriceLS&amp;op=Search&amp;page=1&amp;stext=371303</t>
  </si>
  <si>
    <t>Фляжка 540 мл "Герб СССР" в виде канистры, хромированная, 11х4.5х13.5 см арт.3537797 г.Екатеринбург</t>
  </si>
  <si>
    <t>https://www.oreht.ru/modules.php?name=orehtPriceLS&amp;op=Search&amp;page=1&amp;stext=353969</t>
  </si>
  <si>
    <t>Сковорода 18см АП "Premium" (mokko) со съемной ручкой арт.018902</t>
  </si>
  <si>
    <t xml:space="preserve">873,8 </t>
  </si>
  <si>
    <t>https://www.oreht.ru/modules.php?name=orehtPriceLS&amp;op=Search&amp;page=1&amp;stext=421131</t>
  </si>
  <si>
    <t>Кастрюля Fortuna, объем 3,3 л, из нерж стали с крышкой, матовый корпус, ручки с силиконом арт.007219</t>
  </si>
  <si>
    <t>https://www.oreht.ru/modules.php?name=orehtPriceLS&amp;op=Search&amp;page=1&amp;stext=407547</t>
  </si>
  <si>
    <t>Мангал складной "Фазенда МПС-3"</t>
  </si>
  <si>
    <t xml:space="preserve">886 </t>
  </si>
  <si>
    <t>https://www.oreht.ru/modules.php?name=orehtPriceLS&amp;op=Search&amp;page=1&amp;stext=184041</t>
  </si>
  <si>
    <t>АП Сковорода 220/50мм со съемной руч. (светлый мрамор) г.КУКМОР арт.смс222а "Kukmara"</t>
  </si>
  <si>
    <t xml:space="preserve">837,2 </t>
  </si>
  <si>
    <t>https://www.oreht.ru/modules.php?name=orehtPriceLS&amp;op=Search&amp;page=1&amp;stext=405677</t>
  </si>
  <si>
    <t>Кастрюля нерж. сталь 16х09 см, 1.6л. Марта, стекл. крышка , "КАТЮША" код.100-16-0</t>
  </si>
  <si>
    <t xml:space="preserve">850,8 </t>
  </si>
  <si>
    <t>https://www.oreht.ru/modules.php?name=orehtPriceLS&amp;op=Search&amp;page=1&amp;stext=400234</t>
  </si>
  <si>
    <t>BE-7215 Сушилка для посуды двухуровневая "WEBBER" , 43х24х38,5 см (6)</t>
  </si>
  <si>
    <t xml:space="preserve">896,5 </t>
  </si>
  <si>
    <t>https://www.oreht.ru/modules.php?name=orehtPriceLS&amp;op=Search&amp;page=1&amp;stext=168671</t>
  </si>
  <si>
    <t>Крышка 24 см Mocco RDA-533 (TR) (Rondell)</t>
  </si>
  <si>
    <t xml:space="preserve">900 </t>
  </si>
  <si>
    <t>https://www.oreht.ru/modules.php?name=orehtPriceLS&amp;op=Search&amp;page=1&amp;stext=310787</t>
  </si>
  <si>
    <t>Сушилка для посуды двухуровневая W3856E, размер: 39.50*24*28см арт.310859</t>
  </si>
  <si>
    <t>https://www.oreht.ru/modules.php?name=orehtPriceLS&amp;op=Search&amp;page=1&amp;stext=374400</t>
  </si>
  <si>
    <t>Бутыль 82-030-ГВ62 "Рифленая" 15л прозрачная с крышкой</t>
  </si>
  <si>
    <t>https://www.oreht.ru/modules.php?name=orehtPriceLS&amp;op=Search&amp;page=1&amp;stext=370296</t>
  </si>
  <si>
    <t>Тарелка на ножке "аметист" 33см (высота ножки 6см) (кор.4шт) 17544/а/3</t>
  </si>
  <si>
    <t xml:space="preserve">905,3 </t>
  </si>
  <si>
    <t>https://www.oreht.ru/modules.php?name=orehtPriceLS&amp;op=Search&amp;page=1&amp;stext=158939</t>
  </si>
  <si>
    <t>Набор чайный 2/4 240мл ф.квадрат п/у CS507009-A снежная королева/з</t>
  </si>
  <si>
    <t xml:space="preserve">814 </t>
  </si>
  <si>
    <t>https://www.oreht.ru/modules.php?name=orehtPriceLS&amp;op=Search&amp;page=1&amp;stext=402607</t>
  </si>
  <si>
    <t>Сковорода 240мм с ручкой, АП линия "Trendy style" ( malachite) "Kukmara" 240tsml</t>
  </si>
  <si>
    <t xml:space="preserve">868,9 </t>
  </si>
  <si>
    <t>https://www.oreht.ru/modules.php?name=orehtPriceLS&amp;op=Search&amp;page=1&amp;stext=375096</t>
  </si>
  <si>
    <t>Кастрюля BRAVO, объем 3,9 л, из нерж стали с крышкой стекл., размер 20*12,5 см арт.005430</t>
  </si>
  <si>
    <t xml:space="preserve">1014,1 </t>
  </si>
  <si>
    <t>https://www.oreht.ru/modules.php?name=orehtPriceLS&amp;op=Search&amp;page=1&amp;stext=306459</t>
  </si>
  <si>
    <t>Противень 19*27 см АП Гранит арт.92701</t>
  </si>
  <si>
    <t xml:space="preserve">853,5 </t>
  </si>
  <si>
    <t>https://www.oreht.ru/modules.php?name=orehtPriceLS&amp;op=Search&amp;page=1&amp;stext=299484</t>
  </si>
  <si>
    <t>Чайник эмалированный с фильтром из нжс,"Озорные коты" 1,3л 934-356</t>
  </si>
  <si>
    <t>https://www.oreht.ru/modules.php?name=orehtPriceLS&amp;op=Search&amp;page=1&amp;stext=373765</t>
  </si>
  <si>
    <t>Кастрюля agness эмалированная, серия bellisimo 3,3л диаметр=20 см высота=12 см 951-022</t>
  </si>
  <si>
    <t>https://www.oreht.ru/modules.php?name=orehtPriceLS&amp;op=Search&amp;page=1&amp;stext=108286</t>
  </si>
  <si>
    <t>Сковорода 220*40 дерев.руч. С2240Д</t>
  </si>
  <si>
    <t>https://www.oreht.ru/modules.php?name=orehtPriceLS&amp;op=Search&amp;page=1&amp;stext=342491</t>
  </si>
  <si>
    <t>Сковорода д.260 с пласт.ручк. без крышки 2613Н "БИОЛ"</t>
  </si>
  <si>
    <t>https://www.oreht.ru/modules.php?name=orehtPriceLS&amp;op=Search&amp;page=1&amp;stext=342493</t>
  </si>
  <si>
    <t>Сковорода д.280 с нерж.ручк. без крышки 2813Н "БИОЛ"</t>
  </si>
  <si>
    <t>https://www.oreht.ru/modules.php?name=orehtPriceLS&amp;op=Search&amp;page=1&amp;stext=378265</t>
  </si>
  <si>
    <t>Кастрюля со стеклянной крышкой 18см арт.BC-2013</t>
  </si>
  <si>
    <t xml:space="preserve">922,8 </t>
  </si>
  <si>
    <t>https://www.oreht.ru/modules.php?name=orehtPriceLS&amp;op=Search&amp;page=1&amp;stext=385038</t>
  </si>
  <si>
    <t>BE-0573 Чайник из нерж.стали 3л, капсулированное дно (12)</t>
  </si>
  <si>
    <t xml:space="preserve">925 </t>
  </si>
  <si>
    <t>https://www.oreht.ru/modules.php?name=orehtPriceLS&amp;op=Search&amp;page=1&amp;stext=351771</t>
  </si>
  <si>
    <t>ЕМ-25101/63 Чайник эмалированный. "Летний сад" со свистком 2,5 л. (6)</t>
  </si>
  <si>
    <t xml:space="preserve">947,9 </t>
  </si>
  <si>
    <t>https://www.oreht.ru/modules.php?name=orehtPriceLS&amp;op=Search&amp;page=1&amp;stext=353963</t>
  </si>
  <si>
    <t>Сковорода 20см АП "Premium" (mokko) арт.20902</t>
  </si>
  <si>
    <t xml:space="preserve">838,7 </t>
  </si>
  <si>
    <t>https://www.oreht.ru/modules.php?name=orehtPriceLS&amp;op=Search&amp;page=1&amp;stext=124575</t>
  </si>
  <si>
    <t>Сковорода-сотейник 300/75мм с крышкой г.КУКМОР арт.с309 "Kukmara"</t>
  </si>
  <si>
    <t xml:space="preserve">955,9 </t>
  </si>
  <si>
    <t>https://www.oreht.ru/modules.php?name=orehtPriceLS&amp;op=Search&amp;page=1&amp;stext=244881</t>
  </si>
  <si>
    <t>AK-1007/28N Сковорода-сотейник алюминиевая ALPENKOK с антиприг. покрытием "BROWN MARBLE" d=28см (6)</t>
  </si>
  <si>
    <t xml:space="preserve">898 </t>
  </si>
  <si>
    <t>https://www.oreht.ru/modules.php?name=orehtPriceLS&amp;op=Search&amp;page=1&amp;stext=297463</t>
  </si>
  <si>
    <t>Black Rose Collection Сковорода 24х4,8см. ВН-1634N</t>
  </si>
  <si>
    <t>https://www.oreht.ru/modules.php?name=orehtPriceLS&amp;op=Search&amp;page=1&amp;stext=399070</t>
  </si>
  <si>
    <t>ЕМ-25101/11 Чайник эмал. "Алые маки" со свистком 2,5 л. (6)</t>
  </si>
  <si>
    <t>https://www.oreht.ru/modules.php?name=orehtPriceLS&amp;op=Search&amp;page=1&amp;stext=142382</t>
  </si>
  <si>
    <t>Набор кухонный 6-и предметный "Родник" арт.1с2236 (г.Аша)</t>
  </si>
  <si>
    <t xml:space="preserve">935,3 </t>
  </si>
  <si>
    <t>https://www.oreht.ru/modules.php?name=orehtPriceLS&amp;op=Search&amp;page=1&amp;stext=424383</t>
  </si>
  <si>
    <t>Сотейник LARA (нерж) серия MERCURY 16x7.5см,2.1л,капсулированное индукционное дно (LR03-47)</t>
  </si>
  <si>
    <t xml:space="preserve">861,9 </t>
  </si>
  <si>
    <t>https://www.oreht.ru/modules.php?name=orehtPriceLS&amp;op=Search&amp;page=1&amp;stext=400235</t>
  </si>
  <si>
    <t>BE-7216 Сушилка для посуды двухуровневая "WEBBER" ,43х24х34 см (6)</t>
  </si>
  <si>
    <t xml:space="preserve">934,2 </t>
  </si>
  <si>
    <t>https://www.oreht.ru/modules.php?name=orehtPriceLS&amp;op=Search&amp;page=1&amp;stext=402608</t>
  </si>
  <si>
    <t>Сковорода 240мм со съемной ручкой, АП линия " Trendy style" ( malachite) "Kukmara" 241tsml</t>
  </si>
  <si>
    <t xml:space="preserve">897,1 </t>
  </si>
  <si>
    <t>https://www.oreht.ru/modules.php?name=orehtPriceLS&amp;op=Search&amp;page=1&amp;stext=330702</t>
  </si>
  <si>
    <t>23217 Сушилка для посуды 43х9см ХРОМ МВ (х6) "MAYER &amp; BOCH"</t>
  </si>
  <si>
    <t>https://www.oreht.ru/modules.php?name=orehtPriceLS&amp;op=Search&amp;page=1&amp;stext=428189</t>
  </si>
  <si>
    <t>Кастрюля нерж БОНН 1.8 л, с крышкой, Daniks, GS-01319-16CA (364384)</t>
  </si>
  <si>
    <t xml:space="preserve">876,7 </t>
  </si>
  <si>
    <t>https://www.oreht.ru/modules.php?name=orehtPriceLS&amp;op=Search&amp;page=1&amp;stext=398743</t>
  </si>
  <si>
    <t>Emerald Collection Metallic Line Сковорода 24см арт.6047-BH</t>
  </si>
  <si>
    <t xml:space="preserve">940,2 </t>
  </si>
  <si>
    <t>https://www.oreht.ru/modules.php?name=orehtPriceLS&amp;op=Search&amp;page=1&amp;stext=258472</t>
  </si>
  <si>
    <t>Сковорода-Бриллиант 26см АП Гранит black с несъемной ручкой арт, 26872</t>
  </si>
  <si>
    <t xml:space="preserve">949,4 </t>
  </si>
  <si>
    <t>https://www.oreht.ru/modules.php?name=orehtPriceLS&amp;op=Search&amp;page=1&amp;stext=286094</t>
  </si>
  <si>
    <t>Противень 22*33 см АП Гранит black арт. 93802</t>
  </si>
  <si>
    <t xml:space="preserve">950,1 </t>
  </si>
  <si>
    <t>https://www.oreht.ru/modules.php?name=orehtPriceLS&amp;op=Search&amp;page=1&amp;stext=327624</t>
  </si>
  <si>
    <t>ЕМ-25101/8 Чайник эмал. "Орхидея" со свистком 2,5 л. (6)</t>
  </si>
  <si>
    <t xml:space="preserve">948,4 </t>
  </si>
  <si>
    <t>https://www.oreht.ru/modules.php?name=orehtPriceLS&amp;op=Search&amp;page=1&amp;stext=400242</t>
  </si>
  <si>
    <t>ЕМ-25101/41 Чайник эмал. ручка пластик "Сицилия" 2,5л со свистком (6)</t>
  </si>
  <si>
    <t>https://www.oreht.ru/modules.php?name=orehtPriceLS&amp;op=Search&amp;page=1&amp;stext=385064</t>
  </si>
  <si>
    <t>EM-25101/35 Чайник эмал. "Чайная роза" со свистком 2,5 л (6)</t>
  </si>
  <si>
    <t xml:space="preserve">948 </t>
  </si>
  <si>
    <t>https://www.oreht.ru/modules.php?name=orehtPriceLS&amp;op=Search&amp;page=1&amp;stext=230256</t>
  </si>
  <si>
    <t>АП Сковорода 240/60мм со съемной руч. (кофейный мрамор) г.КУКМОР арт.смк246а "Kukmara"</t>
  </si>
  <si>
    <t xml:space="preserve">899,5 </t>
  </si>
  <si>
    <t>https://www.oreht.ru/modules.php?name=orehtPriceLS&amp;op=Search&amp;page=1&amp;stext=405499</t>
  </si>
  <si>
    <t>EM-25101/70 Чайник эмалированный со свистком "Влюбленные коты " 2,5 л, (6)</t>
  </si>
  <si>
    <t>https://www.oreht.ru/modules.php?name=orehtPriceLS&amp;op=Search&amp;page=1&amp;stext=237581</t>
  </si>
  <si>
    <t>Сковорода 24см АП Гранит star со съемной ручкой арт,024803</t>
  </si>
  <si>
    <t xml:space="preserve">956,1 </t>
  </si>
  <si>
    <t>https://www.oreht.ru/modules.php?name=orehtPriceLS&amp;op=Search&amp;page=1&amp;stext=351773</t>
  </si>
  <si>
    <t>ЕМ-25101/66 Чайник эмалированный со свистком 2,5 л. Красный в белый горох (6)</t>
  </si>
  <si>
    <t>https://www.oreht.ru/modules.php?name=orehtPriceLS&amp;op=Search&amp;page=1&amp;stext=237576</t>
  </si>
  <si>
    <t>Сковорода 26см АП Гранит star арт,26803</t>
  </si>
  <si>
    <t xml:space="preserve">959,8 </t>
  </si>
  <si>
    <t>https://www.oreht.ru/modules.php?name=orehtPriceLS&amp;op=Search&amp;page=1&amp;stext=237550</t>
  </si>
  <si>
    <t>Сковорода 26см АП Гранит арт,26701</t>
  </si>
  <si>
    <t xml:space="preserve">959,9 </t>
  </si>
  <si>
    <t>https://www.oreht.ru/modules.php?name=orehtPriceLS&amp;op=Search&amp;page=1&amp;stext=334303</t>
  </si>
  <si>
    <t>EM-25101/14 Чайник эмалированный со свистком 2,5 л. "Нежные маки" (6)</t>
  </si>
  <si>
    <t>https://www.oreht.ru/modules.php?name=orehtPriceLS&amp;op=Search&amp;page=1&amp;stext=422408</t>
  </si>
  <si>
    <t>Кастрюля 1л АП Гранит star арт. 41803</t>
  </si>
  <si>
    <t xml:space="preserve">962,8 </t>
  </si>
  <si>
    <t>https://www.oreht.ru/modules.php?name=orehtPriceLS&amp;op=Search&amp;page=1&amp;stext=204801</t>
  </si>
  <si>
    <t>Набор плоских шампуров 600x15x2 мм из НЕРЖАВЕЮЩЕЙ СТАЛИ, 6 штук в ПВХ коробке/ 12 61370 BOYSCOUT</t>
  </si>
  <si>
    <t xml:space="preserve">963,4 </t>
  </si>
  <si>
    <t>https://www.oreht.ru/modules.php?name=orehtPriceLS&amp;op=Search&amp;page=1&amp;stext=360127</t>
  </si>
  <si>
    <t>Кастрюля LARA (нерж) BELL 16x9,5см, 1,8л, капсулир индукц дно,стеклян. крышка (LR02-480)</t>
  </si>
  <si>
    <t xml:space="preserve">861,6 </t>
  </si>
  <si>
    <t>https://www.oreht.ru/modules.php?name=orehtPriceLS&amp;op=Search&amp;page=1&amp;stext=351770</t>
  </si>
  <si>
    <t>ЕМ-25101/38 Чайник эмалированный 2,5л "Тюльпаны" со свистком (6)</t>
  </si>
  <si>
    <t xml:space="preserve">948,2 </t>
  </si>
  <si>
    <t>https://www.oreht.ru/modules.php?name=orehtPriceLS&amp;op=Search&amp;page=1&amp;stext=372464</t>
  </si>
  <si>
    <t>Сковорода блинная 24 см с индукционным дном Rondell RDA-022</t>
  </si>
  <si>
    <t xml:space="preserve">933 </t>
  </si>
  <si>
    <t>https://www.oreht.ru/modules.php?name=orehtPriceLS&amp;op=Search&amp;page=1&amp;stext=429725</t>
  </si>
  <si>
    <t>30861 Набор бокалов 185 мл 6 шт ЯНТАРНЫЙ LR (х6) "MAYER &amp; BOCH"</t>
  </si>
  <si>
    <t xml:space="preserve">975,8 </t>
  </si>
  <si>
    <t>https://www.oreht.ru/modules.php?name=orehtPriceLS&amp;op=Search&amp;page=1&amp;stext=337836</t>
  </si>
  <si>
    <t>Манты-казан 6л с 4 сетки 3,0 кг Сплав 5А арт.180640 "КАЛИТВА"</t>
  </si>
  <si>
    <t xml:space="preserve">1064,9 </t>
  </si>
  <si>
    <t>https://www.oreht.ru/modules.php?name=orehtPriceLS&amp;op=Search&amp;page=1&amp;stext=274227</t>
  </si>
  <si>
    <t>Термос "БИОСТАЛЬ-АВТО" у/г прям. кр., с термочехлом NBP-750-1 БИОСТАЛЬ</t>
  </si>
  <si>
    <t>https://www.oreht.ru/modules.php?name=orehtPriceLS&amp;op=Search&amp;page=1&amp;stext=353964</t>
  </si>
  <si>
    <t>Сковорода 22см АП "Premium" (mokko) арт.22902</t>
  </si>
  <si>
    <t xml:space="preserve">902,5 </t>
  </si>
  <si>
    <t>https://www.oreht.ru/modules.php?name=orehtPriceLS&amp;op=Search&amp;page=1&amp;stext=226328</t>
  </si>
  <si>
    <t>Термос ш/г суповой в чехле NТ-1000 БИОСТАЛЬ</t>
  </si>
  <si>
    <t xml:space="preserve">981,8 </t>
  </si>
  <si>
    <t>https://www.oreht.ru/modules.php?name=orehtPriceLS&amp;op=Search&amp;page=1&amp;stext=408049</t>
  </si>
  <si>
    <t>BE-0594 Чайник нерж WEBBER со свистком 3л, сатин (12)</t>
  </si>
  <si>
    <t xml:space="preserve">1012,5 </t>
  </si>
  <si>
    <t>https://www.oreht.ru/modules.php?name=orehtPriceLS&amp;op=Search&amp;page=1&amp;stext=308309</t>
  </si>
  <si>
    <t>Сковорода чугунная д.240 со съемной ручк. без крышки 1224 "БИОЛ"</t>
  </si>
  <si>
    <t xml:space="preserve">1088,7 </t>
  </si>
  <si>
    <t>https://www.oreht.ru/modules.php?name=orehtPriceLS&amp;op=Search&amp;page=1&amp;stext=202464</t>
  </si>
  <si>
    <t>Мангал +9 шампуров ЛИАНА Ж-552</t>
  </si>
  <si>
    <t xml:space="preserve">986 </t>
  </si>
  <si>
    <t>https://www.oreht.ru/modules.php?name=orehtPriceLS&amp;op=Search&amp;page=1&amp;stext=343767</t>
  </si>
  <si>
    <t>Бокал для шампанского СЕЛЕСТ 160мл ЗОЛОТИСТЫЙ ХАМЕЛЕОН 6шт арт.P1636</t>
  </si>
  <si>
    <t xml:space="preserve">966,5 </t>
  </si>
  <si>
    <t>https://www.oreht.ru/modules.php?name=orehtPriceLS&amp;op=Search&amp;page=1&amp;stext=331606</t>
  </si>
  <si>
    <t>Термос "БИОСТАЛЬ-СПОРТ" у/г 1 пробка NBP-1200 БИОСТАЛЬ</t>
  </si>
  <si>
    <t xml:space="preserve">1020 </t>
  </si>
  <si>
    <t>https://www.oreht.ru/modules.php?name=orehtPriceLS&amp;op=Search&amp;page=1&amp;stext=429833</t>
  </si>
  <si>
    <t>Сковорода 240мм АП "Marble evolution silver", со съемной ручкой арт.02-2432-100</t>
  </si>
  <si>
    <t xml:space="preserve">971,6 </t>
  </si>
  <si>
    <t>https://www.oreht.ru/modules.php?name=orehtPriceLS&amp;op=Search&amp;page=1&amp;stext=424553</t>
  </si>
  <si>
    <t>Термос у/г NB-1200B с чехлом БИОСТАЛЬ</t>
  </si>
  <si>
    <t xml:space="preserve">978,8 </t>
  </si>
  <si>
    <t>https://www.oreht.ru/modules.php?name=orehtPriceLS&amp;op=Search&amp;page=1&amp;stext=306468</t>
  </si>
  <si>
    <t>Сковорода 22см АП Гранит black с несъемной ручкой стеклянной крышкой арт.С22802</t>
  </si>
  <si>
    <t xml:space="preserve">991,7 </t>
  </si>
  <si>
    <t>https://www.oreht.ru/modules.php?name=orehtPriceLS&amp;op=Search&amp;page=1&amp;stext=337080</t>
  </si>
  <si>
    <t>Термос 0,5л Platinum RDS-1066 (GY)</t>
  </si>
  <si>
    <t>https://www.oreht.ru/modules.php?name=orehtPriceLS&amp;op=Search&amp;page=1&amp;stext=185731</t>
  </si>
  <si>
    <t>Бордо Кастрюля 5,1л. арт. 2234 (INTEROS)</t>
  </si>
  <si>
    <t xml:space="preserve">959,2 </t>
  </si>
  <si>
    <t>https://www.oreht.ru/modules.php?name=orehtPriceLS&amp;op=Search&amp;page=1&amp;stext=434912</t>
  </si>
  <si>
    <t>Держатель на печь, для крышки 2К-Х133 арт.2К-Х133</t>
  </si>
  <si>
    <t xml:space="preserve">999 </t>
  </si>
  <si>
    <t>https://www.oreht.ru/modules.php?name=orehtPriceLS&amp;op=Search&amp;page=1&amp;stext=379892</t>
  </si>
  <si>
    <t>Диспенсер для напитков "Лимонадница muza crystal" 4,8л. 19*19 см. высота=54,5 см. 195-203</t>
  </si>
  <si>
    <t xml:space="preserve">1997,3 </t>
  </si>
  <si>
    <t>https://www.oreht.ru/modules.php?name=orehtPriceLS&amp;op=Search&amp;page=1&amp;stext=441396</t>
  </si>
  <si>
    <t>Диспенсер для напитков "Лимонадница muza" 4,5 л / 19,5*19,5*52 см 691-013</t>
  </si>
  <si>
    <t>https://www.oreht.ru/modules.php?name=orehtPriceLS&amp;op=Search&amp;page=1&amp;stext=372071</t>
  </si>
  <si>
    <t>Диспенсер для напитков "Лимонадница muza" 4,8 л / 19,5*19,5*52 см 691-010</t>
  </si>
  <si>
    <t>https://www.oreht.ru/modules.php?name=orehtPriceLS&amp;op=Search&amp;page=1&amp;stext=372072</t>
  </si>
  <si>
    <t>Диспенсер для напитков "Лимонадница muza" 4,8 л / 19,5*19,5*52 см 691-011</t>
  </si>
  <si>
    <t>https://www.oreht.ru/modules.php?name=orehtPriceLS&amp;op=Search&amp;page=1&amp;stext=372073</t>
  </si>
  <si>
    <t>Диспенсер для напитков "Лимонадница muza" 4,8 л / 19,5*19,5*52 см 691-012</t>
  </si>
  <si>
    <t xml:space="preserve">1907 </t>
  </si>
  <si>
    <t>https://www.oreht.ru/modules.php?name=orehtPriceLS&amp;op=Search&amp;page=1&amp;stext=427144</t>
  </si>
  <si>
    <t>Набор из 6 фужеров 450 мл в под.уп.(х4) арт.121-015</t>
  </si>
  <si>
    <t>https://www.oreht.ru/modules.php?name=orehtPriceLS&amp;op=Search&amp;page=1&amp;stext=376539</t>
  </si>
  <si>
    <t>Набор ножей 3 шт + ножницы + блок Dart Rondell RD-1358 (MC)</t>
  </si>
  <si>
    <t xml:space="preserve">1990 </t>
  </si>
  <si>
    <t>https://www.oreht.ru/modules.php?name=orehtPriceLS&amp;op=Search&amp;page=1&amp;stext=418211</t>
  </si>
  <si>
    <t>Сковорода с принтом 28 см Arabesco RDS-778 (BK) (Rondell)</t>
  </si>
  <si>
    <t xml:space="preserve">1982 </t>
  </si>
  <si>
    <t>https://www.oreht.ru/modules.php?name=orehtPriceLS&amp;op=Search&amp;page=1&amp;stext=369980</t>
  </si>
  <si>
    <t>Сковорода 20 см Magnate RDA-1240 (BK)</t>
  </si>
  <si>
    <t xml:space="preserve">1973 </t>
  </si>
  <si>
    <t>https://www.oreht.ru/modules.php?name=orehtPriceLS&amp;op=Search&amp;page=1&amp;stext=427137</t>
  </si>
  <si>
    <t>Набор из 6 бокалов 500 мл в под.уп.(х4) арт.121-006</t>
  </si>
  <si>
    <t xml:space="preserve">1712 </t>
  </si>
  <si>
    <t>https://www.oreht.ru/modules.php?name=orehtPriceLS&amp;op=Search&amp;page=1&amp;stext=450503</t>
  </si>
  <si>
    <t>Набор столовый АРЕНА 19пр арт.L3271</t>
  </si>
  <si>
    <t xml:space="preserve">1922,8 </t>
  </si>
  <si>
    <t>https://www.oreht.ru/modules.php?name=orehtPriceLS&amp;op=Search&amp;page=1&amp;stext=427139</t>
  </si>
  <si>
    <t>Набор из 6 бокалов 400 мл в под.уп.(х4) арт.121-008</t>
  </si>
  <si>
    <t xml:space="preserve">1708 </t>
  </si>
  <si>
    <t>https://www.oreht.ru/modules.php?name=orehtPriceLS&amp;op=Search&amp;page=1&amp;stext=346345</t>
  </si>
  <si>
    <t>Набор столовый (18) JY-S-18-10 "OLAFF"</t>
  </si>
  <si>
    <t>https://www.oreht.ru/modules.php?name=orehtPriceLS&amp;op=Search&amp;page=1&amp;stext=135703</t>
  </si>
  <si>
    <t>Кастрюля с/кр 18 см 2,3 л Flamme RDS-023 (ST)</t>
  </si>
  <si>
    <t xml:space="preserve">1915 </t>
  </si>
  <si>
    <t>https://www.oreht.ru/modules.php?name=orehtPriceLS&amp;op=Search&amp;page=1&amp;stext=448756</t>
  </si>
  <si>
    <t>Набор ножей agness "Best" на подставке, 6 предметов 911-656</t>
  </si>
  <si>
    <t>https://www.oreht.ru/modules.php?name=orehtPriceLS&amp;op=Search&amp;page=1&amp;stext=403402</t>
  </si>
  <si>
    <t>Набор ножей agness на подставке, 6 предметов 911-657</t>
  </si>
  <si>
    <t>https://www.oreht.ru/modules.php?name=orehtPriceLS&amp;op=Search&amp;page=1&amp;stext=88921</t>
  </si>
  <si>
    <t>Сковорода 2,0л "Классика-прима" ст.кр. пр.р. арт.1с2416 (г.Аша)</t>
  </si>
  <si>
    <t xml:space="preserve">1933,4 </t>
  </si>
  <si>
    <t>https://www.oreht.ru/modules.php?name=orehtPriceLS&amp;op=Search&amp;page=1&amp;stext=454854</t>
  </si>
  <si>
    <t>Набор чайный керамика, 12 пр, на 6 персон, 180 мл, деревянная подставка, Y4-4599, подарочная 393088</t>
  </si>
  <si>
    <t>https://www.oreht.ru/modules.php?name=orehtPriceLS&amp;op=Search&amp;page=1&amp;stext=389616</t>
  </si>
  <si>
    <t>Набор стол/приб 24 пр Ripley картон коробка Daniks (347175)</t>
  </si>
  <si>
    <t xml:space="preserve">1941,4 </t>
  </si>
  <si>
    <t>https://www.oreht.ru/modules.php?name=orehtPriceLS&amp;op=Search&amp;page=1&amp;stext=124476</t>
  </si>
  <si>
    <t>Котел 20л г.КУКМОР арт.к200 "Kukmara" d38</t>
  </si>
  <si>
    <t xml:space="preserve">1887,4 </t>
  </si>
  <si>
    <t>https://www.oreht.ru/modules.php?name=orehtPriceLS&amp;op=Search&amp;page=1&amp;stext=389614</t>
  </si>
  <si>
    <t>Набор стол/приб 24 пр Alta картон коробка Daniks (347191)</t>
  </si>
  <si>
    <t>https://www.oreht.ru/modules.php?name=orehtPriceLS&amp;op=Search&amp;page=1&amp;stext=440263</t>
  </si>
  <si>
    <t>Чугунный казан BARAKA с крыш. 12л(39,5см) толщ.стенки 5мм, КРУГЛОЕ дно п. Узбекистан</t>
  </si>
  <si>
    <t xml:space="preserve">1831 </t>
  </si>
  <si>
    <t>https://www.oreht.ru/modules.php?name=orehtPriceLS&amp;op=Search&amp;page=1&amp;stext=251948</t>
  </si>
  <si>
    <t>Черное золото Чайник 3,0л арт. 3040А (INTEROS)</t>
  </si>
  <si>
    <t xml:space="preserve">1665,8 </t>
  </si>
  <si>
    <t>https://www.oreht.ru/modules.php?name=orehtPriceLS&amp;op=Search&amp;page=1&amp;stext=453300</t>
  </si>
  <si>
    <t>Блюдо-звезда lefard "Дед мороз" 32х5см красное 85-1740</t>
  </si>
  <si>
    <t xml:space="preserve">1932,8 </t>
  </si>
  <si>
    <t>https://www.oreht.ru/modules.php?name=orehtPriceLS&amp;op=Search&amp;page=1&amp;stext=423515</t>
  </si>
  <si>
    <t>Диспенсер 4.2л , хрустальное солнце/Шайн ZZ2102DISC</t>
  </si>
  <si>
    <t xml:space="preserve">1783 </t>
  </si>
  <si>
    <t>https://www.oreht.ru/modules.php?name=orehtPriceLS&amp;op=Search&amp;page=1&amp;stext=346195</t>
  </si>
  <si>
    <t>Елка искусственная "Ольга" 1,5м, арт.О-150</t>
  </si>
  <si>
    <t>https://www.oreht.ru/modules.php?name=orehtPriceLS&amp;op=Search&amp;page=1&amp;stext=372515</t>
  </si>
  <si>
    <t>Термоконтейнер с вертикальной ручкой CB-11G, 11л БИОСТАЛЬ</t>
  </si>
  <si>
    <t xml:space="preserve">1921,4 </t>
  </si>
  <si>
    <t>https://www.oreht.ru/modules.php?name=orehtPriceLS&amp;op=Search&amp;page=1&amp;stext=442585</t>
  </si>
  <si>
    <t>Сервиз столовый стеклокерамика, 19 предметов, на 6 персон, Daniks, Анжелика (393239)</t>
  </si>
  <si>
    <t>https://www.oreht.ru/modules.php?name=orehtPriceLS&amp;op=Search&amp;page=1&amp;stext=389640</t>
  </si>
  <si>
    <t>ОАЗИС Сервиз столовый 19пр (6 персон) DANIKS (341416)</t>
  </si>
  <si>
    <t xml:space="preserve">1965,8 </t>
  </si>
  <si>
    <t>https://www.oreht.ru/modules.php?name=orehtPriceLS&amp;op=Search&amp;page=1&amp;stext=333861</t>
  </si>
  <si>
    <t>Сотейник с/кр. 24x6см Infinity Rondell RDA-574 (BK)</t>
  </si>
  <si>
    <t xml:space="preserve">1920 </t>
  </si>
  <si>
    <t>https://www.oreht.ru/modules.php?name=orehtPriceLS&amp;op=Search&amp;page=1&amp;stext=341735</t>
  </si>
  <si>
    <t>Набор "БЕЛЫЕ ГЕОРГИНЫ - 1" пр-во ООО "КМК"</t>
  </si>
  <si>
    <t>https://www.oreht.ru/modules.php?name=orehtPriceLS&amp;op=Search&amp;page=1&amp;stext=212764</t>
  </si>
  <si>
    <t>АП Казан для плова 7л г.КУКМОР арт.к70а "Kukmara"</t>
  </si>
  <si>
    <t xml:space="preserve">1846,1 </t>
  </si>
  <si>
    <t>https://www.oreht.ru/modules.php?name=orehtPriceLS&amp;op=Search&amp;page=1&amp;stext=428633</t>
  </si>
  <si>
    <t>Круглое блюдо 48см СТЁЖКА в под.уп.(х4)Керамика арт.110333</t>
  </si>
  <si>
    <t xml:space="preserve">1664 </t>
  </si>
  <si>
    <t>https://www.oreht.ru/modules.php?name=orehtPriceLS&amp;op=Search&amp;page=1&amp;stext=232528</t>
  </si>
  <si>
    <t>Термос ДУ-1,5л "Дорожный" с универсальным горлом на ремне арт.1с672 (г.Аша)</t>
  </si>
  <si>
    <t xml:space="preserve">1910,9 </t>
  </si>
  <si>
    <t>https://www.oreht.ru/modules.php?name=orehtPriceLS&amp;op=Search&amp;page=1&amp;stext=371396</t>
  </si>
  <si>
    <t>Сумка-холодильник "ДИСКАВЕРИ" цвет ЛЕДЯНОЙ ГРАФИТ 20л TCP-20G-Z БИОСТАЛЬ</t>
  </si>
  <si>
    <t xml:space="preserve">1905,7 </t>
  </si>
  <si>
    <t>https://www.oreht.ru/modules.php?name=orehtPriceLS&amp;op=Search&amp;page=1&amp;stext=124390</t>
  </si>
  <si>
    <t>АП Казан для плова 6л г.КУКМОР арт.кз60а "Kukmara"</t>
  </si>
  <si>
    <t xml:space="preserve">1902,5 </t>
  </si>
  <si>
    <t>https://www.oreht.ru/modules.php?name=orehtPriceLS&amp;op=Search&amp;page=1&amp;stext=380168</t>
  </si>
  <si>
    <t>Гирлянда КОСМОС 300LED_RGB (мульти, 31,5м, 8 режимов мигания)</t>
  </si>
  <si>
    <t>https://www.oreht.ru/modules.php?name=orehtPriceLS&amp;op=Search&amp;page=1&amp;stext=429436</t>
  </si>
  <si>
    <t>Набор кастрюль 4 предмета (16*9cm, 18*10cm) из нержавеющей стали (5860)</t>
  </si>
  <si>
    <t>https://www.oreht.ru/modules.php?name=orehtPriceLS&amp;op=Search&amp;page=1&amp;stext=345890</t>
  </si>
  <si>
    <t>Гирлянда светодиодная ULD-S1000-120/TВK WHITE IP67 (120 светодиодов, 10м) UL-00003944</t>
  </si>
  <si>
    <t>https://www.oreht.ru/modules.php?name=orehtPriceLS&amp;op=Search&amp;page=1&amp;stext=321730</t>
  </si>
  <si>
    <t>Кастрюля-жаровня 4л со стекл. крышкой, АП линия "Granit ultra" (blue) "Kukmara" жгг41а</t>
  </si>
  <si>
    <t xml:space="preserve">1840,9 </t>
  </si>
  <si>
    <t>https://www.oreht.ru/modules.php?name=orehtPriceLS&amp;op=Search&amp;page=1&amp;stext=343370</t>
  </si>
  <si>
    <t>Набор "БЕЛЫЙ ГОРОХ - 5 - 1 ЛЮКС" пр-во ООО "КМК"</t>
  </si>
  <si>
    <t xml:space="preserve">1896,6 </t>
  </si>
  <si>
    <t>https://www.oreht.ru/modules.php?name=orehtPriceLS&amp;op=Search&amp;page=1&amp;stext=417494</t>
  </si>
  <si>
    <t>Гирлянда светодиодная со статическим свечением ULD-S1000-120/SWK MULTI IP67 10м. UL-00007202</t>
  </si>
  <si>
    <t>https://www.oreht.ru/modules.php?name=orehtPriceLS&amp;op=Search&amp;page=1&amp;stext=426585</t>
  </si>
  <si>
    <t>Чайник agness со свистком 2,7 л, титановое покр. носика, термоаккумулирующее дно, индукция 914-153</t>
  </si>
  <si>
    <t xml:space="preserve">1896 </t>
  </si>
  <si>
    <t>https://www.oreht.ru/modules.php?name=orehtPriceLS&amp;op=Search&amp;page=1&amp;stext=430870</t>
  </si>
  <si>
    <t>Форма для запекания с крышкой agness "Лаванда" круглая 26,5х22х15,5см 536-252</t>
  </si>
  <si>
    <t>https://www.oreht.ru/modules.php?name=orehtPriceLS&amp;op=Search&amp;page=1&amp;stext=202272</t>
  </si>
  <si>
    <t>Сковорода 28x5,Зсм Lumiere Rondell RDA-595 (GY) (Rondell)</t>
  </si>
  <si>
    <t xml:space="preserve">1892 </t>
  </si>
  <si>
    <t>https://www.oreht.ru/modules.php?name=orehtPriceLS&amp;op=Search&amp;page=1&amp;stext=230672</t>
  </si>
  <si>
    <t>Светодиодный сетка KOC_NET320LED_RGB (320 свет., мультиколор, 2,3*2,1м,8 режимов) KOC_NET320LED_RGB</t>
  </si>
  <si>
    <t xml:space="preserve">1381 </t>
  </si>
  <si>
    <t>https://www.oreht.ru/modules.php?name=orehtPriceLS&amp;op=Search&amp;page=1&amp;stext=445501</t>
  </si>
  <si>
    <t>Moonlight Collection Набор ножей на подставке 8 пр. арт.2566-BH</t>
  </si>
  <si>
    <t>https://www.oreht.ru/modules.php?name=orehtPriceLS&amp;op=Search&amp;page=1&amp;stext=417512</t>
  </si>
  <si>
    <t>Занавес светодиодный с эффектом мерцания ULD-C3020-240/TTK BLUE IP44 3х2м. UL-00007215</t>
  </si>
  <si>
    <t>https://www.oreht.ru/modules.php?name=orehtPriceLS&amp;op=Search&amp;page=1&amp;stext=428635</t>
  </si>
  <si>
    <t>Тортовница 32 см на ножке с крышкой в под.уп.(х4) арт.110362</t>
  </si>
  <si>
    <t xml:space="preserve">1885,9 </t>
  </si>
  <si>
    <t>https://www.oreht.ru/modules.php?name=orehtPriceLS&amp;op=Search&amp;page=1&amp;stext=448564</t>
  </si>
  <si>
    <t>Тортовница на ножке с крышкой 32см ФРУКТЫ в под.уп.(х4) арт.110344</t>
  </si>
  <si>
    <t>https://www.oreht.ru/modules.php?name=orehtPriceLS&amp;op=Search&amp;page=1&amp;stext=448566</t>
  </si>
  <si>
    <t>Фруктовница на ножке 30см ФРУКТЫ в под.уп.(х4) арт.110347</t>
  </si>
  <si>
    <t>https://www.oreht.ru/modules.php?name=orehtPriceLS&amp;op=Search&amp;page=1&amp;stext=382813</t>
  </si>
  <si>
    <t>Блюдо-звезда lefard "С новым годом!" дед мороз 26х5 см красное 85-1624</t>
  </si>
  <si>
    <t xml:space="preserve">1271,2 </t>
  </si>
  <si>
    <t>https://www.oreht.ru/modules.php?name=orehtPriceLS&amp;op=Search&amp;page=1&amp;stext=381458</t>
  </si>
  <si>
    <t>Гирлянда КОСМОС 100BallRGB_IP (100 свет., мульти, 13м, удлинение до 4 шт.) KOC_GIR100BallRGB_IP</t>
  </si>
  <si>
    <t>https://www.oreht.ru/modules.php?name=orehtPriceLS&amp;op=Search&amp;page=1&amp;stext=418485</t>
  </si>
  <si>
    <t>Блюдо lefard "Тройка" 38 см красное 85-1736</t>
  </si>
  <si>
    <t>https://www.oreht.ru/modules.php?name=orehtPriceLS&amp;op=Search&amp;page=1&amp;stext=148830</t>
  </si>
  <si>
    <t>Мохито Кастрюля глубокая 5,7 л. стекл./кр.*4 3033 (INTEROS)</t>
  </si>
  <si>
    <t xml:space="preserve">1754,6 </t>
  </si>
  <si>
    <t>https://www.oreht.ru/modules.php?name=orehtPriceLS&amp;op=Search&amp;page=1&amp;stext=306016</t>
  </si>
  <si>
    <t>Чайник со свистком 3,0 л термоаккумулирующее дно, индукция 937-810</t>
  </si>
  <si>
    <t xml:space="preserve">1874,6 </t>
  </si>
  <si>
    <t>https://www.oreht.ru/modules.php?name=orehtPriceLS&amp;op=Search&amp;page=1&amp;stext=306017</t>
  </si>
  <si>
    <t>Чайник со свистком 3,0 л термоаккумулирующее дно, индукция 937-811</t>
  </si>
  <si>
    <t>https://www.oreht.ru/modules.php?name=orehtPriceLS&amp;op=Search&amp;page=1&amp;stext=306018</t>
  </si>
  <si>
    <t>Чайник со свистком 3,0 л термоаккумулирующее дно, индукция 937-812</t>
  </si>
  <si>
    <t>https://www.oreht.ru/modules.php?name=orehtPriceLS&amp;op=Search&amp;page=1&amp;stext=398525</t>
  </si>
  <si>
    <t>Диспенсер для напитков "Лимонадница muza" 3 л / 17*17*47,5 см 691-007</t>
  </si>
  <si>
    <t>https://www.oreht.ru/modules.php?name=orehtPriceLS&amp;op=Search&amp;page=1&amp;stext=398526</t>
  </si>
  <si>
    <t>Диспенсер для напитков "Лимонадница muza" 3 л / 17*17*47,5 см 691-008</t>
  </si>
  <si>
    <t xml:space="preserve">1874,4 </t>
  </si>
  <si>
    <t>https://www.oreht.ru/modules.php?name=orehtPriceLS&amp;op=Search&amp;page=1&amp;stext=298277</t>
  </si>
  <si>
    <t>Рандеву Кастрюля 5.7 л. стекл./кр. 1154 (INTEROS)</t>
  </si>
  <si>
    <t xml:space="preserve">1814,9 </t>
  </si>
  <si>
    <t>https://www.oreht.ru/modules.php?name=orehtPriceLS&amp;op=Search&amp;page=1&amp;stext=178388</t>
  </si>
  <si>
    <t>Чайник 2,2 л Perfect RDS-494 (ST) (Rondell)</t>
  </si>
  <si>
    <t xml:space="preserve">1785 </t>
  </si>
  <si>
    <t>https://www.oreht.ru/modules.php?name=orehtPriceLS&amp;op=Search&amp;page=1&amp;stext=429194</t>
  </si>
  <si>
    <t>Сковорода 26х6,5 см Buffalo Rondell RDA-1482 (BK)</t>
  </si>
  <si>
    <t xml:space="preserve">1877 </t>
  </si>
  <si>
    <t>https://www.oreht.ru/modules.php?name=orehtPriceLS&amp;op=Search&amp;page=1&amp;stext=239511</t>
  </si>
  <si>
    <t>Сковорода глубокая 24x6см Mustang Rondell RDA-597 (ВK)</t>
  </si>
  <si>
    <t xml:space="preserve">1870 </t>
  </si>
  <si>
    <t>https://www.oreht.ru/modules.php?name=orehtPriceLS&amp;op=Search&amp;page=1&amp;stext=424384</t>
  </si>
  <si>
    <t>Набор ножей 4пр (20см,20см,12,5см,9см) нерж, нерж.ручки Лацио DANIKS JA20200344 (352678)</t>
  </si>
  <si>
    <t xml:space="preserve">1867 </t>
  </si>
  <si>
    <t>https://www.oreht.ru/modules.php?name=orehtPriceLS&amp;op=Search&amp;page=1&amp;stext=427728</t>
  </si>
  <si>
    <t>Кастрюля 4,5 л из нерж.стали, 22х12 см, стекл. кр. (45к) "МАРУСЯ"</t>
  </si>
  <si>
    <t xml:space="preserve">1779,8 </t>
  </si>
  <si>
    <t>https://www.oreht.ru/modules.php?name=orehtPriceLS&amp;op=Search&amp;page=1&amp;stext=450497</t>
  </si>
  <si>
    <t>Набор столовый CARINE белый 18пр арт.V2447</t>
  </si>
  <si>
    <t>https://www.oreht.ru/modules.php?name=orehtPriceLS&amp;op=Search&amp;page=1&amp;stext=299886</t>
  </si>
  <si>
    <t>Tramontina Universal Нож кухонный 15см 22902/006 (871-158)</t>
  </si>
  <si>
    <t xml:space="preserve">1761,6 </t>
  </si>
  <si>
    <t>https://www.oreht.ru/modules.php?name=orehtPriceLS&amp;op=Search&amp;page=1&amp;stext=413582</t>
  </si>
  <si>
    <t>Набор ножей agness на пластиковой подставке, 6 предметов 911-678</t>
  </si>
  <si>
    <t xml:space="preserve">1850,7 </t>
  </si>
  <si>
    <t>https://www.oreht.ru/modules.php?name=orehtPriceLS&amp;op=Search&amp;page=1&amp;stext=359991</t>
  </si>
  <si>
    <t>Сумка-холодильник "ДИСКАВЕРИ" цвет МОРСКОЙ СИНИЙ 20л TCP-20B БИОСТАЛЬ</t>
  </si>
  <si>
    <t xml:space="preserve">1850,2 </t>
  </si>
  <si>
    <t>https://www.oreht.ru/modules.php?name=orehtPriceLS&amp;op=Search&amp;page=1&amp;stext=345271</t>
  </si>
  <si>
    <t>Набор "ДЖАЗ-КАФЕ - ЭКСТРА" пр-во ООО "КМК"</t>
  </si>
  <si>
    <t xml:space="preserve">1856,6 </t>
  </si>
  <si>
    <t>https://www.oreht.ru/modules.php?name=orehtPriceLS&amp;op=Search&amp;page=1&amp;stext=334598</t>
  </si>
  <si>
    <t>Кастрюля 4,5л со стеклянной крышкой, АП линия "ELITE STONE" "Kukmara" к41ес</t>
  </si>
  <si>
    <t>https://www.oreht.ru/modules.php?name=orehtPriceLS&amp;op=Search&amp;page=1&amp;stext=427138</t>
  </si>
  <si>
    <t>Набор из 6 фужеров 300 мл в под.уп.(х4) арт.121-007</t>
  </si>
  <si>
    <t xml:space="preserve">1605 </t>
  </si>
  <si>
    <t>https://www.oreht.ru/modules.php?name=orehtPriceLS&amp;op=Search&amp;page=1&amp;stext=372543</t>
  </si>
  <si>
    <t>Набор емкостей для специй на круглой подставке 16 шт (7043)</t>
  </si>
  <si>
    <t>https://www.oreht.ru/modules.php?name=orehtPriceLS&amp;op=Search&amp;page=1&amp;stext=314787</t>
  </si>
  <si>
    <t>Вок чугунный 2,7л "Kukmara" вч27 d27</t>
  </si>
  <si>
    <t xml:space="preserve">1679,6 </t>
  </si>
  <si>
    <t>https://www.oreht.ru/modules.php?name=orehtPriceLS&amp;op=Search&amp;page=1&amp;stext=334215</t>
  </si>
  <si>
    <t>Чайник agness со свистком 3,0 л термоаккумулирующее дно, индукция 937-821</t>
  </si>
  <si>
    <t xml:space="preserve">1625,3 </t>
  </si>
  <si>
    <t>https://www.oreht.ru/modules.php?name=orehtPriceLS&amp;op=Search&amp;page=1&amp;stext=437235</t>
  </si>
  <si>
    <t>Кастрюля 4,5л со стеклянной крышкой, АП линия "Грация" (черный/серебро) "Kukmara" кчс45а</t>
  </si>
  <si>
    <t xml:space="preserve">1768,5 </t>
  </si>
  <si>
    <t>https://www.oreht.ru/modules.php?name=orehtPriceLS&amp;op=Search&amp;page=1&amp;stext=437234</t>
  </si>
  <si>
    <t>Кастрюля 4,5л со стеклянной крышкой, АП линия "Грация" (черный/золото) "Kukmara" кчз45а</t>
  </si>
  <si>
    <t xml:space="preserve">1751,7 </t>
  </si>
  <si>
    <t>https://www.oreht.ru/modules.php?name=orehtPriceLS&amp;op=Search&amp;page=1&amp;stext=455012</t>
  </si>
  <si>
    <t>Кастрюля индукционная 5л АП Гранит black Induction Pro.арт.45802И</t>
  </si>
  <si>
    <t xml:space="preserve">1654,1 </t>
  </si>
  <si>
    <t>https://www.oreht.ru/modules.php?name=orehtPriceLS&amp;op=Search&amp;page=1&amp;stext=391090</t>
  </si>
  <si>
    <t>Сковорода 24x6 см Strike Rondell RDA-1354 (GY)</t>
  </si>
  <si>
    <t>https://www.oreht.ru/modules.php?name=orehtPriceLS&amp;op=Search&amp;page=1&amp;stext=391091</t>
  </si>
  <si>
    <t>Сковорода 26x6,3 см Strike Rondell RDA-1355 (GY)</t>
  </si>
  <si>
    <t xml:space="preserve">1576 </t>
  </si>
  <si>
    <t>https://www.oreht.ru/modules.php?name=orehtPriceLS&amp;op=Search&amp;page=1&amp;stext=369935</t>
  </si>
  <si>
    <t>Термоконтейнер с вертикальной ручкой CB-10G, 10л БИОСТАЛЬ</t>
  </si>
  <si>
    <t xml:space="preserve">1830,5 </t>
  </si>
  <si>
    <t>https://www.oreht.ru/modules.php?name=orehtPriceLS&amp;op=Search&amp;page=1&amp;stext=123707</t>
  </si>
  <si>
    <t>Кружево Чайник 2,2 л.*6 арт.1279 (INTEROS)</t>
  </si>
  <si>
    <t xml:space="preserve">1656,7 </t>
  </si>
  <si>
    <t>https://www.oreht.ru/modules.php?name=orehtPriceLS&amp;op=Search&amp;page=1&amp;stext=105283</t>
  </si>
  <si>
    <t>Бидон 10л с плотн.крыш. арт. МТ-002</t>
  </si>
  <si>
    <t xml:space="preserve">1710 </t>
  </si>
  <si>
    <t>https://www.oreht.ru/modules.php?name=orehtPriceLS&amp;op=Search&amp;page=1&amp;stext=124392</t>
  </si>
  <si>
    <t>Казан для плова 12л г.КУКМОР арт.к120 "Kukmara"</t>
  </si>
  <si>
    <t xml:space="preserve">1766,8 </t>
  </si>
  <si>
    <t>https://www.oreht.ru/modules.php?name=orehtPriceLS&amp;op=Search&amp;page=1&amp;stext=345492</t>
  </si>
  <si>
    <t>Rosegold Noir Metallic Line Кастрюля с крышкой 24см арт.1895-ВН</t>
  </si>
  <si>
    <t xml:space="preserve">1826,7 </t>
  </si>
  <si>
    <t>https://www.oreht.ru/modules.php?name=orehtPriceLS&amp;op=Search&amp;page=1&amp;stext=372544</t>
  </si>
  <si>
    <t>Набор емкостей для специй на круглой подставке 16 шт (7044)</t>
  </si>
  <si>
    <t>https://www.oreht.ru/modules.php?name=orehtPriceLS&amp;op=Search&amp;page=1&amp;stext=425185</t>
  </si>
  <si>
    <t>Набор из 6 салатников 17.5см.TEKITO в под.уп.(х4)Фарфор арт.133-008</t>
  </si>
  <si>
    <t>https://www.oreht.ru/modules.php?name=orehtPriceLS&amp;op=Search&amp;page=1&amp;stext=160371</t>
  </si>
  <si>
    <t>АП Казан с крышкой-сковородой 4л г.КУКМОР арт.к44а "Kukmara"</t>
  </si>
  <si>
    <t xml:space="preserve">1757,8 </t>
  </si>
  <si>
    <t>https://www.oreht.ru/modules.php?name=orehtPriceLS&amp;op=Search&amp;page=1&amp;stext=123720</t>
  </si>
  <si>
    <t>Франция Чайник 2,2 л.*6 арт.1926 (INTEROS)</t>
  </si>
  <si>
    <t xml:space="preserve">1685,1 </t>
  </si>
  <si>
    <t>https://www.oreht.ru/modules.php?name=orehtPriceLS&amp;op=Search&amp;page=1&amp;stext=287998</t>
  </si>
  <si>
    <t>Котел походный-универсальный 12л "Kukmara" кп121 d38</t>
  </si>
  <si>
    <t xml:space="preserve">1730 </t>
  </si>
  <si>
    <t>https://www.oreht.ru/modules.php?name=orehtPriceLS&amp;op=Search&amp;page=1&amp;stext=351224</t>
  </si>
  <si>
    <t>LR02-325 Кастрюля LARA (нерж) RIVIERA 26x13,5см 7.1л, индукционное капс. дно, крышка ()</t>
  </si>
  <si>
    <t xml:space="preserve">1809,8 </t>
  </si>
  <si>
    <t>https://www.oreht.ru/modules.php?name=orehtPriceLS&amp;op=Search&amp;page=1&amp;stext=148852</t>
  </si>
  <si>
    <t>Белая роза Чайник 2,2 л.*6 2362 (INTEROS)</t>
  </si>
  <si>
    <t xml:space="preserve">1753,9 </t>
  </si>
  <si>
    <t>https://www.oreht.ru/modules.php?name=orehtPriceLS&amp;op=Search&amp;page=1&amp;stext=329158</t>
  </si>
  <si>
    <t>Набор "НЕЖНЫЙ ШОРОХ-1-ЭКСТРА" пр-во ООО "КМК"</t>
  </si>
  <si>
    <t xml:space="preserve">1769,9 </t>
  </si>
  <si>
    <t>https://www.oreht.ru/modules.php?name=orehtPriceLS&amp;op=Search&amp;page=1&amp;stext=371839</t>
  </si>
  <si>
    <t>Чайник эмалированный agness, 1,0л высота=17 см. 950-027</t>
  </si>
  <si>
    <t xml:space="preserve">1805 </t>
  </si>
  <si>
    <t>https://www.oreht.ru/modules.php?name=orehtPriceLS&amp;op=Search&amp;page=1&amp;stext=124459</t>
  </si>
  <si>
    <t>АП Кастрюля-Жаровня 4л. г.КУКМОР арт.ж40а "Kukmara"</t>
  </si>
  <si>
    <t xml:space="preserve">1624,9 </t>
  </si>
  <si>
    <t>https://www.oreht.ru/modules.php?name=orehtPriceLS&amp;op=Search&amp;page=1&amp;stext=187069</t>
  </si>
  <si>
    <t>Набор №129 С-129/4АП2 СОЧНАЯ КЛУБНИКА</t>
  </si>
  <si>
    <t>https://www.oreht.ru/modules.php?name=orehtPriceLS&amp;op=Search&amp;page=1&amp;stext=333263</t>
  </si>
  <si>
    <t>Кастрюля LARA (нерж) VIVA 22x12,5см 4.1л, носик, индукционное дно, крышка с бортом (LR02-313)</t>
  </si>
  <si>
    <t xml:space="preserve">1803,8 </t>
  </si>
  <si>
    <t>https://www.oreht.ru/modules.php?name=orehtPriceLS&amp;op=Search&amp;page=1&amp;stext=402602</t>
  </si>
  <si>
    <t>Кастрюля 6л со стеклянной крышкой, АП линия "Trendy style" ( malachite) "Kukmara" к61tsml</t>
  </si>
  <si>
    <t xml:space="preserve">1705,4 </t>
  </si>
  <si>
    <t>https://www.oreht.ru/modules.php?name=orehtPriceLS&amp;op=Search&amp;page=1&amp;stext=139353</t>
  </si>
  <si>
    <t>Соковарка 8л арт.18062 "КАЛИТВА"</t>
  </si>
  <si>
    <t xml:space="preserve">1800 </t>
  </si>
  <si>
    <t>https://www.oreht.ru/modules.php?name=orehtPriceLS&amp;op=Search&amp;page=1&amp;stext=401991</t>
  </si>
  <si>
    <t>Арабеска Чайник 2,2л со стекл. кр. арт.8952В (8955) (INTEROS)</t>
  </si>
  <si>
    <t xml:space="preserve">1798,6 </t>
  </si>
  <si>
    <t>https://www.oreht.ru/modules.php?name=orehtPriceLS&amp;op=Search&amp;page=1&amp;stext=123686</t>
  </si>
  <si>
    <t>Пион Чайник 2,2 л.*6 арт.2545 (INTEROS)</t>
  </si>
  <si>
    <t xml:space="preserve">1682,6 </t>
  </si>
  <si>
    <t>https://www.oreht.ru/modules.php?name=orehtPriceLS&amp;op=Search&amp;page=1&amp;stext=383583</t>
  </si>
  <si>
    <t>Набор "ЖЕЛТЫЕ НАРЦИССЫ -1- ЭКСТРА" пр-во ООО "КМК"</t>
  </si>
  <si>
    <t xml:space="preserve">1797 </t>
  </si>
  <si>
    <t>https://www.oreht.ru/modules.php?name=orehtPriceLS&amp;op=Search&amp;page=1&amp;stext=359741</t>
  </si>
  <si>
    <t>Глубокая кастрюля Эксклюзив с стекл. крышкой. (Одуванчик, Эксклюзив, 340952,5,7,22), 2945</t>
  </si>
  <si>
    <t>https://www.oreht.ru/modules.php?name=orehtPriceLS&amp;op=Search&amp;page=1&amp;stext=148831</t>
  </si>
  <si>
    <t>Мохито Чайник 2,2 л.*6 3033 (INTEROS)</t>
  </si>
  <si>
    <t xml:space="preserve">1677,6 </t>
  </si>
  <si>
    <t>https://www.oreht.ru/modules.php?name=orehtPriceLS&amp;op=Search&amp;page=1&amp;stext=249446</t>
  </si>
  <si>
    <t>Столовый набор 19предметов ЗЕЛИ арт. L4123</t>
  </si>
  <si>
    <t>https://www.oreht.ru/modules.php?name=orehtPriceLS&amp;op=Search&amp;page=1&amp;stext=298278</t>
  </si>
  <si>
    <t>Рандеву Чайник 2,2 л. со стекл. кр. 1154 (INTEROS)</t>
  </si>
  <si>
    <t xml:space="preserve">1684,2 </t>
  </si>
  <si>
    <t>https://www.oreht.ru/modules.php?name=orehtPriceLS&amp;op=Search&amp;page=1&amp;stext=317019</t>
  </si>
  <si>
    <t>Набор "Рукодельница" 2-3191/4 г. Магнитогорск</t>
  </si>
  <si>
    <t>https://www.oreht.ru/modules.php?name=orehtPriceLS&amp;op=Search&amp;page=1&amp;stext=425187</t>
  </si>
  <si>
    <t>Набор из 6 обеденных тарелок 24.5см. TEKITO в под.уп.(х3)Фарфор арт.133-010</t>
  </si>
  <si>
    <t>https://www.oreht.ru/modules.php?name=orehtPriceLS&amp;op=Search&amp;page=1&amp;stext=372077</t>
  </si>
  <si>
    <t>Набор ножей agness на пластиковой подставке, 6 предметов 911-679</t>
  </si>
  <si>
    <t xml:space="preserve">1792,3 </t>
  </si>
  <si>
    <t>https://www.oreht.ru/modules.php?name=orehtPriceLS&amp;op=Search&amp;page=1&amp;stext=422673</t>
  </si>
  <si>
    <t>Хлебница agness деревянная с комбинированной крышкой 36*26*20 см 938-068</t>
  </si>
  <si>
    <t xml:space="preserve">1340,5 </t>
  </si>
  <si>
    <t>https://www.oreht.ru/modules.php?name=orehtPriceLS&amp;op=Search&amp;page=1&amp;stext=448740</t>
  </si>
  <si>
    <t>Хлебница agness деревянная с комбинированной крышкой 36*26*20 см 938-069</t>
  </si>
  <si>
    <t>https://www.oreht.ru/modules.php?name=orehtPriceLS&amp;op=Search&amp;page=1&amp;stext=358994</t>
  </si>
  <si>
    <t>Кастрюля 6л со стеклянной крышкой, АП линия "Trendy style" (mystery) "Kukmara" к61tsm</t>
  </si>
  <si>
    <t xml:space="preserve">1701,8 </t>
  </si>
  <si>
    <t>https://www.oreht.ru/modules.php?name=orehtPriceLS&amp;op=Search&amp;page=1&amp;stext=401967</t>
  </si>
  <si>
    <t>Набор "АДАЖИО - 5 - 1 ЛЮКС" пр-во ООО "КМК"</t>
  </si>
  <si>
    <t xml:space="preserve">1793 </t>
  </si>
  <si>
    <t>https://www.oreht.ru/modules.php?name=orehtPriceLS&amp;op=Search&amp;page=1&amp;stext=321686</t>
  </si>
  <si>
    <t>Сковорода 24 см Sandy RDA-1008 (BN) (Rondell)</t>
  </si>
  <si>
    <t xml:space="preserve">1847 </t>
  </si>
  <si>
    <t>https://www.oreht.ru/modules.php?name=orehtPriceLS&amp;op=Search&amp;page=1&amp;stext=395559</t>
  </si>
  <si>
    <t>Кастрюля agness "Fantasy "со стеклянной крышкой, нерж.сталь, 3,5л 20х11 см 916-302</t>
  </si>
  <si>
    <t xml:space="preserve">1417,5 </t>
  </si>
  <si>
    <t>https://www.oreht.ru/modules.php?name=orehtPriceLS&amp;op=Search&amp;page=1&amp;stext=282924</t>
  </si>
  <si>
    <t>АП Сковорода-гриль квадратная 280х280мм со съемн. ручкой, линия "Традиция" "Kukmara" сгк281а</t>
  </si>
  <si>
    <t xml:space="preserve">1782,7 </t>
  </si>
  <si>
    <t>https://www.oreht.ru/modules.php?name=orehtPriceLS&amp;op=Search&amp;page=1&amp;stext=357869</t>
  </si>
  <si>
    <t>Сковорода а/п литая 24 см с индукционным дном, съем/ручка (цвет:серый) МАРУСЯ арт.911-24</t>
  </si>
  <si>
    <t xml:space="preserve">1781,6 </t>
  </si>
  <si>
    <t>https://www.oreht.ru/modules.php?name=orehtPriceLS&amp;op=Search&amp;page=1&amp;stext=371541</t>
  </si>
  <si>
    <t>Сковорода 240мм с ручкой, стекл.крышкой, АП линия "Granit ultra" (original) "Kukmara" сго241а</t>
  </si>
  <si>
    <t xml:space="preserve">1297,1 </t>
  </si>
  <si>
    <t>https://www.oreht.ru/modules.php?name=orehtPriceLS&amp;op=Search&amp;page=1&amp;stext=394778</t>
  </si>
  <si>
    <t>Сковорода 28см АП "Premium" (mokko) со съемной ручкой и стекл. крышкой арт. с028902</t>
  </si>
  <si>
    <t xml:space="preserve">1639,1 </t>
  </si>
  <si>
    <t>https://www.oreht.ru/modules.php?name=orehtPriceLS&amp;op=Search&amp;page=1&amp;stext=381130</t>
  </si>
  <si>
    <t>Набор "БЕЛЫЙ ГОРОХ - 1 ЛЮКС" пр-во ООО "КМК"</t>
  </si>
  <si>
    <t xml:space="preserve">1776,7 </t>
  </si>
  <si>
    <t>https://www.oreht.ru/modules.php?name=orehtPriceLS&amp;op=Search&amp;page=1&amp;stext=282921</t>
  </si>
  <si>
    <t>АП Кастрюля-Жаровня 5л со ст. крышкой, (светлый мрамор) "Kukmara" жмс52а</t>
  </si>
  <si>
    <t xml:space="preserve">1772,5 </t>
  </si>
  <si>
    <t>https://www.oreht.ru/modules.php?name=orehtPriceLS&amp;op=Search&amp;page=1&amp;stext=299907</t>
  </si>
  <si>
    <t>Tramontina Universal Нож кухонный 18см 22902/007 (871-305)</t>
  </si>
  <si>
    <t xml:space="preserve">1992 </t>
  </si>
  <si>
    <t>https://www.oreht.ru/modules.php?name=orehtPriceLS&amp;op=Search&amp;page=1&amp;stext=227650</t>
  </si>
  <si>
    <t>Чайник эмалированный 4,0 л. 934-317 роза</t>
  </si>
  <si>
    <t>https://www.oreht.ru/modules.php?name=orehtPriceLS&amp;op=Search&amp;page=1&amp;stext=109238</t>
  </si>
  <si>
    <t>Набор "НИКОЛЬ-1" пр-во ООО "КМК"</t>
  </si>
  <si>
    <t xml:space="preserve">1772,2 </t>
  </si>
  <si>
    <t>https://www.oreht.ru/modules.php?name=orehtPriceLS&amp;op=Search&amp;page=1&amp;stext=303256</t>
  </si>
  <si>
    <t>Набор "ВИШНЕВЫЙ САД-3" пр-во ООО "КМК"</t>
  </si>
  <si>
    <t>https://www.oreht.ru/modules.php?name=orehtPriceLS&amp;op=Search&amp;page=1&amp;stext=224101</t>
  </si>
  <si>
    <t>Набор "АБРИКОС - ЭКСТРА" пр-во ООО "КМК"</t>
  </si>
  <si>
    <t xml:space="preserve">1765,6 </t>
  </si>
  <si>
    <t>https://www.oreht.ru/modules.php?name=orehtPriceLS&amp;op=Search&amp;page=1&amp;stext=303264</t>
  </si>
  <si>
    <t>Набор "КАПУЧИНО-1" пр-во ООО "КМК"</t>
  </si>
  <si>
    <t xml:space="preserve">1769,2 </t>
  </si>
  <si>
    <t>https://www.oreht.ru/modules.php?name=orehtPriceLS&amp;op=Search&amp;page=1&amp;stext=202271</t>
  </si>
  <si>
    <t>Сковорода 26x4,7см Lumiere Rondell RDA-594 (GY) (Rondell)</t>
  </si>
  <si>
    <t xml:space="preserve">1770 </t>
  </si>
  <si>
    <t>https://www.oreht.ru/modules.php?name=orehtPriceLS&amp;op=Search&amp;page=1&amp;stext=116432</t>
  </si>
  <si>
    <t>Столовый набор 18 предметов ДИРЕКТОР БЕЛЫЙ арт.G0566</t>
  </si>
  <si>
    <t xml:space="preserve">1733,8 </t>
  </si>
  <si>
    <t>https://www.oreht.ru/modules.php?name=orehtPriceLS&amp;op=Search&amp;page=1&amp;stext=430886</t>
  </si>
  <si>
    <t>Чайник agness со свистком, 3л c индукцион. капсульным дном цвет: дымчатый серый 937-843</t>
  </si>
  <si>
    <t xml:space="preserve">1643,5 </t>
  </si>
  <si>
    <t>https://www.oreht.ru/modules.php?name=orehtPriceLS&amp;op=Search&amp;page=1&amp;stext=418490</t>
  </si>
  <si>
    <t>Блюдо-звезда lefard "Елка" 23х7 см зеленое 85-1743</t>
  </si>
  <si>
    <t>https://www.oreht.ru/modules.php?name=orehtPriceLS&amp;op=Search&amp;page=1&amp;stext=382818</t>
  </si>
  <si>
    <t>Блюдо-звезда lefard "С новым годом!"дед мороз 23х23х7 см красное 85-1635</t>
  </si>
  <si>
    <t>https://www.oreht.ru/modules.php?name=orehtPriceLS&amp;op=Search&amp;page=1&amp;stext=230670</t>
  </si>
  <si>
    <t>Светодиодный сетка KOC_NET240LED_RGB (240 свет, мультиколор, 1,8*1,7м, 8 режимов) KOC_NET240LED_RGB</t>
  </si>
  <si>
    <t xml:space="preserve">1075 </t>
  </si>
  <si>
    <t>https://www.oreht.ru/modules.php?name=orehtPriceLS&amp;op=Search&amp;page=1&amp;stext=139957</t>
  </si>
  <si>
    <t>Ель "Московская" выс. 1,0м. арт. 0310</t>
  </si>
  <si>
    <t>https://www.oreht.ru/modules.php?name=orehtPriceLS&amp;op=Search&amp;page=1&amp;stext=418487</t>
  </si>
  <si>
    <t>Блюдо lefard "Дед мороз и снегурочка" 26 см красное 85-1738</t>
  </si>
  <si>
    <t>https://www.oreht.ru/modules.php?name=orehtPriceLS&amp;op=Search&amp;page=1&amp;stext=418488</t>
  </si>
  <si>
    <t>Блюдо lefard "Дед мороз" 26 см зеленое 85-1739</t>
  </si>
  <si>
    <t>https://www.oreht.ru/modules.php?name=orehtPriceLS&amp;op=Search&amp;page=1&amp;stext=417464</t>
  </si>
  <si>
    <t>Бахрома светодиодная с эффектом мерцания ULD-B3007-200/TTK BLUE-WHITE IP44 (UL-00007210)</t>
  </si>
  <si>
    <t>https://www.oreht.ru/modules.php?name=orehtPriceLS&amp;op=Search&amp;page=1&amp;stext=453296</t>
  </si>
  <si>
    <t>Блюдо-елка lefard "Елка" 25х21х4 см зеленое 85-1615</t>
  </si>
  <si>
    <t xml:space="preserve">977,6 </t>
  </si>
  <si>
    <t>https://www.oreht.ru/modules.php?name=orehtPriceLS&amp;op=Search&amp;page=1&amp;stext=453277</t>
  </si>
  <si>
    <t>Салатник 30*26*6 см. 358-1935</t>
  </si>
  <si>
    <t>https://www.oreht.ru/modules.php?name=orehtPriceLS&amp;op=Search&amp;page=1&amp;stext=453260</t>
  </si>
  <si>
    <t>Блюдо для блинов коллекция "Christmas gift" 23*10 см 230-428</t>
  </si>
  <si>
    <t>https://www.oreht.ru/modules.php?name=orehtPriceLS&amp;op=Search&amp;page=1&amp;stext=417465</t>
  </si>
  <si>
    <t>Бахрома светодиодная с эффектом мерцания ULD-B3010-200/TTK WARMWHITE-WHITE IP44 (UL-00003949)</t>
  </si>
  <si>
    <t>https://www.oreht.ru/modules.php?name=orehtPriceLS&amp;op=Search&amp;page=1&amp;stext=227133</t>
  </si>
  <si>
    <t>Диско-лампа с МР3 KOCNL_EL145_music КОСМОС</t>
  </si>
  <si>
    <t>https://www.oreht.ru/modules.php?name=orehtPriceLS&amp;op=Search&amp;page=1&amp;stext=381197</t>
  </si>
  <si>
    <t>Ель "Холидей" выс. 0,9м. арт. 4109</t>
  </si>
  <si>
    <t>https://www.oreht.ru/modules.php?name=orehtPriceLS&amp;op=Search&amp;page=1&amp;stext=418493</t>
  </si>
  <si>
    <t>Менажница-елка lefard "Дед мороз и снегурочка" 24х24х3 см красная 85-1748</t>
  </si>
  <si>
    <t>https://www.oreht.ru/modules.php?name=orehtPriceLS&amp;op=Search&amp;page=1&amp;stext=453303</t>
  </si>
  <si>
    <t>Блюдо-елка lefard "Дед мороз" 25х21х4 см зеленое 85-1755</t>
  </si>
  <si>
    <t xml:space="preserve">890,3 </t>
  </si>
  <si>
    <t>https://www.oreht.ru/modules.php?name=orehtPriceLS&amp;op=Search&amp;page=1&amp;stext=453302</t>
  </si>
  <si>
    <t>Блюдо-елка lefard "Дед мороз" 25х21х4 см красное 85-1754</t>
  </si>
  <si>
    <t>https://www.oreht.ru/modules.php?name=orehtPriceLS&amp;op=Search&amp;page=1&amp;stext=385319</t>
  </si>
  <si>
    <t>Блюдо "Русская тройка" 30х19х4 см. 85-1646</t>
  </si>
  <si>
    <t>https://www.oreht.ru/modules.php?name=orehtPriceLS&amp;op=Search&amp;page=1&amp;stext=453298</t>
  </si>
  <si>
    <t>Блюдо lefard "Дед мороз и снегурочка" прямоуг. 30х19х4см красное 85-1725</t>
  </si>
  <si>
    <t>https://www.oreht.ru/modules.php?name=orehtPriceLS&amp;op=Search&amp;page=1&amp;stext=418486</t>
  </si>
  <si>
    <t>Блюдо lefard "Тройка" 26 см красное 85-1737</t>
  </si>
  <si>
    <t>https://www.oreht.ru/modules.php?name=orehtPriceLS&amp;op=Search&amp;page=1&amp;stext=417520</t>
  </si>
  <si>
    <t>Сетка светодиодная ULD-N2520-240/STA WHITE IP20 240 светодиодов, 2.5х2 м, белая, IP20 07937</t>
  </si>
  <si>
    <t>https://www.oreht.ru/modules.php?name=orehtPriceLS&amp;op=Search&amp;page=1&amp;stext=418492</t>
  </si>
  <si>
    <t>Блюдо-звезда lefard "Дед мороз" 28х28х5 см зеленое 85-1746</t>
  </si>
  <si>
    <t>https://www.oreht.ru/modules.php?name=orehtPriceLS&amp;op=Search&amp;page=1&amp;stext=418479</t>
  </si>
  <si>
    <t>Блюдо-звезда lefard "Дед мороз" 28х28х5 см красное 85-1634</t>
  </si>
  <si>
    <t>https://www.oreht.ru/modules.php?name=orehtPriceLS&amp;op=Search&amp;page=1&amp;stext=422433</t>
  </si>
  <si>
    <t>Пакет с петлевой ручкой 44х42+6 (70) Тико НГ (Подарки в елках) ПТЛ42256</t>
  </si>
  <si>
    <t>https://www.oreht.ru/modules.php?name=orehtPriceLS&amp;op=Search&amp;page=1&amp;stext=417488</t>
  </si>
  <si>
    <t>Гирлянда светодиодная с контроллером ULD-S0600-400/DTA WHITE IP20 FIRECRA «Фейерверк», 6м. 5479</t>
  </si>
  <si>
    <t>https://www.oreht.ru/modules.php?name=orehtPriceLS&amp;op=Search&amp;page=1&amp;stext=417505</t>
  </si>
  <si>
    <t>Занавес светодиодный с контроллером ULD-C1515-160/DTA MULTI IP20 1,5х1,5м. 160 свет. UL-00005268</t>
  </si>
  <si>
    <t>https://www.oreht.ru/modules.php?name=orehtPriceLS&amp;op=Search&amp;page=1&amp;stext=418480</t>
  </si>
  <si>
    <t>Блюдо lefard "Дед мороз и снегурочка"фигурное 25х15х3,5см красное 85-1644</t>
  </si>
  <si>
    <t xml:space="preserve">684,8 </t>
  </si>
  <si>
    <t>https://www.oreht.ru/modules.php?name=orehtPriceLS&amp;op=Search&amp;page=1&amp;stext=456034</t>
  </si>
  <si>
    <t>Набор посуды lefard моя радость, 3 пр.: салатник 470мл, тарелка 20см, кружка 220мл 260-686</t>
  </si>
  <si>
    <t>https://www.oreht.ru/modules.php?name=orehtPriceLS&amp;op=Search&amp;page=1&amp;stext=456030</t>
  </si>
  <si>
    <t>Набор посуды lefard самый отважный, 3 пр.: салатник 470мл, тарелка 20см, кружка 220мл 260-678</t>
  </si>
  <si>
    <t xml:space="preserve">656,6 </t>
  </si>
  <si>
    <t>https://www.oreht.ru/modules.php?name=orehtPriceLS&amp;op=Search&amp;page=1&amp;stext=418482</t>
  </si>
  <si>
    <t>Блюдо lefard "Тройка" овальное 25х19,5х4,5см красное 85-1648</t>
  </si>
  <si>
    <t>https://www.oreht.ru/modules.php?name=orehtPriceLS&amp;op=Search&amp;page=1&amp;stext=418489</t>
  </si>
  <si>
    <t>Блюдо-звезда lefard "Елка" 26х5см 85-1741</t>
  </si>
  <si>
    <t>https://www.oreht.ru/modules.php?name=orehtPriceLS&amp;op=Search&amp;page=1&amp;stext=305186</t>
  </si>
  <si>
    <t>Пакет с петлевой ручкой 60х50+6 (70) Интерпак НГ (Старинные часы) ПТЛ38304</t>
  </si>
  <si>
    <t>https://www.oreht.ru/modules.php?name=orehtPriceLS&amp;op=Search&amp;page=1&amp;stext=420436</t>
  </si>
  <si>
    <t>Тортовница вращающаяся диаметр=32 см.высота=3 см. 357-229</t>
  </si>
  <si>
    <t xml:space="preserve">619,8 </t>
  </si>
  <si>
    <t>https://www.oreht.ru/modules.php?name=orehtPriceLS&amp;op=Search&amp;page=1&amp;stext=420438</t>
  </si>
  <si>
    <t>Тортовница вращающаяся диаметр=32 см.высота=3 см. 357-231</t>
  </si>
  <si>
    <t>https://www.oreht.ru/modules.php?name=orehtPriceLS&amp;op=Search&amp;page=1&amp;stext=453266</t>
  </si>
  <si>
    <t>Блюдо-шубница "С новым годом!" 29*25*4,5 см. 358-1655</t>
  </si>
  <si>
    <t>https://www.oreht.ru/modules.php?name=orehtPriceLS&amp;op=Search&amp;page=1&amp;stext=452108</t>
  </si>
  <si>
    <t>Емкость для сыпучих продуктов "Гермелин" 14*14 см. высота=19 см / 950 мл 782-212</t>
  </si>
  <si>
    <t>https://www.oreht.ru/modules.php?name=orehtPriceLS&amp;op=Search&amp;page=1&amp;stext=417523</t>
  </si>
  <si>
    <t>Сетка светодиодная с эффектом мерцания ULD-N1515-96/TTK MULTI IP44 1,5х1,5м. UL-00007218</t>
  </si>
  <si>
    <t>https://www.oreht.ru/modules.php?name=orehtPriceLS&amp;op=Search&amp;page=1&amp;stext=453280</t>
  </si>
  <si>
    <t>Масленка 20*12,5*10,5 см. 358-1949</t>
  </si>
  <si>
    <t xml:space="preserve">595,8 </t>
  </si>
  <si>
    <t>https://www.oreht.ru/modules.php?name=orehtPriceLS&amp;op=Search&amp;page=1&amp;stext=417577</t>
  </si>
  <si>
    <t>Пакет с петлевой ручкой 60х50+11 (60) Тико НГ (Яркие подарки) ПТЛ49710</t>
  </si>
  <si>
    <t>https://www.oreht.ru/modules.php?name=orehtPriceLS&amp;op=Search&amp;page=1&amp;stext=451465</t>
  </si>
  <si>
    <t>Тарелка lefard winter story сервировочная, 29*24см 260-734</t>
  </si>
  <si>
    <t xml:space="preserve">580,4 </t>
  </si>
  <si>
    <t>https://www.oreht.ru/modules.php?name=orehtPriceLS&amp;op=Search&amp;page=1&amp;stext=418475</t>
  </si>
  <si>
    <t>Тарелка сервировочная lefard торжество 29*24*2,5см 260-624</t>
  </si>
  <si>
    <t>https://www.oreht.ru/modules.php?name=orehtPriceLS&amp;op=Search&amp;page=1&amp;stext=418481</t>
  </si>
  <si>
    <t>Блюдо lefard "Тройка" фигурное 25х15х3,5см красное 85-1647</t>
  </si>
  <si>
    <t>https://www.oreht.ru/modules.php?name=orehtPriceLS&amp;op=Search&amp;page=1&amp;stext=453306</t>
  </si>
  <si>
    <t>Чайный набор lefard winter story 380мл 97-663</t>
  </si>
  <si>
    <t>https://www.oreht.ru/modules.php?name=orehtPriceLS&amp;op=Search&amp;page=1&amp;stext=453268</t>
  </si>
  <si>
    <t>Блюдо "С новым годом!" 25,5*19,5*3,5 см. 358-1659</t>
  </si>
  <si>
    <t xml:space="preserve">475,7 </t>
  </si>
  <si>
    <t>https://www.oreht.ru/modules.php?name=orehtPriceLS&amp;op=Search&amp;page=1&amp;stext=453301</t>
  </si>
  <si>
    <t>Блюдо-звезда lefard "Дед мороз" 17х4 см 85-1742</t>
  </si>
  <si>
    <t>https://www.oreht.ru/modules.php?name=orehtPriceLS&amp;op=Search&amp;page=1&amp;stext=453295</t>
  </si>
  <si>
    <t>Блюдо-звезда lefard "Елка" 17х4 см красное 85-1601</t>
  </si>
  <si>
    <t>https://www.oreht.ru/modules.php?name=orehtPriceLS&amp;op=Search&amp;page=1&amp;stext=382814</t>
  </si>
  <si>
    <t>Блюдо-звезда lefard "С новым годом!" дед мороз 17х4 см зеленое 85-1625</t>
  </si>
  <si>
    <t xml:space="preserve">539,3 </t>
  </si>
  <si>
    <t>https://www.oreht.ru/modules.php?name=orehtPriceLS&amp;op=Search&amp;page=1&amp;stext=381827</t>
  </si>
  <si>
    <t>Пакет с вырубной ручкой 31х40 (60) Тико НГ ламинация (Три бельчонка) ВУР35179</t>
  </si>
  <si>
    <t>https://www.oreht.ru/modules.php?name=orehtPriceLS&amp;op=Search&amp;page=1&amp;stext=456423</t>
  </si>
  <si>
    <t>Пакет с вырубной ручкой 31х40 (60) Тико НГ ламинация (Мандарины) ВУР53311</t>
  </si>
  <si>
    <t>https://www.oreht.ru/modules.php?name=orehtPriceLS&amp;op=Search&amp;page=1&amp;stext=453258</t>
  </si>
  <si>
    <t>Чайник заварочный коллекция "Christmas gift" 20x13x13.7 см 230-411</t>
  </si>
  <si>
    <t>https://www.oreht.ru/modules.php?name=orehtPriceLS&amp;op=Search&amp;page=1&amp;stext=417463</t>
  </si>
  <si>
    <t>Бахрома светодиодная с эффектом мерцания ULD-B2007-100/TTK WHITE IP44 (UL-00007209)</t>
  </si>
  <si>
    <t>https://www.oreht.ru/modules.php?name=orehtPriceLS&amp;op=Search&amp;page=1&amp;stext=453265</t>
  </si>
  <si>
    <t>Блюдо-шубница "С новым годом!" 28*17*5 см. 358-1653</t>
  </si>
  <si>
    <t>https://www.oreht.ru/modules.php?name=orehtPriceLS&amp;op=Search&amp;page=1&amp;stext=382820</t>
  </si>
  <si>
    <t>Салатник lefard "С новым годом!" дед мороз 15,5х15,5х5 см зеленый 85-1642</t>
  </si>
  <si>
    <t>https://www.oreht.ru/modules.php?name=orehtPriceLS&amp;op=Search&amp;page=1&amp;stext=422729</t>
  </si>
  <si>
    <t>Салатник 23*19,5*5 см. 358-1934</t>
  </si>
  <si>
    <t>https://www.oreht.ru/modules.php?name=orehtPriceLS&amp;op=Search&amp;page=1&amp;stext=453273</t>
  </si>
  <si>
    <t>Чайник заварочный "Зимняя забава" 22,5*13,5*14,5 см. / 900 мл. 358-1680</t>
  </si>
  <si>
    <t>https://www.oreht.ru/modules.php?name=orehtPriceLS&amp;op=Search&amp;page=1&amp;stext=453267</t>
  </si>
  <si>
    <t>Блюдо "С новым годом!" 23*20*2 см. 358-1657</t>
  </si>
  <si>
    <t xml:space="preserve">422,9 </t>
  </si>
  <si>
    <t>https://www.oreht.ru/modules.php?name=orehtPriceLS&amp;op=Search&amp;page=1&amp;stext=382781</t>
  </si>
  <si>
    <t>Тортовница вращающаяся "Christmas collection" диаметр=32 см высота=3 см 357-201</t>
  </si>
  <si>
    <t>https://www.oreht.ru/modules.php?name=orehtPriceLS&amp;op=Search&amp;page=1&amp;stext=453255</t>
  </si>
  <si>
    <t>Блюдо на ножке коллекция "Рождественская сказка" диаметр 25 см 198-175</t>
  </si>
  <si>
    <t xml:space="preserve">477,1 </t>
  </si>
  <si>
    <t>https://www.oreht.ru/modules.php?name=orehtPriceLS&amp;op=Search&amp;page=1&amp;stext=417528</t>
  </si>
  <si>
    <t>Фонарь со светодиодной гирляндой внутри ULD-L1122-010/DTB/RGB/3D BLACK UL-00002311</t>
  </si>
  <si>
    <t xml:space="preserve">470 </t>
  </si>
  <si>
    <t>https://www.oreht.ru/modules.php?name=orehtPriceLS&amp;op=Search&amp;page=1&amp;stext=453259</t>
  </si>
  <si>
    <t>Масленка/сырница коллекция "Christmas gift" 16x13x11.5 см 230-414</t>
  </si>
  <si>
    <t xml:space="preserve">465,7 </t>
  </si>
  <si>
    <t>https://www.oreht.ru/modules.php?name=orehtPriceLS&amp;op=Search&amp;page=1&amp;stext=381830</t>
  </si>
  <si>
    <t>Пакет с вырубной ручкой 31х40 (60) Интерпак НГ ламинация (Ледяной бисер) ВУР35171</t>
  </si>
  <si>
    <t>https://www.oreht.ru/modules.php?name=orehtPriceLS&amp;op=Search&amp;page=1&amp;stext=453440</t>
  </si>
  <si>
    <t>Пакет с вырубной ручкой 31х40 (60) Интерпак НГ ламинация (Ушастик) ВУР53425</t>
  </si>
  <si>
    <t>https://www.oreht.ru/modules.php?name=orehtPriceLS&amp;op=Search&amp;page=1&amp;stext=226815</t>
  </si>
  <si>
    <t>Пакет с вырубной усил ручкой 31х40 (60) НГ Интерпак ламинация (Дед Мороз и Снегурочка) ВУР17232</t>
  </si>
  <si>
    <t xml:space="preserve">465 </t>
  </si>
  <si>
    <t>https://www.oreht.ru/modules.php?name=orehtPriceLS&amp;op=Search&amp;page=1&amp;stext=453270</t>
  </si>
  <si>
    <t>Блюдо "С новым годом!" 25*25*3,5 см. 358-1667</t>
  </si>
  <si>
    <t xml:space="preserve">462,3 </t>
  </si>
  <si>
    <t>https://www.oreht.ru/modules.php?name=orehtPriceLS&amp;op=Search&amp;page=1&amp;stext=453271</t>
  </si>
  <si>
    <t>Масленка "Зимняя забава" 20*12,5*10,5 см. 358-1673</t>
  </si>
  <si>
    <t xml:space="preserve">452 </t>
  </si>
  <si>
    <t>https://www.oreht.ru/modules.php?name=orehtPriceLS&amp;op=Search&amp;page=1&amp;stext=348727</t>
  </si>
  <si>
    <t>Пакет с вырубной ручкой 40х47+6 (45) Интерпак НГ (Новогодние игрушки) ВУР19699</t>
  </si>
  <si>
    <t>https://www.oreht.ru/modules.php?name=orehtPriceLS&amp;op=Search&amp;page=1&amp;stext=418483</t>
  </si>
  <si>
    <t>Тарелка обеденная lefard "Тройка" 26см красная 85-1709</t>
  </si>
  <si>
    <t>https://www.oreht.ru/modules.php?name=orehtPriceLS&amp;op=Search&amp;page=1&amp;stext=453435</t>
  </si>
  <si>
    <t>Пакет с вырубной ручкой 31х40+6 (60) Тико НГ глянец (Новогодняя компания) ВУР53333</t>
  </si>
  <si>
    <t xml:space="preserve">440 </t>
  </si>
  <si>
    <t>https://www.oreht.ru/modules.php?name=orehtPriceLS&amp;op=Search&amp;page=1&amp;stext=453436</t>
  </si>
  <si>
    <t>Пакет с вырубной ручкой 31х40+6 (60) Тико НГ глянец (Шарики и фонарики) ВУР53334</t>
  </si>
  <si>
    <t>https://www.oreht.ru/modules.php?name=orehtPriceLS&amp;op=Search&amp;page=1&amp;stext=453283</t>
  </si>
  <si>
    <t>Кружка lefard "Лесная сказка" заяц 450 мл 409-162</t>
  </si>
  <si>
    <t>https://www.oreht.ru/modules.php?name=orehtPriceLS&amp;op=Search&amp;page=1&amp;stext=453421</t>
  </si>
  <si>
    <t>Пакет с петлевой ручкой 43,5х38 (35) Тико НГ (Пернатые гости) ПТЛ53342</t>
  </si>
  <si>
    <t>https://www.oreht.ru/modules.php?name=orehtPriceLS&amp;op=Search&amp;page=1&amp;stext=453276</t>
  </si>
  <si>
    <t>Емкость для сыпучих продуктов 10*10*14 см. / 600 мл. 358-1927</t>
  </si>
  <si>
    <t xml:space="preserve">426,3 </t>
  </si>
  <si>
    <t>https://www.oreht.ru/modules.php?name=orehtPriceLS&amp;op=Search&amp;page=1&amp;stext=348720</t>
  </si>
  <si>
    <t>Пакет с петлевой ручкой 60х50+6 (70) Интерпак НГ (Оранжевое настроение) ПТЛ42036</t>
  </si>
  <si>
    <t xml:space="preserve">635 </t>
  </si>
  <si>
    <t>https://www.oreht.ru/modules.php?name=orehtPriceLS&amp;op=Search&amp;page=1&amp;stext=453269</t>
  </si>
  <si>
    <t>Блюдо "С новым годом!" 25*25*2 см. 358-1665</t>
  </si>
  <si>
    <t>https://www.oreht.ru/modules.php?name=orehtPriceLS&amp;op=Search&amp;page=1&amp;stext=417578</t>
  </si>
  <si>
    <t>Пакет с петлевой ручкой 44х44+3 (70) Интерпак НГ (Забота) ПТЛ26073</t>
  </si>
  <si>
    <t>https://www.oreht.ru/modules.php?name=orehtPriceLS&amp;op=Search&amp;page=1&amp;stext=423077</t>
  </si>
  <si>
    <t>Фонарь со светодиодной гирляндой внутри, на батарейке ULD-L1220-010/DTB/RGB BLACK UL-00002309</t>
  </si>
  <si>
    <t xml:space="preserve">406 </t>
  </si>
  <si>
    <t>https://www.oreht.ru/modules.php?name=orehtPriceLS&amp;op=Search&amp;page=1&amp;stext=417499</t>
  </si>
  <si>
    <t>Гирлянда светодиодная ULD-E0200-200/STA MULTI IP44 «Лучи росы» 2м. UL-00007284</t>
  </si>
  <si>
    <t>https://www.oreht.ru/modules.php?name=orehtPriceLS&amp;op=Search&amp;page=1&amp;stext=417547</t>
  </si>
  <si>
    <t>Фонарь со светодиодной гирляндой внутри ULD-L1220-012/TTB/WW WHITE UL-00002310</t>
  </si>
  <si>
    <t>https://www.oreht.ru/modules.php?name=orehtPriceLS&amp;op=Search&amp;page=1&amp;stext=417504</t>
  </si>
  <si>
    <t>Занавес светодиодный со статическим свечением ULD-C1510-100/STA WARM WHITE IP44 07249</t>
  </si>
  <si>
    <t xml:space="preserve">374 </t>
  </si>
  <si>
    <t>https://www.oreht.ru/modules.php?name=orehtPriceLS&amp;op=Search&amp;page=1&amp;stext=263829</t>
  </si>
  <si>
    <t>Венок Новогодний SYCB17-179 32 см арт.102009</t>
  </si>
  <si>
    <t>https://www.oreht.ru/modules.php?name=orehtPriceLS&amp;op=Search&amp;page=1&amp;stext=417576</t>
  </si>
  <si>
    <t>Пакет с петлевой ручкой 42х38 (37) Тико НГ (ПНД) (Коньки) ПТЛ49686</t>
  </si>
  <si>
    <t>https://www.oreht.ru/modules.php?name=orehtPriceLS&amp;op=Search&amp;page=1&amp;stext=453278</t>
  </si>
  <si>
    <t>Блюдо 21*15,5*3 см. 358-1941</t>
  </si>
  <si>
    <t xml:space="preserve">360,4 </t>
  </si>
  <si>
    <t>https://www.oreht.ru/modules.php?name=orehtPriceLS&amp;op=Search&amp;page=1&amp;stext=417480</t>
  </si>
  <si>
    <t>Гирлянда светодиодная ULD-S2000-200/DGA WHITE IP20 20м. 200 светодиодов. Белый свет. (UL-00007309)</t>
  </si>
  <si>
    <t xml:space="preserve">382 </t>
  </si>
  <si>
    <t>https://www.oreht.ru/modules.php?name=orehtPriceLS&amp;op=Search&amp;page=1&amp;stext=453432</t>
  </si>
  <si>
    <t>Пакет с вырубной ручкой 38х45+3 (50) Артпласт НГ (Ночной полет) ВУР50038</t>
  </si>
  <si>
    <t>https://www.oreht.ru/modules.php?name=orehtPriceLS&amp;op=Search&amp;page=1&amp;stext=263679</t>
  </si>
  <si>
    <t>Светильник акриловый "Дедушка мороз и подарки" (003147)</t>
  </si>
  <si>
    <t>https://www.oreht.ru/modules.php?name=orehtPriceLS&amp;op=Search&amp;page=1&amp;stext=453287</t>
  </si>
  <si>
    <t>Кружка с силиконовой крышкой "Лесная сказка" 340 мл 756-211</t>
  </si>
  <si>
    <t xml:space="preserve">343,3 </t>
  </si>
  <si>
    <t>https://www.oreht.ru/modules.php?name=orehtPriceLS&amp;op=Search&amp;page=1&amp;stext=452412</t>
  </si>
  <si>
    <t>Ель "Рождественская" 90см арт.103125</t>
  </si>
  <si>
    <t>https://www.oreht.ru/modules.php?name=orehtPriceLS&amp;op=Search&amp;page=1&amp;stext=426470</t>
  </si>
  <si>
    <t>Кружка на колесиках lefard "Веселые друзья" 350 мл 85-1771</t>
  </si>
  <si>
    <t>https://www.oreht.ru/modules.php?name=orehtPriceLS&amp;op=Search&amp;page=1&amp;stext=191812</t>
  </si>
  <si>
    <t>Гирлянда КОСМОС 140LED_RGB (140 светод., мультиколор, 14,6м, 8 режимов мигания) KOC_GIR140LED_RGB</t>
  </si>
  <si>
    <t>https://www.oreht.ru/modules.php?name=orehtPriceLS&amp;op=Search&amp;page=1&amp;stext=453263</t>
  </si>
  <si>
    <t>Тарелка lefard winter story сервировочная, 25*17,5см 260-733</t>
  </si>
  <si>
    <t>https://www.oreht.ru/modules.php?name=orehtPriceLS&amp;op=Search&amp;page=1&amp;stext=418474</t>
  </si>
  <si>
    <t>Тарелка сервировочная lefard торжество 25*17,5*2,2см 260-620</t>
  </si>
  <si>
    <t>https://www.oreht.ru/modules.php?name=orehtPriceLS&amp;op=Search&amp;page=1&amp;stext=453285</t>
  </si>
  <si>
    <t>Кружка lefard "Celebration" 300 мл 54-597</t>
  </si>
  <si>
    <t>https://www.oreht.ru/modules.php?name=orehtPriceLS&amp;op=Search&amp;page=1&amp;stext=131989</t>
  </si>
  <si>
    <t>Гирлянда КОСМОС 30LED BigBALL_RGB (шарики 2,5см, 4,4м, мультиколор)</t>
  </si>
  <si>
    <t>https://www.oreht.ru/modules.php?name=orehtPriceLS&amp;op=Search&amp;page=1&amp;stext=417550</t>
  </si>
  <si>
    <t>Светодиодный светильник-проектор ULI-Q304 2,5W/RGB WHITE. UL-00000299</t>
  </si>
  <si>
    <t xml:space="preserve">311 </t>
  </si>
  <si>
    <t>https://www.oreht.ru/modules.php?name=orehtPriceLS&amp;op=Search&amp;page=1&amp;stext=264982</t>
  </si>
  <si>
    <t>Диско-лампа настольная с питанием от сети 220В KOCNL-EL154 КОСМОС</t>
  </si>
  <si>
    <t>https://www.oreht.ru/modules.php?name=orehtPriceLS&amp;op=Search&amp;page=1&amp;stext=228380</t>
  </si>
  <si>
    <t>Гирлянда светодиодная ULD-S0280-020/DTA WARM WHITE IP20 PINE CONES (20 свет., 2,8м, белый) 09582</t>
  </si>
  <si>
    <t xml:space="preserve">314 </t>
  </si>
  <si>
    <t>https://www.oreht.ru/modules.php?name=orehtPriceLS&amp;op=Search&amp;page=1&amp;stext=303416</t>
  </si>
  <si>
    <t>Набор бумажных форм для выпечки "Новогодняя сказка" 50шт. D7cm, h 2,5см.(блистер) NEW, 2.102 (Мульти</t>
  </si>
  <si>
    <t>https://www.oreht.ru/modules.php?name=orehtPriceLS&amp;op=Search&amp;page=1&amp;stext=418599</t>
  </si>
  <si>
    <t>Набор бумажных форм для выпечки "Дед Мороз" 50шт. D7cm (блистер) VL2-99</t>
  </si>
  <si>
    <t>https://www.oreht.ru/modules.php?name=orehtPriceLS&amp;op=Search&amp;page=1&amp;stext=131987</t>
  </si>
  <si>
    <t>Гирлянда КОСМОС 120LED_RGB (120 светод., мультиколор, 12,8м, 8 режимов мигания) KOC_GIR120LED_RGB</t>
  </si>
  <si>
    <t xml:space="preserve">298 </t>
  </si>
  <si>
    <t>https://www.oreht.ru/modules.php?name=orehtPriceLS&amp;op=Search&amp;page=1&amp;stext=131988</t>
  </si>
  <si>
    <t>Гирлянда КОСМОС 120LED_W (120 светодиодов, белый, 12,8м, 8 режимов мигания) KOC_GIR120LED_W</t>
  </si>
  <si>
    <t>https://www.oreht.ru/modules.php?name=orehtPriceLS&amp;op=Search&amp;page=1&amp;stext=267760</t>
  </si>
  <si>
    <t>Гирлянда KOCNL-EL114</t>
  </si>
  <si>
    <t xml:space="preserve">290 </t>
  </si>
  <si>
    <t>https://www.oreht.ru/modules.php?name=orehtPriceLS&amp;op=Search&amp;page=1&amp;stext=453252</t>
  </si>
  <si>
    <t>Кружка с крышкой "Rabbit" объем=397 мл 155-294</t>
  </si>
  <si>
    <t>https://www.oreht.ru/modules.php?name=orehtPriceLS&amp;op=Search&amp;page=1&amp;stext=457752</t>
  </si>
  <si>
    <t>Украшение новогоднее "Подвеска, L3 W3 H9 см (749372)</t>
  </si>
  <si>
    <t xml:space="preserve">58 </t>
  </si>
  <si>
    <t>https://www.oreht.ru/modules.php?name=orehtPriceLS&amp;op=Search&amp;page=1&amp;stext=417583</t>
  </si>
  <si>
    <t>Пакет с вырубной ручкой 38х45+3 (60) Арптласт глянец НГ (Пряничный набор) ВУР49955</t>
  </si>
  <si>
    <t xml:space="preserve">262,5 </t>
  </si>
  <si>
    <t>https://www.oreht.ru/modules.php?name=orehtPriceLS&amp;op=Search&amp;page=1&amp;stext=419344</t>
  </si>
  <si>
    <t>Украшение ёлочное "Карнавальная маска" (набор 2 шт) 12,5х13,5 см золото арт.4325477 г.Екатеринбург</t>
  </si>
  <si>
    <t>https://www.oreht.ru/modules.php?name=orehtPriceLS&amp;op=Search&amp;page=1&amp;stext=417584</t>
  </si>
  <si>
    <t>Пакет с вырубной ручкой 38х45+3 (60) Арптласт глянец НГ (Сюрприз) ВУР49959</t>
  </si>
  <si>
    <t>https://www.oreht.ru/modules.php?name=orehtPriceLS&amp;op=Search&amp;page=1&amp;stext=453430</t>
  </si>
  <si>
    <t>Пакет с вырубной ручкой 38х45+3 (60) Артпласт глянец НГ (Упряжка) ВУР52879</t>
  </si>
  <si>
    <t>https://www.oreht.ru/modules.php?name=orehtPriceLS&amp;op=Search&amp;page=1&amp;stext=451470</t>
  </si>
  <si>
    <t>Кружка "Две половинки" 320мл 420-050</t>
  </si>
  <si>
    <t>https://www.oreht.ru/modules.php?name=orehtPriceLS&amp;op=Search&amp;page=1&amp;stext=419320</t>
  </si>
  <si>
    <t>Украшение ёлочное "Бант с ленточками" (набор 2 шт) 8,5х8 см арт.1400059 г.Екатеринбург</t>
  </si>
  <si>
    <t>https://www.oreht.ru/modules.php?name=orehtPriceLS&amp;op=Search&amp;page=1&amp;stext=263927</t>
  </si>
  <si>
    <t>Набор шаров 8 см, 6 шт., цвет: бирюзовый с рис SYCB17-320 арт.003331</t>
  </si>
  <si>
    <t xml:space="preserve">245 </t>
  </si>
  <si>
    <t>https://www.oreht.ru/modules.php?name=orehtPriceLS&amp;op=Search&amp;page=1&amp;stext=453437</t>
  </si>
  <si>
    <t>Пакет с вырубной ручкой 31х40 (30) Тико НГ (Шарики на снегу) ВУР53348</t>
  </si>
  <si>
    <t>https://www.oreht.ru/modules.php?name=orehtPriceLS&amp;op=Search&amp;page=1&amp;stext=453438</t>
  </si>
  <si>
    <t>Пакет с вырубной неусиленной ручкой 23х30 (30) Тико НГ (Кот на шарике) ВНР53355</t>
  </si>
  <si>
    <t xml:space="preserve">240 </t>
  </si>
  <si>
    <t>https://www.oreht.ru/modules.php?name=orehtPriceLS&amp;op=Search&amp;page=1&amp;stext=417587</t>
  </si>
  <si>
    <t>Пакет с вырубной неусиленной ручкой 23х30 (30) Тико НГ (Подарок и шарики) ВНР49693</t>
  </si>
  <si>
    <t>https://www.oreht.ru/modules.php?name=orehtPriceLS&amp;op=Search&amp;page=1&amp;stext=227129</t>
  </si>
  <si>
    <t>Диско-лампы на подставке KOCNL_EL141 КОСМОС</t>
  </si>
  <si>
    <t xml:space="preserve">237 </t>
  </si>
  <si>
    <t>https://www.oreht.ru/modules.php?name=orehtPriceLS&amp;op=Search&amp;page=1&amp;stext=264695</t>
  </si>
  <si>
    <t>Пакет с петлевой ручкой 40х42+6 (50) Интерпак НГ (Снежное Царство) ПТЛ14607</t>
  </si>
  <si>
    <t xml:space="preserve">235 </t>
  </si>
  <si>
    <t>https://www.oreht.ru/modules.php?name=orehtPriceLS&amp;op=Search&amp;page=1&amp;stext=453254</t>
  </si>
  <si>
    <t>Набор салатников-елка lefard "Celebration" 2 шт. 11 см 100 мл зеленый 189-328</t>
  </si>
  <si>
    <t>https://www.oreht.ru/modules.php?name=orehtPriceLS&amp;op=Search&amp;page=1&amp;stext=267756</t>
  </si>
  <si>
    <t>Гирлянда КОСМОС 100LED_RGB (100 свет., мультиколор, 10,8м, 8 режимов мигания) KOC_GIR100LED_RGB</t>
  </si>
  <si>
    <t xml:space="preserve">230 </t>
  </si>
  <si>
    <t>https://www.oreht.ru/modules.php?name=orehtPriceLS&amp;op=Search&amp;page=1&amp;stext=310761</t>
  </si>
  <si>
    <t>Кулинарная форма "Олененок". NEW, 2.84 (МультиДом)</t>
  </si>
  <si>
    <t xml:space="preserve">63,5 </t>
  </si>
  <si>
    <t>https://www.oreht.ru/modules.php?name=orehtPriceLS&amp;op=Search&amp;page=1&amp;stext=92463</t>
  </si>
  <si>
    <t>Подставка для елки "Невио" С505 Барнаул</t>
  </si>
  <si>
    <t xml:space="preserve">244 </t>
  </si>
  <si>
    <t>https://www.oreht.ru/modules.php?name=orehtPriceLS&amp;op=Search&amp;page=1&amp;stext=191810</t>
  </si>
  <si>
    <t>Гирлянда КОСМОС 100LED_B (100 светодиодов, синий, 10,8м, 8 режимов мигания) KOC_GIR100LED_B</t>
  </si>
  <si>
    <t xml:space="preserve">222 </t>
  </si>
  <si>
    <t>https://www.oreht.ru/modules.php?name=orehtPriceLS&amp;op=Search&amp;page=1&amp;stext=380279</t>
  </si>
  <si>
    <t>Новогоднее подвесное елочное украшение Елка Снеговика из полиэстера / 34см арт.80135</t>
  </si>
  <si>
    <t xml:space="preserve">221,3 </t>
  </si>
  <si>
    <t>https://www.oreht.ru/modules.php?name=orehtPriceLS&amp;op=Search&amp;page=1&amp;stext=380027</t>
  </si>
  <si>
    <t>Набор декоративных подвесок "Лошадки" из 3 шт. коллекция "red&amp;gold" длина=8 см 858-132</t>
  </si>
  <si>
    <t>https://www.oreht.ru/modules.php?name=orehtPriceLS&amp;op=Search&amp;page=1&amp;stext=453304</t>
  </si>
  <si>
    <t>Кружка lefard winter story 310мл 97-659</t>
  </si>
  <si>
    <t>https://www.oreht.ru/modules.php?name=orehtPriceLS&amp;op=Search&amp;page=1&amp;stext=341295</t>
  </si>
  <si>
    <t>Набор для упаковки подарков, бантик 3шт 7,5см, лента 1шт 5мм*10м, золото SYH-371973 арт.005760</t>
  </si>
  <si>
    <t xml:space="preserve">48 </t>
  </si>
  <si>
    <t>https://www.oreht.ru/modules.php?name=orehtPriceLS&amp;op=Search&amp;page=1&amp;stext=453305</t>
  </si>
  <si>
    <t>Кружка lefard winter story 310мл 97-661</t>
  </si>
  <si>
    <t xml:space="preserve">214 </t>
  </si>
  <si>
    <t>https://www.oreht.ru/modules.php?name=orehtPriceLS&amp;op=Search&amp;page=1&amp;stext=345606</t>
  </si>
  <si>
    <t>Украшение подвесное "Олень" (2шт) SYLKL-4919125, размер 13*14,5см, цв. золото арт.005792</t>
  </si>
  <si>
    <t>https://www.oreht.ru/modules.php?name=orehtPriceLS&amp;op=Search&amp;page=1&amp;stext=417536</t>
  </si>
  <si>
    <t>Гирлянда светодиодная ULD-S1000-100/DTA WARM WHITE IP20 10м. UL-00007200</t>
  </si>
  <si>
    <t>https://www.oreht.ru/modules.php?name=orehtPriceLS&amp;op=Search&amp;page=1&amp;stext=302369</t>
  </si>
  <si>
    <t>Новогодняя композиция SYCB17-145 27 см арт.003259</t>
  </si>
  <si>
    <t xml:space="preserve">211 </t>
  </si>
  <si>
    <t>https://www.oreht.ru/modules.php?name=orehtPriceLS&amp;op=Search&amp;page=1&amp;stext=453294</t>
  </si>
  <si>
    <t>Кружка lefard winter story 355мл 776-040</t>
  </si>
  <si>
    <t>https://www.oreht.ru/modules.php?name=orehtPriceLS&amp;op=Search&amp;page=1&amp;stext=453426</t>
  </si>
  <si>
    <t>Пакет с вырубной ручкой 29х40 (35) Артпласт НГ (Все на праздник) ВУР52975</t>
  </si>
  <si>
    <t>https://www.oreht.ru/modules.php?name=orehtPriceLS&amp;op=Search&amp;page=1&amp;stext=453427</t>
  </si>
  <si>
    <t>Пакет с вырубной ручкой 29х40 (35) Артпласт НГ (Радость детям) ВУР52974</t>
  </si>
  <si>
    <t xml:space="preserve">210 </t>
  </si>
  <si>
    <t>https://www.oreht.ru/modules.php?name=orehtPriceLS&amp;op=Search&amp;page=1&amp;stext=453272</t>
  </si>
  <si>
    <t>Подставка под чайные пакетики "С новым годом!" 12*8,5*1,5 см. 358-1677</t>
  </si>
  <si>
    <t>https://www.oreht.ru/modules.php?name=orehtPriceLS&amp;op=Search&amp;page=1&amp;stext=422434</t>
  </si>
  <si>
    <t>Пакет с вырубной ручкой 29х40 (35) Артпласт НГ (Яркие шары) ВУР50032</t>
  </si>
  <si>
    <t>https://www.oreht.ru/modules.php?name=orehtPriceLS&amp;op=Search&amp;page=1&amp;stext=453275</t>
  </si>
  <si>
    <t>Сахарница с ложкой "Зимняя забава" 10*10 см. высота=9,5 см. / 300 мл. 358-1837</t>
  </si>
  <si>
    <t>https://www.oreht.ru/modules.php?name=orehtPriceLS&amp;op=Search&amp;page=1&amp;stext=453274</t>
  </si>
  <si>
    <t>Сахарница с ложкой "С новым годом!" 10*10 см. высота=9,5 см. / 300 мл. 358-1836</t>
  </si>
  <si>
    <t>https://www.oreht.ru/modules.php?name=orehtPriceLS&amp;op=Search&amp;page=1&amp;stext=417472</t>
  </si>
  <si>
    <t>Гирлянда светодиодная ULD-S1000-100/DGA WARM WHITE IP20 10м. 100 светодиодов (UL-00008407)</t>
  </si>
  <si>
    <t xml:space="preserve">208 </t>
  </si>
  <si>
    <t>https://www.oreht.ru/modules.php?name=orehtPriceLS&amp;op=Search&amp;page=1&amp;stext=342554</t>
  </si>
  <si>
    <t>Доска раз.ст.18*18см "Скандинавия" 3д., 48.12 (МультиДом)</t>
  </si>
  <si>
    <t>https://www.oreht.ru/modules.php?name=orehtPriceLS&amp;op=Search&amp;page=1&amp;stext=381825</t>
  </si>
  <si>
    <t>Пакет с вырубной ручкой 38х45+3 (60) Артпласт глянец НГ (Снежинки) ВУР45963</t>
  </si>
  <si>
    <t xml:space="preserve">200 </t>
  </si>
  <si>
    <t>https://www.oreht.ru/modules.php?name=orehtPriceLS&amp;op=Search&amp;page=1&amp;stext=228378</t>
  </si>
  <si>
    <t>Гирлянда светодиодная ULD-S0280-020/DTA RGB IP20 BALLS (20 светодиодов, 2,8м, RGB) 07921</t>
  </si>
  <si>
    <t>https://www.oreht.ru/modules.php?name=orehtPriceLS&amp;op=Search&amp;page=1&amp;stext=385194</t>
  </si>
  <si>
    <t>Гирлянда светодиодная ULD-S0250-020/STA MULTI IP20 2,5м. 20 светод. Разноцветный свет.UL-00005481</t>
  </si>
  <si>
    <t>https://www.oreht.ru/modules.php?name=orehtPriceLS&amp;op=Search&amp;page=1&amp;stext=419338</t>
  </si>
  <si>
    <t>Украшение ёлочное "Голубь - мерцание" 8х13 см серебро арт.5044992 г.Екатеринбург</t>
  </si>
  <si>
    <t xml:space="preserve">71 </t>
  </si>
  <si>
    <t>https://www.oreht.ru/modules.php?name=orehtPriceLS&amp;op=Search&amp;page=1&amp;stext=419337</t>
  </si>
  <si>
    <t>Украшение ёлочное "Голубь - мерцание" 8х13 см золото арт.5044990 г.Екатеринбург</t>
  </si>
  <si>
    <t>https://www.oreht.ru/modules.php?name=orehtPriceLS&amp;op=Search&amp;page=1&amp;stext=267771</t>
  </si>
  <si>
    <t>Набор кулинарных форм "Новогодний сюрприз" 8шт. NEW, 2.74 (МультиДом)</t>
  </si>
  <si>
    <t xml:space="preserve">195,3 </t>
  </si>
  <si>
    <t>https://www.oreht.ru/modules.php?name=orehtPriceLS&amp;op=Search&amp;page=1&amp;stext=418776</t>
  </si>
  <si>
    <t>Салатник lefard пэчворк 13,5см 153-944</t>
  </si>
  <si>
    <t xml:space="preserve">192,6 </t>
  </si>
  <si>
    <t>https://www.oreht.ru/modules.php?name=orehtPriceLS&amp;op=Search&amp;page=1&amp;stext=418777</t>
  </si>
  <si>
    <t>Салатник lefard пэчворк 13,5см 153-945</t>
  </si>
  <si>
    <t>https://www.oreht.ru/modules.php?name=orehtPriceLS&amp;op=Search&amp;page=1&amp;stext=417580</t>
  </si>
  <si>
    <t>Пакет с петлевой ручкой 38х42+6 (40) Интерпак НГ (Декабрь) ПТЛ00166</t>
  </si>
  <si>
    <t>https://www.oreht.ru/modules.php?name=orehtPriceLS&amp;op=Search&amp;page=1&amp;stext=263871</t>
  </si>
  <si>
    <t>Набор шаров 6 см, 12 шт., цвет: золотой (мат, глянец, блеск) PB6-12SMB-G арт.101859</t>
  </si>
  <si>
    <t>https://www.oreht.ru/modules.php?name=orehtPriceLS&amp;op=Search&amp;page=1&amp;stext=418773</t>
  </si>
  <si>
    <t>Кружка lefard пэчворк 360мл 153-917</t>
  </si>
  <si>
    <t>https://www.oreht.ru/modules.php?name=orehtPriceLS&amp;op=Search&amp;page=1&amp;stext=453281</t>
  </si>
  <si>
    <t>Подставка под горячее 16*16*1 см. 358-1958</t>
  </si>
  <si>
    <t>https://www.oreht.ru/modules.php?name=orehtPriceLS&amp;op=Search&amp;page=1&amp;stext=453257</t>
  </si>
  <si>
    <t>Подставка под горячее коллекция "С новым годом!" 15*19 см 229-721</t>
  </si>
  <si>
    <t>https://www.oreht.ru/modules.php?name=orehtPriceLS&amp;op=Search&amp;page=1&amp;stext=228375</t>
  </si>
  <si>
    <t>Гирлянда светодиодная ULD-S0280-020/DGA MULTI IP20 COLORBALLS (20 свет., 2,8м, разноц.) 11093</t>
  </si>
  <si>
    <t xml:space="preserve">177 </t>
  </si>
  <si>
    <t>https://www.oreht.ru/modules.php?name=orehtPriceLS&amp;op=Search&amp;page=1&amp;stext=418464</t>
  </si>
  <si>
    <t>Подставка под горячее коллекция "Animal world" 15*20 см 229-705</t>
  </si>
  <si>
    <t xml:space="preserve">175 </t>
  </si>
  <si>
    <t>https://www.oreht.ru/modules.php?name=orehtPriceLS&amp;op=Search&amp;page=1&amp;stext=381822</t>
  </si>
  <si>
    <t>Пакет с петлевой ручкой 28х35 (55) Интерпак НГ (Вокзал желаний) ПТЛ38294</t>
  </si>
  <si>
    <t>https://www.oreht.ru/modules.php?name=orehtPriceLS&amp;op=Search&amp;page=1&amp;stext=422735</t>
  </si>
  <si>
    <t>Подставка под ложку 25*9*2,5 см. 358-1950</t>
  </si>
  <si>
    <t>https://www.oreht.ru/modules.php?name=orehtPriceLS&amp;op=Search&amp;page=1&amp;stext=418461</t>
  </si>
  <si>
    <t>Подставка под горячее коллекция "Animal world" 15*19 см 229-701</t>
  </si>
  <si>
    <t xml:space="preserve">161,1 </t>
  </si>
  <si>
    <t>https://www.oreht.ru/modules.php?name=orehtPriceLS&amp;op=Search&amp;page=1&amp;stext=457751</t>
  </si>
  <si>
    <t>Украшение новогоднее Сердце , набор из 6-ти шт, L16 W2,5 H10,5 см (722854)</t>
  </si>
  <si>
    <t>https://www.oreht.ru/modules.php?name=orehtPriceLS&amp;op=Search&amp;page=1&amp;stext=341299</t>
  </si>
  <si>
    <t>Набор украшений "Шары и Шишки" 8шт, 6см, цвет: золото, SYQB-0119231 арт.005764</t>
  </si>
  <si>
    <t>https://www.oreht.ru/modules.php?name=orehtPriceLS&amp;op=Search&amp;page=1&amp;stext=385167</t>
  </si>
  <si>
    <t>Гирлянда светод. с контроллером ULD-S0500-050/DTA MULTI IP20 5м. 50 светод. UL-00005250</t>
  </si>
  <si>
    <t>https://www.oreht.ru/modules.php?name=orehtPriceLS&amp;op=Search&amp;page=1&amp;stext=227130</t>
  </si>
  <si>
    <t>Диско-лампа, цоколь Е27 KOCNL_EL142 КОСМОС</t>
  </si>
  <si>
    <t xml:space="preserve">156 </t>
  </si>
  <si>
    <t>https://www.oreht.ru/modules.php?name=orehtPriceLS&amp;op=Search&amp;page=1&amp;stext=422715</t>
  </si>
  <si>
    <t>Подставка под горячее "С новым годом!" 16*16*1 см. 358-1689</t>
  </si>
  <si>
    <t>https://www.oreht.ru/modules.php?name=orehtPriceLS&amp;op=Search&amp;page=1&amp;stext=418454</t>
  </si>
  <si>
    <t>Салатник квадратный lefard "Top style" 12 см 165-492</t>
  </si>
  <si>
    <t>https://www.oreht.ru/modules.php?name=orehtPriceLS&amp;op=Search&amp;page=1&amp;stext=191815</t>
  </si>
  <si>
    <t>Гирлянда КОСМОС 80LED_B (синяя, 8,8м, 8 режимов мигания)</t>
  </si>
  <si>
    <t xml:space="preserve">152 </t>
  </si>
  <si>
    <t>https://www.oreht.ru/modules.php?name=orehtPriceLS&amp;op=Search&amp;page=1&amp;stext=227156</t>
  </si>
  <si>
    <t>Гирлянда КОСМОС 80LED_W (белая, 8,8м, 8 режимов мигания)</t>
  </si>
  <si>
    <t>https://www.oreht.ru/modules.php?name=orehtPriceLS&amp;op=Search&amp;page=1&amp;stext=452107</t>
  </si>
  <si>
    <t>Салфетница "Гермелин" 6*6 см. высота=10 см. 782-211</t>
  </si>
  <si>
    <t>https://www.oreht.ru/modules.php?name=orehtPriceLS&amp;op=Search&amp;page=1&amp;stext=385172</t>
  </si>
  <si>
    <t>Гирлянда светод. с контроллером ULD-S0500-050/DTA WHITE IP20 5м. 50 светод. UL-00005259</t>
  </si>
  <si>
    <t xml:space="preserve">149 </t>
  </si>
  <si>
    <t>https://www.oreht.ru/modules.php?name=orehtPriceLS&amp;op=Search&amp;page=1&amp;stext=417469</t>
  </si>
  <si>
    <t>Гирлянда светодиодная ULD-S0500-050/DGA WARM WHITE IP20 5м. 50 светодиодов (UL-00007304)</t>
  </si>
  <si>
    <t xml:space="preserve">158 </t>
  </si>
  <si>
    <t>https://www.oreht.ru/modules.php?name=orehtPriceLS&amp;op=Search&amp;page=1&amp;stext=267753</t>
  </si>
  <si>
    <t>Гирлянда КОСМОС 50LED_RGB (RGB, 6,5м, 8 режимов мигания)</t>
  </si>
  <si>
    <t xml:space="preserve">145 </t>
  </si>
  <si>
    <t>https://www.oreht.ru/modules.php?name=orehtPriceLS&amp;op=Search&amp;page=1&amp;stext=422693</t>
  </si>
  <si>
    <t>Поднос коллекция "Рождественская сказка" диаметр 33 см 106-611</t>
  </si>
  <si>
    <t>https://www.oreht.ru/modules.php?name=orehtPriceLS&amp;op=Search&amp;page=1&amp;stext=303835</t>
  </si>
  <si>
    <t>Набор елочных украшений "Шишки" (12 шт), размер: 6 см, цвет: серебро, PS6-12-217-S арт.001539</t>
  </si>
  <si>
    <t>https://www.oreht.ru/modules.php?name=orehtPriceLS&amp;op=Search&amp;page=1&amp;stext=418598</t>
  </si>
  <si>
    <t>Разделочная доска "Тигрохоббия". Размер 29х17см. MT88-415</t>
  </si>
  <si>
    <t xml:space="preserve">140,1 </t>
  </si>
  <si>
    <t>https://www.oreht.ru/modules.php?name=orehtPriceLS&amp;op=Search&amp;page=1&amp;stext=452416</t>
  </si>
  <si>
    <t>Набор шаров (24шт) размер: 3 см, цвет: винно-красный (мат, глянец, блеск) арт.007663</t>
  </si>
  <si>
    <t xml:space="preserve">139 </t>
  </si>
  <si>
    <t>https://www.oreht.ru/modules.php?name=orehtPriceLS&amp;op=Search&amp;page=1&amp;stext=342558</t>
  </si>
  <si>
    <t>Доска раз.ст.18*28см "Карнавал" 3д., 48.67 (МультиДом)</t>
  </si>
  <si>
    <t>https://www.oreht.ru/modules.php?name=orehtPriceLS&amp;op=Search&amp;page=1&amp;stext=421071</t>
  </si>
  <si>
    <t>Набор елочных украшений "Желудь" (4шт) размер: 6см, цвет золотой арт.007455</t>
  </si>
  <si>
    <t>https://www.oreht.ru/modules.php?name=orehtPriceLS&amp;op=Search&amp;page=1&amp;stext=387838</t>
  </si>
  <si>
    <t>Подставка под яйцо "Кролик" 8.5*4.5*11 см. 146-1567</t>
  </si>
  <si>
    <t>https://www.oreht.ru/modules.php?name=orehtPriceLS&amp;op=Search&amp;page=1&amp;stext=265937</t>
  </si>
  <si>
    <t>Подставка под ложку "С новым годом" 25*9*3 см. 358-1242</t>
  </si>
  <si>
    <t>https://www.oreht.ru/modules.php?name=orehtPriceLS&amp;op=Search&amp;page=1&amp;stext=419288</t>
  </si>
  <si>
    <t>Набор шаров пластик d-6 см, 6 шт "Мидас - геометрия" серебро арт.4942020 г.Екатеринбург</t>
  </si>
  <si>
    <t>https://www.oreht.ru/modules.php?name=orehtPriceLS&amp;op=Search&amp;page=1&amp;stext=420952</t>
  </si>
  <si>
    <t>Гирлянда светодиодная на батарейках ULD-S0500-050/SCB/2AA MULTI IP20 DEW UL-00005266</t>
  </si>
  <si>
    <t>https://www.oreht.ru/modules.php?name=orehtPriceLS&amp;op=Search&amp;page=1&amp;stext=419336</t>
  </si>
  <si>
    <t>Украшение ёлочное "Голубки резные" 12х11,5 см (набор 3 шт) арт.1400056 г.Екатеринбург</t>
  </si>
  <si>
    <t>https://www.oreht.ru/modules.php?name=orehtPriceLS&amp;op=Search&amp;page=1&amp;stext=456028</t>
  </si>
  <si>
    <t>Подставка под яйцо "Кролик" 9*5*8 см. 146-1564</t>
  </si>
  <si>
    <t>https://www.oreht.ru/modules.php?name=orehtPriceLS&amp;op=Search&amp;page=1&amp;stext=453251</t>
  </si>
  <si>
    <t>Подставка под яйцо "Кролик" 9*5*9 см. 146-1562</t>
  </si>
  <si>
    <t>https://www.oreht.ru/modules.php?name=orehtPriceLS&amp;op=Search&amp;page=1&amp;stext=456027</t>
  </si>
  <si>
    <t>Подставка под яйцо "Кролик" 9.5*5.5*8 см. 146-1563</t>
  </si>
  <si>
    <t>https://www.oreht.ru/modules.php?name=orehtPriceLS&amp;op=Search&amp;page=1&amp;stext=453729</t>
  </si>
  <si>
    <t>Новогоднее подвесное украшение "Капля Фиолетовый Перламутр из полистирола / 7,8x7,8x10,5см арт.86912</t>
  </si>
  <si>
    <t xml:space="preserve">119 </t>
  </si>
  <si>
    <t>https://www.oreht.ru/modules.php?name=orehtPriceLS&amp;op=Search&amp;page=1&amp;stext=263877</t>
  </si>
  <si>
    <t>Набор шаров 6 см, 6 шт., цвет: голубой (блеск) PB6-6B-LB арт.001475</t>
  </si>
  <si>
    <t>https://www.oreht.ru/modules.php?name=orehtPriceLS&amp;op=Search&amp;page=1&amp;stext=263882</t>
  </si>
  <si>
    <t>Набор шаров 6 см, 6 шт., цвет: голубой (глянец, мат., блеск), PB6-6SMB-LB арт.001471</t>
  </si>
  <si>
    <t>https://www.oreht.ru/modules.php?name=orehtPriceLS&amp;op=Search&amp;page=1&amp;stext=345882</t>
  </si>
  <si>
    <t>Гирлянда светодиодная UDL-S0500-100/DGA MULTI IP20 MINI (100 ламп, 5м, разноцветная) 2388</t>
  </si>
  <si>
    <t xml:space="preserve">110 </t>
  </si>
  <si>
    <t>https://www.oreht.ru/modules.php?name=orehtPriceLS&amp;op=Search&amp;page=1&amp;stext=350986</t>
  </si>
  <si>
    <t>Набор "ОТДЫХ-5-1-ЛЮКС" пр-во ООО "КМК"</t>
  </si>
  <si>
    <t>https://www.oreht.ru/modules.php?name=orehtPriceLS&amp;op=Search&amp;page=1&amp;stext=406677</t>
  </si>
  <si>
    <t>Чайник agness со свистком 3,0 л термоаккумулирующее дно, индукция 937-838</t>
  </si>
  <si>
    <t>https://www.oreht.ru/modules.php?name=orehtPriceLS&amp;op=Search&amp;page=1&amp;stext=420859</t>
  </si>
  <si>
    <t>Казан для плова 5л АП "Premium" (grey),арт. 55901</t>
  </si>
  <si>
    <t xml:space="preserve">1767,7 </t>
  </si>
  <si>
    <t>https://www.oreht.ru/modules.php?name=orehtPriceLS&amp;op=Search&amp;page=1&amp;stext=389632</t>
  </si>
  <si>
    <t>КАРМЕН Сервиз столовый 19пр (6 персон) DANIKS (341396)</t>
  </si>
  <si>
    <t xml:space="preserve">1806,8 </t>
  </si>
  <si>
    <t>https://www.oreht.ru/modules.php?name=orehtPriceLS&amp;op=Search&amp;page=1&amp;stext=456023</t>
  </si>
  <si>
    <t>Набор столовых приборов agness на 6 персон 18 пр.в деревянном кейсе 942-012</t>
  </si>
  <si>
    <t>https://www.oreht.ru/modules.php?name=orehtPriceLS&amp;op=Search&amp;page=1&amp;stext=242339</t>
  </si>
  <si>
    <t>Набор "КАПУЧИНО-ЭКСТРА" пр-во ООО "КМК"</t>
  </si>
  <si>
    <t xml:space="preserve">1764,7 </t>
  </si>
  <si>
    <t>https://www.oreht.ru/modules.php?name=orehtPriceLS&amp;op=Search&amp;page=1&amp;stext=219864</t>
  </si>
  <si>
    <t>Набор "БЕЛЫЕ НОЧИ - ЭКСТРА" пр-во ООО "КМК"</t>
  </si>
  <si>
    <t xml:space="preserve">1738,8 </t>
  </si>
  <si>
    <t>https://www.oreht.ru/modules.php?name=orehtPriceLS&amp;op=Search&amp;page=1&amp;stext=448605</t>
  </si>
  <si>
    <t>Чайный набор 12пр. 220 мл в под.уп.(х6)Фарфор арт.133-217</t>
  </si>
  <si>
    <t xml:space="preserve">1756,5 </t>
  </si>
  <si>
    <t>https://www.oreht.ru/modules.php?name=orehtPriceLS&amp;op=Search&amp;page=1&amp;stext=330789</t>
  </si>
  <si>
    <t>Хлебница agness деревянная с пластик. крышкой, цвет "Коричневый мрамор" 36*26*20 см 938-051</t>
  </si>
  <si>
    <t xml:space="preserve">1317,4 </t>
  </si>
  <si>
    <t>https://www.oreht.ru/modules.php?name=orehtPriceLS&amp;op=Search&amp;page=1&amp;stext=330790</t>
  </si>
  <si>
    <t>Хлебница agness деревянная с пластиковой крышкой, цвет "Бежевый мрамор" 36*26*20 см 938-052</t>
  </si>
  <si>
    <t>https://www.oreht.ru/modules.php?name=orehtPriceLS&amp;op=Search&amp;page=1&amp;stext=173079</t>
  </si>
  <si>
    <t>Сковорода 26 см Balance RDA-783 (ST)</t>
  </si>
  <si>
    <t xml:space="preserve">1676 </t>
  </si>
  <si>
    <t>https://www.oreht.ru/modules.php?name=orehtPriceLS&amp;op=Search&amp;page=1&amp;stext=415058</t>
  </si>
  <si>
    <t>Лапшерезка, 20х20х15,5см, , нерж. сталь (889-033)</t>
  </si>
  <si>
    <t xml:space="preserve">1754,2 </t>
  </si>
  <si>
    <t>https://www.oreht.ru/modules.php?name=orehtPriceLS&amp;op=Search&amp;page=1&amp;stext=148847</t>
  </si>
  <si>
    <t>Белая роза Кастрюля глубокая 5,1 л. стекл./кр.*4 2362 (INTEROS)</t>
  </si>
  <si>
    <t xml:space="preserve">1612,3 </t>
  </si>
  <si>
    <t>https://www.oreht.ru/modules.php?name=orehtPriceLS&amp;op=Search&amp;page=1&amp;stext=305511</t>
  </si>
  <si>
    <t>АП Кастрюля-Жаровня 3л со стекл. крышкой, линия "Granit ultra" (blue) "Kukmara" жгг31а</t>
  </si>
  <si>
    <t xml:space="preserve">1754 </t>
  </si>
  <si>
    <t>https://www.oreht.ru/modules.php?name=orehtPriceLS&amp;op=Search&amp;page=1&amp;stext=279765</t>
  </si>
  <si>
    <t>Мармит керамический LARA 2,0л 35,8см, 3 свечи, сверхбелый фарфор, стекл. крышка (LR12-02 ROSE GOLD)</t>
  </si>
  <si>
    <t xml:space="preserve">1753,8 </t>
  </si>
  <si>
    <t>https://www.oreht.ru/modules.php?name=orehtPriceLS&amp;op=Search&amp;page=1&amp;stext=301071</t>
  </si>
  <si>
    <t>АП Кастрюля-Жаровня 3л со стекл. крышкой, линия "Granit ultra" (original) "Kukmara" жго31а</t>
  </si>
  <si>
    <t xml:space="preserve">1464,3 </t>
  </si>
  <si>
    <t>https://www.oreht.ru/modules.php?name=orehtPriceLS&amp;op=Search&amp;page=1&amp;stext=401989</t>
  </si>
  <si>
    <t>Арабеска Кастрюля 5,1л со стекл. кр. арт.8952В (8955) (INTEROS)</t>
  </si>
  <si>
    <t xml:space="preserve">1752,9 </t>
  </si>
  <si>
    <t>https://www.oreht.ru/modules.php?name=orehtPriceLS&amp;op=Search&amp;page=1&amp;stext=278882</t>
  </si>
  <si>
    <t>Кастрюля 3л, 20х10 см, стекл. кр. (30с) "МАРУСЯ"</t>
  </si>
  <si>
    <t xml:space="preserve">1627,3 </t>
  </si>
  <si>
    <t>https://www.oreht.ru/modules.php?name=orehtPriceLS&amp;op=Search&amp;page=1&amp;stext=123682</t>
  </si>
  <si>
    <t>Пион Кастрюля глубокая 5,1 л. стекл./кр.*4 арт.2545 (INTEROS)</t>
  </si>
  <si>
    <t xml:space="preserve">1665,7 </t>
  </si>
  <si>
    <t>https://www.oreht.ru/modules.php?name=orehtPriceLS&amp;op=Search&amp;page=1&amp;stext=454422</t>
  </si>
  <si>
    <t>Трёхярусная подставка, массив березы, пропитано маслом, d=32x26х20х1,8 см, высота 37 см арт.7867792</t>
  </si>
  <si>
    <t xml:space="preserve">1750,1 </t>
  </si>
  <si>
    <t>https://www.oreht.ru/modules.php?name=orehtPriceLS&amp;op=Search&amp;page=1&amp;stext=405256</t>
  </si>
  <si>
    <t>Вок 28х8см Strike Rondell RDA-1398 (GY)</t>
  </si>
  <si>
    <t xml:space="preserve">1750 </t>
  </si>
  <si>
    <t>https://www.oreht.ru/modules.php?name=orehtPriceLS&amp;op=Search&amp;page=1&amp;stext=298276</t>
  </si>
  <si>
    <t>Рандеву Кастрюля 5.1 л. стекл./кр. 1154 (INTEROS)</t>
  </si>
  <si>
    <t xml:space="preserve">1658,1 </t>
  </si>
  <si>
    <t>https://www.oreht.ru/modules.php?name=orehtPriceLS&amp;op=Search&amp;page=1&amp;stext=148829</t>
  </si>
  <si>
    <t>Мохито Кастрюля глубокая 5,1 л. стекл./кр.*4 3033 (INTEROS)</t>
  </si>
  <si>
    <t xml:space="preserve">1617,3 </t>
  </si>
  <si>
    <t>https://www.oreht.ru/modules.php?name=orehtPriceLS&amp;op=Search&amp;page=1&amp;stext=123703</t>
  </si>
  <si>
    <t>Кружево Кастрюля глубокая 5,1 л. стекл./кр.*4 арт.1279 (INTEROS)</t>
  </si>
  <si>
    <t xml:space="preserve">1649,2 </t>
  </si>
  <si>
    <t>https://www.oreht.ru/modules.php?name=orehtPriceLS&amp;op=Search&amp;page=1&amp;stext=394762</t>
  </si>
  <si>
    <t>Сковорода квадратная 24*24 см "Premium" (grey) со съемной ручкой и стекл. крышкой арт. с025901</t>
  </si>
  <si>
    <t>https://www.oreht.ru/modules.php?name=orehtPriceLS&amp;op=Search&amp;page=1&amp;stext=359127</t>
  </si>
  <si>
    <t>LR02-415 Кастрюля LARA (нерж) 26x14,5см, 7,4л, 9ст капсулир дно,силикон,роз.зол ()</t>
  </si>
  <si>
    <t xml:space="preserve">1743,5 </t>
  </si>
  <si>
    <t>https://www.oreht.ru/modules.php?name=orehtPriceLS&amp;op=Search&amp;page=1&amp;stext=427985</t>
  </si>
  <si>
    <t>Набор "КУРКУМА-1-ЭКСТРА" пр-во ООО "КМК"</t>
  </si>
  <si>
    <t xml:space="preserve">1739,9 </t>
  </si>
  <si>
    <t>https://www.oreht.ru/modules.php?name=orehtPriceLS&amp;op=Search&amp;page=1&amp;stext=347724</t>
  </si>
  <si>
    <t>Набор "ДЕНИМ-1-ЭКСТРА" пр-во ООО "КМК"</t>
  </si>
  <si>
    <t xml:space="preserve">1739 </t>
  </si>
  <si>
    <t>https://www.oreht.ru/modules.php?name=orehtPriceLS&amp;op=Search&amp;page=1&amp;stext=88979</t>
  </si>
  <si>
    <t>Термос ДС-1,5л "Дорожный" с шир. горлом на ремне арт.1с658 (г.Аша)</t>
  </si>
  <si>
    <t xml:space="preserve">1704,4 </t>
  </si>
  <si>
    <t>https://www.oreht.ru/modules.php?name=orehtPriceLS&amp;op=Search&amp;page=1&amp;stext=341737</t>
  </si>
  <si>
    <t>Набор "ГРАФИК-1-ЭКСТРА" пр-во ООО "КМК"</t>
  </si>
  <si>
    <t xml:space="preserve">1739,6 </t>
  </si>
  <si>
    <t>https://www.oreht.ru/modules.php?name=orehtPriceLS&amp;op=Search&amp;page=1&amp;stext=431595</t>
  </si>
  <si>
    <t>Набор чайный на дерев подставке 12 пр "Эстет" 6 чашек 200 мл, 6 блюдец 14,5 см арт.2859949 г.Екатери</t>
  </si>
  <si>
    <t xml:space="preserve">1738,2 </t>
  </si>
  <si>
    <t>https://www.oreht.ru/modules.php?name=orehtPriceLS&amp;op=Search&amp;page=1&amp;stext=294522</t>
  </si>
  <si>
    <t>Сеточка д/носа чайника (3333)</t>
  </si>
  <si>
    <t>https://www.oreht.ru/modules.php?name=orehtPriceLS&amp;op=Search&amp;page=1&amp;stext=150358</t>
  </si>
  <si>
    <t>Сетка для слива метал-хром (1324)</t>
  </si>
  <si>
    <t>https://www.oreht.ru/modules.php?name=orehtPriceLS&amp;op=Search&amp;page=1&amp;stext=202286</t>
  </si>
  <si>
    <t>Кастрюля с/кр 24 см (7,8 л) Admiring Rondell RD-726 (ST) (Rondell)</t>
  </si>
  <si>
    <t xml:space="preserve">4596 </t>
  </si>
  <si>
    <t>https://www.oreht.ru/modules.php?name=orehtPriceLS&amp;op=Search&amp;page=1&amp;stext=112190</t>
  </si>
  <si>
    <t>Чайник с бак. ручкой со свистком (Терракот, Таково, 083064,2,5,20) 9090</t>
  </si>
  <si>
    <t>https://www.oreht.ru/modules.php?name=orehtPriceLS&amp;op=Search&amp;page=1&amp;stext=110178</t>
  </si>
  <si>
    <t>Чайник 4с210я со свистк. 2л "Кармен" (г.Череповец) черн/крас</t>
  </si>
  <si>
    <t xml:space="preserve">1211,3 </t>
  </si>
  <si>
    <t>https://www.oreht.ru/modules.php?name=orehtPriceLS&amp;op=Search&amp;page=1&amp;stext=124629</t>
  </si>
  <si>
    <t>Утятница 4л ДП г.КУКМОР арт. у41 "Kukmara"</t>
  </si>
  <si>
    <t>https://www.oreht.ru/modules.php?name=orehtPriceLS&amp;op=Search&amp;page=1&amp;stext=372213</t>
  </si>
  <si>
    <t>Веер для мангала "Ураган", 25х17 см арт.008463</t>
  </si>
  <si>
    <t>https://www.oreht.ru/modules.php?name=orehtPriceLS&amp;op=Search&amp;page=1&amp;stext=451164</t>
  </si>
  <si>
    <t>Шпатель кондитерский прямой 13,5х9,5 см арт.1427352 г.Екатеринбург</t>
  </si>
  <si>
    <t xml:space="preserve">17,1 </t>
  </si>
  <si>
    <t>https://www.oreht.ru/modules.php?name=orehtPriceLS&amp;op=Search&amp;page=1&amp;stext=327146</t>
  </si>
  <si>
    <t>Стакан БЕЙЗИК 250 мл арт.520102SLB</t>
  </si>
  <si>
    <t>https://www.oreht.ru/modules.php?name=orehtPriceLS&amp;op=Search&amp;page=1&amp;stext=423137</t>
  </si>
  <si>
    <t>Шпажки бамбуковые 20 см (5012 )</t>
  </si>
  <si>
    <t xml:space="preserve">22,8 </t>
  </si>
  <si>
    <t>https://www.oreht.ru/modules.php?name=orehtPriceLS&amp;op=Search&amp;page=1&amp;stext=390743</t>
  </si>
  <si>
    <t>Кисть "Фобос" 17,5х4 см, цвета МИКС арт.746535 г.Екатеринбург</t>
  </si>
  <si>
    <t xml:space="preserve">13,6 </t>
  </si>
  <si>
    <t>https://www.oreht.ru/modules.php?name=orehtPriceLS&amp;op=Search&amp;page=1&amp;stext=320618</t>
  </si>
  <si>
    <t>Набор "Бумажные формы для кулича" 3 шт 110х85 hk47353</t>
  </si>
  <si>
    <t xml:space="preserve">23,5 </t>
  </si>
  <si>
    <t>https://www.oreht.ru/modules.php?name=orehtPriceLS&amp;op=Search&amp;page=1&amp;stext=293408</t>
  </si>
  <si>
    <t>Бумага для выпечки 300мм х 5м "LARANGE-ОТ ШЕФА" (КОР-60ШТ) 625121</t>
  </si>
  <si>
    <t>https://www.oreht.ru/modules.php?name=orehtPriceLS&amp;op=Search&amp;page=1&amp;stext=390742</t>
  </si>
  <si>
    <t>Кисть "Лёд" 18x3x1 см, цвета МИКС арт.708025 г.Екатеринбург</t>
  </si>
  <si>
    <t xml:space="preserve">53 </t>
  </si>
  <si>
    <t>https://www.oreht.ru/modules.php?name=orehtPriceLS&amp;op=Search&amp;page=1&amp;stext=371231</t>
  </si>
  <si>
    <t>Пакеты для запекания рыбы "Доляна" 25 см х 50 см 4 шт, с завязками арт.4532969 г.Екатеринбург</t>
  </si>
  <si>
    <t xml:space="preserve">28,6 </t>
  </si>
  <si>
    <t>https://www.oreht.ru/modules.php?name=orehtPriceLS&amp;op=Search&amp;page=1&amp;stext=325749</t>
  </si>
  <si>
    <t>Роллы для розжига мангалов, барбекю, каминов и печей 2 шт. в уп. /50 61138 BOYSCOUT</t>
  </si>
  <si>
    <t xml:space="preserve">26,5 </t>
  </si>
  <si>
    <t>https://www.oreht.ru/modules.php?name=orehtPriceLS&amp;op=Search&amp;page=1&amp;stext=272652</t>
  </si>
  <si>
    <t>Стакан СТАМБУЛ 290 мл арт.42402SLB</t>
  </si>
  <si>
    <t xml:space="preserve">27,1 </t>
  </si>
  <si>
    <t>https://www.oreht.ru/modules.php?name=orehtPriceLS&amp;op=Search&amp;page=1&amp;stext=91508</t>
  </si>
  <si>
    <t>https://www.oreht.ru/modules.php?name=orehtPriceLS&amp;op=Search&amp;page=1&amp;stext=186432</t>
  </si>
  <si>
    <t>Форма для выпечки классическая низкая КФ-13.000 "КВАРЦ"</t>
  </si>
  <si>
    <t xml:space="preserve">28 </t>
  </si>
  <si>
    <t>https://www.oreht.ru/modules.php?name=orehtPriceLS&amp;op=Search&amp;page=1&amp;stext=448060</t>
  </si>
  <si>
    <t>Штопор бытовой 1355</t>
  </si>
  <si>
    <t>https://www.oreht.ru/modules.php?name=orehtPriceLS&amp;op=Search&amp;page=1&amp;stext=332436</t>
  </si>
  <si>
    <t>Рукав для запекания 30см/3м с завязками Марья Искусница (282450)</t>
  </si>
  <si>
    <t>https://www.oreht.ru/modules.php?name=orehtPriceLS&amp;op=Search&amp;page=1&amp;stext=173351</t>
  </si>
  <si>
    <t>Пепельница круглая 110 мм 54036SLB</t>
  </si>
  <si>
    <t xml:space="preserve">28,4 </t>
  </si>
  <si>
    <t>https://www.oreht.ru/modules.php?name=orehtPriceLS&amp;op=Search&amp;page=1&amp;stext=226974</t>
  </si>
  <si>
    <t>Сырорез ролик (1087)</t>
  </si>
  <si>
    <t>https://www.oreht.ru/modules.php?name=orehtPriceLS&amp;op=Search&amp;page=1&amp;stext=368935</t>
  </si>
  <si>
    <t>Венчик кулинарный "Шеф-повар" 23х4х4 см, цвета МИКС арт.663274 г.Екатеринбург</t>
  </si>
  <si>
    <t>https://www.oreht.ru/modules.php?name=orehtPriceLS&amp;op=Search&amp;page=1&amp;stext=445616</t>
  </si>
  <si>
    <t>Пробка силиконовая Apollo genio "Geometry" GMT-02</t>
  </si>
  <si>
    <t xml:space="preserve">77,4 </t>
  </si>
  <si>
    <t>https://www.oreht.ru/modules.php?name=orehtPriceLS&amp;op=Search&amp;page=1&amp;stext=415043</t>
  </si>
  <si>
    <t>VETTA Гринвуд Ложка бамбук, 30см (883-058)</t>
  </si>
  <si>
    <t xml:space="preserve">31,3 </t>
  </si>
  <si>
    <t>https://www.oreht.ru/modules.php?name=orehtPriceLS&amp;op=Search&amp;page=1&amp;stext=269814</t>
  </si>
  <si>
    <t>Салатник ТОКИО 66*66 мм арт.53682SLB</t>
  </si>
  <si>
    <t xml:space="preserve">32,2 </t>
  </si>
  <si>
    <t>https://www.oreht.ru/modules.php?name=orehtPriceLS&amp;op=Search&amp;page=1&amp;stext=186362</t>
  </si>
  <si>
    <t>Терка Плоская КП01.000.01 овощная "КВАРЦ"</t>
  </si>
  <si>
    <t>https://www.oreht.ru/modules.php?name=orehtPriceLS&amp;op=Search&amp;page=1&amp;stext=409310</t>
  </si>
  <si>
    <t>Солонка/перечница SPEZIA, объем 80 мл (стекло, нерж.сталь) арт.009363</t>
  </si>
  <si>
    <t>https://www.oreht.ru/modules.php?name=orehtPriceLS&amp;op=Search&amp;page=1&amp;stext=91516</t>
  </si>
  <si>
    <t>Рыбочистка (1273)</t>
  </si>
  <si>
    <t xml:space="preserve">33,6 </t>
  </si>
  <si>
    <t>https://www.oreht.ru/modules.php?name=orehtPriceLS&amp;op=Search&amp;page=1&amp;stext=186431</t>
  </si>
  <si>
    <t>Форма для выпечки традиционная высокая КФ-12.000 "КВАРЦ"</t>
  </si>
  <si>
    <t xml:space="preserve">34 </t>
  </si>
  <si>
    <t>https://www.oreht.ru/modules.php?name=orehtPriceLS&amp;op=Search&amp;page=1&amp;stext=245417</t>
  </si>
  <si>
    <t>Шампур угловой 450х10х1 мм из НЕРЖАВЕЮЩЕЙ СТАЛИ /500/50 61022 BOYSCOUТ</t>
  </si>
  <si>
    <t xml:space="preserve">34,4 </t>
  </si>
  <si>
    <t>https://www.oreht.ru/modules.php?name=orehtPriceLS&amp;op=Search&amp;page=1&amp;stext=206844</t>
  </si>
  <si>
    <t>Шампур 560 мм (1,0 мм) ЛИАНА Ж-555</t>
  </si>
  <si>
    <t xml:space="preserve">34,7 </t>
  </si>
  <si>
    <t>https://www.oreht.ru/modules.php?name=orehtPriceLS&amp;op=Search&amp;page=1&amp;stext=450140</t>
  </si>
  <si>
    <t>Лопатка 1366</t>
  </si>
  <si>
    <t>https://www.oreht.ru/modules.php?name=orehtPriceLS&amp;op=Search&amp;page=1&amp;stext=305674</t>
  </si>
  <si>
    <t>Ледянка с ручкой "Вихрь" микс (уп.20) М7286 г.Октябрьский</t>
  </si>
  <si>
    <t xml:space="preserve">36 </t>
  </si>
  <si>
    <t>https://www.oreht.ru/modules.php?name=orehtPriceLS&amp;op=Search&amp;page=1&amp;stext=308611</t>
  </si>
  <si>
    <t>Мини-лыжи большие Р-2 г.Ижевск</t>
  </si>
  <si>
    <t>https://www.oreht.ru/modules.php?name=orehtPriceLS&amp;op=Search&amp;page=1&amp;stext=386981</t>
  </si>
  <si>
    <t>Ледянка игрушка принт.ЛПП4054/ЗБ2 зимний баклажановый</t>
  </si>
  <si>
    <t>https://www.oreht.ru/modules.php?name=orehtPriceLS&amp;op=Search&amp;page=1&amp;stext=425529</t>
  </si>
  <si>
    <t>Ледянка Игрушка принт.ЛГП52/Ф с фламинго</t>
  </si>
  <si>
    <t>https://www.oreht.ru/modules.php?name=orehtPriceLS&amp;op=Search&amp;page=1&amp;stext=423558</t>
  </si>
  <si>
    <t>Ледянка игрушка принт.ЛГП52/ЗБ2 зимний баклажановый</t>
  </si>
  <si>
    <t>https://www.oreht.ru/modules.php?name=orehtPriceLS&amp;op=Search&amp;page=1&amp;stext=424598</t>
  </si>
  <si>
    <t>Ледянка игрушка принт.ЛГП52/С северный</t>
  </si>
  <si>
    <t>https://www.oreht.ru/modules.php?name=orehtPriceLS&amp;op=Search&amp;page=1&amp;stext=382587</t>
  </si>
  <si>
    <t>Ледянка игрушка ЛРФ45/З2 Фикси ледянка на зеленом</t>
  </si>
  <si>
    <t xml:space="preserve">199,4 </t>
  </si>
  <si>
    <t>https://www.oreht.ru/modules.php?name=orehtPriceLS&amp;op=Search&amp;page=1&amp;stext=382588</t>
  </si>
  <si>
    <t>Ледянка игрушка ЛРФ45/О2 Фикси ледянка на оранжевом</t>
  </si>
  <si>
    <t>https://www.oreht.ru/modules.php?name=orehtPriceLS&amp;op=Search&amp;page=1&amp;stext=382585</t>
  </si>
  <si>
    <t>Ледянка игрушка с рисунком ЛР45/М2 рисунок с медвежонком</t>
  </si>
  <si>
    <t xml:space="preserve">201,6 </t>
  </si>
  <si>
    <t>https://www.oreht.ru/modules.php?name=orehtPriceLS&amp;op=Search&amp;page=1&amp;stext=60475</t>
  </si>
  <si>
    <t>Ледянка "МЕТЕОР" г.Ижевск</t>
  </si>
  <si>
    <t xml:space="preserve">204 </t>
  </si>
  <si>
    <t>https://www.oreht.ru/modules.php?name=orehtPriceLS&amp;op=Search&amp;page=1&amp;stext=59727</t>
  </si>
  <si>
    <t>Ледянка "НЛО" г.Ижевск</t>
  </si>
  <si>
    <t>https://www.oreht.ru/modules.php?name=orehtPriceLS&amp;op=Search&amp;page=1&amp;stext=386984</t>
  </si>
  <si>
    <t>Ледянка игрушка с рисунком ЛПР4054/Л2 рисунок с лисичкой</t>
  </si>
  <si>
    <t>https://www.oreht.ru/modules.php?name=orehtPriceLS&amp;op=Search&amp;page=1&amp;stext=311992</t>
  </si>
  <si>
    <t>Ледянка "СИРИУС" г.Ижевск</t>
  </si>
  <si>
    <t xml:space="preserve">261 </t>
  </si>
  <si>
    <t>https://www.oreht.ru/modules.php?name=orehtPriceLS&amp;op=Search&amp;page=1&amp;stext=59725</t>
  </si>
  <si>
    <t>Санки-ледянка "Карета" г.Ижевск</t>
  </si>
  <si>
    <t xml:space="preserve">555 </t>
  </si>
  <si>
    <t>https://www.oreht.ru/modules.php?name=orehtPriceLS&amp;op=Search&amp;page=1&amp;stext=454185</t>
  </si>
  <si>
    <t>Санки дет."Ветерок 5" игрушка В5/АЛ2 алый</t>
  </si>
  <si>
    <t xml:space="preserve">564,5 </t>
  </si>
  <si>
    <t>https://www.oreht.ru/modules.php?name=orehtPriceLS&amp;op=Search&amp;page=1&amp;stext=59724</t>
  </si>
  <si>
    <t>Санки-ледянка "Мини-боб" г.Ижевск</t>
  </si>
  <si>
    <t xml:space="preserve">587 </t>
  </si>
  <si>
    <t>https://www.oreht.ru/modules.php?name=orehtPriceLS&amp;op=Search&amp;page=1&amp;stext=456406</t>
  </si>
  <si>
    <t>Санки дет."Ветерок 1" игрушка В1/АЛ2 алый</t>
  </si>
  <si>
    <t xml:space="preserve">588 </t>
  </si>
  <si>
    <t>https://www.oreht.ru/modules.php?name=orehtPriceLS&amp;op=Search&amp;page=1&amp;stext=456407</t>
  </si>
  <si>
    <t>Санки дет."Ветерок 1" игрушка В1/Г2 голубой</t>
  </si>
  <si>
    <t>https://www.oreht.ru/modules.php?name=orehtPriceLS&amp;op=Search&amp;page=1&amp;stext=416545</t>
  </si>
  <si>
    <t>Санки дет."Ветерок 1" игрушка В1/З2 зеленый</t>
  </si>
  <si>
    <t>https://www.oreht.ru/modules.php?name=orehtPriceLS&amp;op=Search&amp;page=1&amp;stext=453488</t>
  </si>
  <si>
    <t>Санки дет."Ветерок 2" игрушка В2/АЛ2 алый</t>
  </si>
  <si>
    <t>https://www.oreht.ru/modules.php?name=orehtPriceLS&amp;op=Search&amp;page=1&amp;stext=454183</t>
  </si>
  <si>
    <t>Санки дет."Ветерок 2" игрушка В2/Г2 голубой</t>
  </si>
  <si>
    <t>https://www.oreht.ru/modules.php?name=orehtPriceLS&amp;op=Search&amp;page=1&amp;stext=420829</t>
  </si>
  <si>
    <t>Тюбинг Игрушка ТБЭ-80/М2 малиновый/лавандовый</t>
  </si>
  <si>
    <t>https://www.oreht.ru/modules.php?name=orehtPriceLS&amp;op=Search&amp;page=1&amp;stext=273010</t>
  </si>
  <si>
    <t>Санки-ледянки ОХОТНИЧЬИ С КОЛЬЦОМ черные №3, 920*690*240</t>
  </si>
  <si>
    <t xml:space="preserve">915 </t>
  </si>
  <si>
    <t>https://www.oreht.ru/modules.php?name=orehtPriceLS&amp;op=Search&amp;page=1&amp;stext=428997</t>
  </si>
  <si>
    <t>Тюбинг Игрушка "Классик" ТБ1К-70/БСР2 баклажановый-серебро</t>
  </si>
  <si>
    <t xml:space="preserve">991,2 </t>
  </si>
  <si>
    <t>https://www.oreht.ru/modules.php?name=orehtPriceLS&amp;op=Search&amp;page=1&amp;stext=428998</t>
  </si>
  <si>
    <t>Тюбинг Игрушка "Классик" ТБ1К-70/ГЗ2 голубой-зеленый</t>
  </si>
  <si>
    <t>https://www.oreht.ru/modules.php?name=orehtPriceLS&amp;op=Search&amp;page=1&amp;stext=426627</t>
  </si>
  <si>
    <t>Тюбинг Игрушка ТБ5К-80/32 в стиле комиксов</t>
  </si>
  <si>
    <t>https://www.oreht.ru/modules.php?name=orehtPriceLS&amp;op=Search&amp;page=1&amp;stext=386707</t>
  </si>
  <si>
    <t>Тюбинг Игрушка ТБ5К-80/12 snowracer</t>
  </si>
  <si>
    <t xml:space="preserve">999,2 </t>
  </si>
  <si>
    <t>https://www.oreht.ru/modules.php?name=orehtPriceLS&amp;op=Search&amp;page=1&amp;stext=388454</t>
  </si>
  <si>
    <t>Тюбинг Игрушка с круговым дизайном ТБ3К-70/П2 с пришельцами</t>
  </si>
  <si>
    <t xml:space="preserve">1094,2 </t>
  </si>
  <si>
    <t>https://www.oreht.ru/modules.php?name=orehtPriceLS&amp;op=Search&amp;page=1&amp;stext=386705</t>
  </si>
  <si>
    <t>Тюбинг Игрушка принт.ТБ2К-70/12 "Nika sport" голубой</t>
  </si>
  <si>
    <t xml:space="preserve">1096,5 </t>
  </si>
  <si>
    <t>https://www.oreht.ru/modules.php?name=orehtPriceLS&amp;op=Search&amp;page=1&amp;stext=382593</t>
  </si>
  <si>
    <t>Тюбинг Игрушка принт.ТБ2К-70/42 "Nika sport" зеленый</t>
  </si>
  <si>
    <t>https://www.oreht.ru/modules.php?name=orehtPriceLS&amp;op=Search&amp;page=1&amp;stext=382595</t>
  </si>
  <si>
    <t>Тюбинг Игрушка принт.ТБ2К-70/ПА2 Пушистая азбука</t>
  </si>
  <si>
    <t>https://www.oreht.ru/modules.php?name=orehtPriceLS&amp;op=Search&amp;page=1&amp;stext=386633</t>
  </si>
  <si>
    <t>Тюбинг Игрушка принт.ТБ2К-70/Э2 "Nika kids extreme"</t>
  </si>
  <si>
    <t>https://www.oreht.ru/modules.php?name=orehtPriceLS&amp;op=Search&amp;page=1&amp;stext=388457</t>
  </si>
  <si>
    <t>Тюбинг Игрушка ТБ5К-90/12 snowracer</t>
  </si>
  <si>
    <t xml:space="preserve">1131,2 </t>
  </si>
  <si>
    <t>https://www.oreht.ru/modules.php?name=orehtPriceLS&amp;op=Search&amp;page=1&amp;stext=388458</t>
  </si>
  <si>
    <t>Тюбинг Игрушка ТБ5К-90/32 в стиле комиксов</t>
  </si>
  <si>
    <t>https://www.oreht.ru/modules.php?name=orehtPriceLS&amp;op=Search&amp;page=1&amp;stext=273009</t>
  </si>
  <si>
    <t>Санки-ледянки ОХОТНИЧЬИ С КОЛЬЦОМ черные №5, 1200*600*250</t>
  </si>
  <si>
    <t xml:space="preserve">1146 </t>
  </si>
  <si>
    <t>https://www.oreht.ru/modules.php?name=orehtPriceLS&amp;op=Search&amp;page=1&amp;stext=345822</t>
  </si>
  <si>
    <t>Тюбинг Игрушка "Классик" ТБ1К-85/БСР2 баклажановый/серебро Nika</t>
  </si>
  <si>
    <t xml:space="preserve">1160,3 </t>
  </si>
  <si>
    <t>https://www.oreht.ru/modules.php?name=orehtPriceLS&amp;op=Search&amp;page=1&amp;stext=382591</t>
  </si>
  <si>
    <t>Тюбинг Игрушка "Классик" ТБ1К-85/ГСР2 голубой-серебро</t>
  </si>
  <si>
    <t>https://www.oreht.ru/modules.php?name=orehtPriceLS&amp;op=Search&amp;page=1&amp;stext=393643</t>
  </si>
  <si>
    <t>Тюбинг Игрушка "Классик" ТБ1К-85/КЖ2 красный-желтый</t>
  </si>
  <si>
    <t>https://www.oreht.ru/modules.php?name=orehtPriceLS&amp;op=Search&amp;page=1&amp;stext=345837</t>
  </si>
  <si>
    <t>Тюбинг Игрушка "Классик" ТБ1К-85/ОЖ2 оранжевый/желтый Nika</t>
  </si>
  <si>
    <t>https://www.oreht.ru/modules.php?name=orehtPriceLS&amp;op=Search&amp;page=1&amp;stext=345834</t>
  </si>
  <si>
    <t>Тюбинг Игрушка "Классик" ТБ1К-85/СЖ2 синий/желтый Nika</t>
  </si>
  <si>
    <t>https://www.oreht.ru/modules.php?name=orehtPriceLS&amp;op=Search&amp;page=1&amp;stext=383655</t>
  </si>
  <si>
    <t>Тюбинг Игрушка с круговым дизайном ТБ3К-70/ОС2 Остров Nika kids</t>
  </si>
  <si>
    <t xml:space="preserve">1210,7 </t>
  </si>
  <si>
    <t>https://www.oreht.ru/modules.php?name=orehtPriceLS&amp;op=Search&amp;page=1&amp;stext=451806</t>
  </si>
  <si>
    <t>Тюбинг Игрушка ТБ2К-85/Д археологический</t>
  </si>
  <si>
    <t xml:space="preserve">1282,4 </t>
  </si>
  <si>
    <t>https://www.oreht.ru/modules.php?name=orehtPriceLS&amp;op=Search&amp;page=1&amp;stext=451807</t>
  </si>
  <si>
    <t>Тюбинг Игрушка ТБ2К-85/ЗМ с забавными медвежатами</t>
  </si>
  <si>
    <t>https://www.oreht.ru/modules.php?name=orehtPriceLS&amp;op=Search&amp;page=1&amp;stext=136261</t>
  </si>
  <si>
    <t>Уплотнительная прокладка RCS (RNSA) овал арт.66109</t>
  </si>
  <si>
    <t>https://www.oreht.ru/modules.php?name=orehtPriceLS&amp;op=Search&amp;page=1&amp;stext=343792</t>
  </si>
  <si>
    <t>Тюбинг Игрушка принт.ТБ2К-85/22 "Nika sport" фиолетовый Nika</t>
  </si>
  <si>
    <t>https://www.oreht.ru/modules.php?name=orehtPriceLS&amp;op=Search&amp;page=1&amp;stext=344828</t>
  </si>
  <si>
    <t>Тюбинг Игрушка принт.ТБ2К-85/32 "Nika sport" лимонный Nika</t>
  </si>
  <si>
    <t>https://www.oreht.ru/modules.php?name=orehtPriceLS&amp;op=Search&amp;page=1&amp;stext=349337</t>
  </si>
  <si>
    <t>Тюбинг Игрушка принт.ТБ2К-85/К2 c красками Nika</t>
  </si>
  <si>
    <t>https://www.oreht.ru/modules.php?name=orehtPriceLS&amp;op=Search&amp;page=1&amp;stext=451804</t>
  </si>
  <si>
    <t>Тюбинг Игрушка принт.ТБ2К-85/КН c конфетками Nika</t>
  </si>
  <si>
    <t>https://www.oreht.ru/modules.php?name=orehtPriceLS&amp;op=Search&amp;page=1&amp;stext=456413</t>
  </si>
  <si>
    <t>Тюбинг Игрушка принт.ТБ2К-85/П с пингвинами</t>
  </si>
  <si>
    <t>https://www.oreht.ru/modules.php?name=orehtPriceLS&amp;op=Search&amp;page=1&amp;stext=442454</t>
  </si>
  <si>
    <t>Кипятильник электрический HomeStar HB- 012 (1,2 кВт)</t>
  </si>
  <si>
    <t xml:space="preserve">94 </t>
  </si>
  <si>
    <t>https://www.oreht.ru/modules.php?name=orehtPriceLS&amp;op=Search&amp;page=1&amp;stext=342974</t>
  </si>
  <si>
    <t>Тюбинг Игрушка принт.ТБ2К-85/Э2 Экстрим Nika</t>
  </si>
  <si>
    <t>https://www.oreht.ru/modules.php?name=orehtPriceLS&amp;op=Search&amp;page=1&amp;stext=345814</t>
  </si>
  <si>
    <t>Санки дет.двойняшки игрушка СД/К2 красный Nika</t>
  </si>
  <si>
    <t xml:space="preserve">1315,4 </t>
  </si>
  <si>
    <t>https://www.oreht.ru/modules.php?name=orehtPriceLS&amp;op=Search&amp;page=1&amp;stext=386703</t>
  </si>
  <si>
    <t>Тюбинг Игрушка ТБ1КР-85/Д с динозавриком</t>
  </si>
  <si>
    <t xml:space="preserve">1354,1 </t>
  </si>
  <si>
    <t>https://www.oreht.ru/modules.php?name=orehtPriceLS&amp;op=Search&amp;page=1&amp;stext=463302</t>
  </si>
  <si>
    <t>Пульт дистанционного управления DDL-1034</t>
  </si>
  <si>
    <t xml:space="preserve">111 </t>
  </si>
  <si>
    <t>https://www.oreht.ru/modules.php?name=orehtPriceLS&amp;op=Search&amp;page=1&amp;stext=345668</t>
  </si>
  <si>
    <t>Тюбинг Игрушка ТБ1КР-85/П2 баклажановый/серебро (рис. с пришельцами) Nika</t>
  </si>
  <si>
    <t>https://www.oreht.ru/modules.php?name=orehtPriceLS&amp;op=Search&amp;page=1&amp;stext=429534</t>
  </si>
  <si>
    <t>Тюбинг Игрушка с круговым дизайном ТБ3К-85/12 с роботами</t>
  </si>
  <si>
    <t xml:space="preserve">1383,2 </t>
  </si>
  <si>
    <t>https://www.oreht.ru/modules.php?name=orehtPriceLS&amp;op=Search&amp;page=1&amp;stext=393646</t>
  </si>
  <si>
    <t>Тюбинг Игрушка с круговым дизайном ТБ3К-85/22 "Nika kids микс"</t>
  </si>
  <si>
    <t>https://www.oreht.ru/modules.php?name=orehtPriceLS&amp;op=Search&amp;page=1&amp;stext=375008</t>
  </si>
  <si>
    <t>Антенна телевизионная комнатная с усилителем МВ+ДМВ YB1-002 пассивная</t>
  </si>
  <si>
    <t xml:space="preserve">113 </t>
  </si>
  <si>
    <t>https://www.oreht.ru/modules.php?name=orehtPriceLS&amp;op=Search&amp;page=1&amp;stext=425527</t>
  </si>
  <si>
    <t>Тюбинг Игрушка с круговым дизайном ТБ3К-85/32 радужный</t>
  </si>
  <si>
    <t>https://www.oreht.ru/modules.php?name=orehtPriceLS&amp;op=Search&amp;page=1&amp;stext=366767</t>
  </si>
  <si>
    <t>Поддон для пастилы ЗЭБИ.754851.016</t>
  </si>
  <si>
    <t xml:space="preserve">121 </t>
  </si>
  <si>
    <t>https://www.oreht.ru/modules.php?name=orehtPriceLS&amp;op=Search&amp;page=1&amp;stext=456416</t>
  </si>
  <si>
    <t>Тюбинг Игрушка с круговым дизайном ТБ3К-85/Г грейпфрут</t>
  </si>
  <si>
    <t>https://www.oreht.ru/modules.php?name=orehtPriceLS&amp;op=Search&amp;page=1&amp;stext=386637</t>
  </si>
  <si>
    <t>Тюбинг Игрушка с круговым дизайном ТБ3К-85/З2 Nika kids зимний</t>
  </si>
  <si>
    <t>https://www.oreht.ru/modules.php?name=orehtPriceLS&amp;op=Search&amp;page=1&amp;stext=391780</t>
  </si>
  <si>
    <t>Кабель HARPER SCH-730 White</t>
  </si>
  <si>
    <t xml:space="preserve">126 </t>
  </si>
  <si>
    <t>https://www.oreht.ru/modules.php?name=orehtPriceLS&amp;op=Search&amp;page=1&amp;stext=275704</t>
  </si>
  <si>
    <t>36 решетка перепелиная (78 ячейки) №3</t>
  </si>
  <si>
    <t xml:space="preserve">127 </t>
  </si>
  <si>
    <t>https://www.oreht.ru/modules.php?name=orehtPriceLS&amp;op=Search&amp;page=1&amp;stext=391781</t>
  </si>
  <si>
    <t>Автомобильное зарядное устройство OLTO CCH-2105</t>
  </si>
  <si>
    <t>https://www.oreht.ru/modules.php?name=orehtPriceLS&amp;op=Search&amp;page=1&amp;stext=386706</t>
  </si>
  <si>
    <t>Тюбинг Игрушка с круговым дизайном ТБ3К-85/ПЛ2 с планетами</t>
  </si>
  <si>
    <t>https://www.oreht.ru/modules.php?name=orehtPriceLS&amp;op=Search&amp;page=1&amp;stext=345666</t>
  </si>
  <si>
    <t>Тюбинг Игрушка с круговым дизайном ТБ3К-85/ПЧ2 "Пончик" Nika</t>
  </si>
  <si>
    <t>https://www.oreht.ru/modules.php?name=orehtPriceLS&amp;op=Search&amp;page=1&amp;stext=349328</t>
  </si>
  <si>
    <t>Тюбинг Игрушка "Классик" ТБ1К-95/БСР2 баклажановый-серебро Nika</t>
  </si>
  <si>
    <t xml:space="preserve">1490,7 </t>
  </si>
  <si>
    <t>https://www.oreht.ru/modules.php?name=orehtPriceLS&amp;op=Search&amp;page=1&amp;stext=351870</t>
  </si>
  <si>
    <t>Тюбинг Игрушка "Классик" ТБ1К-95/СЖ2 синий-желтый</t>
  </si>
  <si>
    <t>https://www.oreht.ru/modules.php?name=orehtPriceLS&amp;op=Search&amp;page=1&amp;stext=415580</t>
  </si>
  <si>
    <t>Тюбинг Игрушка принт. NT-80/1 "Neotube silver"</t>
  </si>
  <si>
    <t xml:space="preserve">1493 </t>
  </si>
  <si>
    <t>https://www.oreht.ru/modules.php?name=orehtPriceLS&amp;op=Search&amp;page=1&amp;stext=420832</t>
  </si>
  <si>
    <t>Тюбинг Игрушка принт. NT-80/2 "Neotube green"</t>
  </si>
  <si>
    <t>https://www.oreht.ru/modules.php?name=orehtPriceLS&amp;op=Search&amp;page=1&amp;stext=346430</t>
  </si>
  <si>
    <t>Автомобильное зарядное устройство HARPER CCH-3115 BLACK lght cbl</t>
  </si>
  <si>
    <t xml:space="preserve">150 </t>
  </si>
  <si>
    <t>https://www.oreht.ru/modules.php?name=orehtPriceLS&amp;op=Search&amp;page=1&amp;stext=419215</t>
  </si>
  <si>
    <t>Снегокат Игрушка TWINY 1 TW1+/Э Nika kids экстрим</t>
  </si>
  <si>
    <t xml:space="preserve">1500,8 </t>
  </si>
  <si>
    <t>https://www.oreht.ru/modules.php?name=orehtPriceLS&amp;op=Search&amp;page=1&amp;stext=119090</t>
  </si>
  <si>
    <t>Эл. кипятильник ЭТП 0.5/220 (г.Курск)</t>
  </si>
  <si>
    <t xml:space="preserve">159 </t>
  </si>
  <si>
    <t>https://www.oreht.ru/modules.php?name=orehtPriceLS&amp;op=Search&amp;page=1&amp;stext=415578</t>
  </si>
  <si>
    <t>Тюбинг Игрушка ТБ1-80/ММ с ми-ми-мишками</t>
  </si>
  <si>
    <t>https://www.oreht.ru/modules.php?name=orehtPriceLS&amp;op=Search&amp;page=1&amp;stext=386698</t>
  </si>
  <si>
    <t>Снегокат Игрушка "Тимка спорт" ТСЛ/Б2 белый</t>
  </si>
  <si>
    <t xml:space="preserve">1510,9 </t>
  </si>
  <si>
    <t>https://www.oreht.ru/modules.php?name=orehtPriceLS&amp;op=Search&amp;page=1&amp;stext=386699</t>
  </si>
  <si>
    <t>Снегокат Игрушка "Тимка спорт" ТСЛ/К2 красный</t>
  </si>
  <si>
    <t>https://www.oreht.ru/modules.php?name=orehtPriceLS&amp;op=Search&amp;page=1&amp;stext=386700</t>
  </si>
  <si>
    <t>Снегокат Игрушка "Тимка спорт" ТСЛ/Ч2 черный</t>
  </si>
  <si>
    <t>https://www.oreht.ru/modules.php?name=orehtPriceLS&amp;op=Search&amp;page=1&amp;stext=429529</t>
  </si>
  <si>
    <t>Тюбинг Игрушка "Классический+" ТБ6К-100/СЖ2 синий-желтый</t>
  </si>
  <si>
    <t xml:space="preserve">1555,7 </t>
  </si>
  <si>
    <t>https://www.oreht.ru/modules.php?name=orehtPriceLS&amp;op=Search&amp;page=1&amp;stext=463239</t>
  </si>
  <si>
    <t>Санки дет."Тимка 3К универсал" игрушка Т3КУ/А2 алый</t>
  </si>
  <si>
    <t xml:space="preserve">1556,8 </t>
  </si>
  <si>
    <t>https://www.oreht.ru/modules.php?name=orehtPriceLS&amp;op=Search&amp;page=1&amp;stext=386987</t>
  </si>
  <si>
    <t>Санки дет."Тимка 3К универсал" игрушка Т3КУ/З2 зеленый</t>
  </si>
  <si>
    <t>https://www.oreht.ru/modules.php?name=orehtPriceLS&amp;op=Search&amp;page=1&amp;stext=451809</t>
  </si>
  <si>
    <t>Тюбинг Игрушка ТБ2К-95/ЗМ с забавными медвежатами</t>
  </si>
  <si>
    <t>https://www.oreht.ru/modules.php?name=orehtPriceLS&amp;op=Search&amp;page=1&amp;stext=275711</t>
  </si>
  <si>
    <t>77 решетка гусиная (40 ячеек) №12</t>
  </si>
  <si>
    <t xml:space="preserve">172 </t>
  </si>
  <si>
    <t>https://www.oreht.ru/modules.php?name=orehtPriceLS&amp;op=Search&amp;page=1&amp;stext=451810</t>
  </si>
  <si>
    <t>Тюбинг Игрушка ТБ2К-95/П с пингвинами</t>
  </si>
  <si>
    <t>https://www.oreht.ru/modules.php?name=orehtPriceLS&amp;op=Search&amp;page=1&amp;stext=349340</t>
  </si>
  <si>
    <t>Тюбинг Игрушка принт.ТБ2К-95/Б2 с бабочками Nika</t>
  </si>
  <si>
    <t xml:space="preserve">1615 </t>
  </si>
  <si>
    <t>https://www.oreht.ru/modules.php?name=orehtPriceLS&amp;op=Search&amp;page=1&amp;stext=351452</t>
  </si>
  <si>
    <t>Санки дет."Тимка 5 универсал" игрушка Т5У/К2 красный Nika</t>
  </si>
  <si>
    <t>https://www.oreht.ru/modules.php?name=orehtPriceLS&amp;op=Search&amp;page=1&amp;stext=351451</t>
  </si>
  <si>
    <t>Санки дет."Тимка 5 универсал" игрушка Т5У/СН2 сиреневый Nika</t>
  </si>
  <si>
    <t xml:space="preserve">1616,2 </t>
  </si>
  <si>
    <t>https://www.oreht.ru/modules.php?name=orehtPriceLS&amp;op=Search&amp;page=1&amp;stext=420324</t>
  </si>
  <si>
    <t>Тюбинг Игрушка ТБ1КР-95/Д с динозавриком</t>
  </si>
  <si>
    <t xml:space="preserve">1646,4 </t>
  </si>
  <si>
    <t>https://www.oreht.ru/modules.php?name=orehtPriceLS&amp;op=Search&amp;page=1&amp;stext=138650</t>
  </si>
  <si>
    <t>Эл. сушилка д/обуви "Комфорт" (г.Москва)</t>
  </si>
  <si>
    <t xml:space="preserve">178 </t>
  </si>
  <si>
    <t>https://www.oreht.ru/modules.php?name=orehtPriceLS&amp;op=Search&amp;page=1&amp;stext=458150</t>
  </si>
  <si>
    <t>Тюбинг Игрушка ТБ1КР-95/МН с монстриками</t>
  </si>
  <si>
    <t>https://www.oreht.ru/modules.php?name=orehtPriceLS&amp;op=Search&amp;page=1&amp;stext=458151</t>
  </si>
  <si>
    <t>Тюбинг Игрушка ТБ1КР-95/СФ селфи Nika</t>
  </si>
  <si>
    <t>https://www.oreht.ru/modules.php?name=orehtPriceLS&amp;op=Search&amp;page=1&amp;stext=386628</t>
  </si>
  <si>
    <t>Тюбинг Игрушка "Классик" ТБ1К-110/СЖ2 синий-желтый</t>
  </si>
  <si>
    <t xml:space="preserve">1667,7 </t>
  </si>
  <si>
    <t>https://www.oreht.ru/modules.php?name=orehtPriceLS&amp;op=Search&amp;page=1&amp;stext=345854</t>
  </si>
  <si>
    <t>Санки дет."Тимка 6 универсал" игрушка Т6У/А2 амарантовый Nika</t>
  </si>
  <si>
    <t xml:space="preserve">1675,5 </t>
  </si>
  <si>
    <t>https://www.oreht.ru/modules.php?name=orehtPriceLS&amp;op=Search&amp;page=1&amp;stext=345819</t>
  </si>
  <si>
    <t>Санки дет."Тимка 6 универсал" игрушка Т6У/З2 зеленый Nika</t>
  </si>
  <si>
    <t>https://www.oreht.ru/modules.php?name=orehtPriceLS&amp;op=Search&amp;page=1&amp;stext=124935</t>
  </si>
  <si>
    <t>Кронштейн "Holder" - LCDS5001 (металлик)</t>
  </si>
  <si>
    <t xml:space="preserve">184 </t>
  </si>
  <si>
    <t>https://www.oreht.ru/modules.php?name=orehtPriceLS&amp;op=Search&amp;page=1&amp;stext=415581</t>
  </si>
  <si>
    <t>Тюбинг Игрушка принт. NT-90/2 "Neotube green"</t>
  </si>
  <si>
    <t>https://www.oreht.ru/modules.php?name=orehtPriceLS&amp;op=Search&amp;page=1&amp;stext=386686</t>
  </si>
  <si>
    <t>Снегокат Игрушка "Тимка спорт 2" ТС2/SB2 Nika kids sportbike (черный каркас)</t>
  </si>
  <si>
    <t xml:space="preserve">1786,4 </t>
  </si>
  <si>
    <t>https://www.oreht.ru/modules.php?name=orehtPriceLS&amp;op=Search&amp;page=1&amp;stext=415563</t>
  </si>
  <si>
    <t>Снегокат Игрушка "Тимка спорт 2" ТС2/Р2 с роботом (бордовый каркас)</t>
  </si>
  <si>
    <t>https://www.oreht.ru/modules.php?name=orehtPriceLS&amp;op=Search&amp;page=1&amp;stext=433891</t>
  </si>
  <si>
    <t>Разветвители прикуривателя MYSTERY MUC-2/2A</t>
  </si>
  <si>
    <t xml:space="preserve">193 </t>
  </si>
  <si>
    <t>https://www.oreht.ru/modules.php?name=orehtPriceLS&amp;op=Search&amp;page=1&amp;stext=354747</t>
  </si>
  <si>
    <t>Набор фильтров Аксинья КС-7003Ф, в наборе 2 шт., подходят для пылесоса Аксинья КС-7003</t>
  </si>
  <si>
    <t>https://www.oreht.ru/modules.php?name=orehtPriceLS&amp;op=Search&amp;page=1&amp;stext=415561</t>
  </si>
  <si>
    <t>Снегокат Игрушка "Тимка спорт 1" ТС1/Р2 с роботом (бордовый каркас)</t>
  </si>
  <si>
    <t>https://www.oreht.ru/modules.php?name=orehtPriceLS&amp;op=Search&amp;page=1&amp;stext=386708</t>
  </si>
  <si>
    <t>Тюбинг Игрушка ТБМ2/Г2 голубой</t>
  </si>
  <si>
    <t>https://www.oreht.ru/modules.php?name=orehtPriceLS&amp;op=Search&amp;page=1&amp;stext=313401</t>
  </si>
  <si>
    <t>Антенна комнатная ДМВ+МВ пассивная с кольцом Эфир SE-910 (синие усы) 1м кабель 1м</t>
  </si>
  <si>
    <t xml:space="preserve">239 </t>
  </si>
  <si>
    <t>https://www.oreht.ru/modules.php?name=orehtPriceLS&amp;op=Search&amp;page=1&amp;stext=386709</t>
  </si>
  <si>
    <t>Тюбинг Игрушка ТБМ2/Ж2 желтый</t>
  </si>
  <si>
    <t>https://www.oreht.ru/modules.php?name=orehtPriceLS&amp;op=Search&amp;page=1&amp;stext=458115</t>
  </si>
  <si>
    <t>Снегокат Игрушка "Тимка спорт 2+" ТС2+/SC "Nika kids sportcar" (красный каркас)</t>
  </si>
  <si>
    <t xml:space="preserve">1820 </t>
  </si>
  <si>
    <t>https://www.oreht.ru/modules.php?name=orehtPriceLS&amp;op=Search&amp;page=1&amp;stext=354710</t>
  </si>
  <si>
    <t>Блок бреющий к "Агидель-21"</t>
  </si>
  <si>
    <t xml:space="preserve">247 </t>
  </si>
  <si>
    <t>https://www.oreht.ru/modules.php?name=orehtPriceLS&amp;op=Search&amp;page=1&amp;stext=420320</t>
  </si>
  <si>
    <t>Снегокат Игрушка "Тимка спорт 2+" ТС2+/SL slalom</t>
  </si>
  <si>
    <t>https://www.oreht.ru/modules.php?name=orehtPriceLS&amp;op=Search&amp;page=1&amp;stext=448068</t>
  </si>
  <si>
    <t>Автоантенна Mystery MANT -1</t>
  </si>
  <si>
    <t xml:space="preserve">252 </t>
  </si>
  <si>
    <t>https://www.oreht.ru/modules.php?name=orehtPriceLS&amp;op=Search&amp;page=1&amp;stext=249075</t>
  </si>
  <si>
    <t>Антенна HARPER ADVB-2010</t>
  </si>
  <si>
    <t xml:space="preserve">273 </t>
  </si>
  <si>
    <t>https://www.oreht.ru/modules.php?name=orehtPriceLS&amp;op=Search&amp;page=1&amp;stext=356589</t>
  </si>
  <si>
    <t>Чайник электрический "Капелька" (0,5л., 600Вт, красный)</t>
  </si>
  <si>
    <t xml:space="preserve">274 </t>
  </si>
  <si>
    <t>https://www.oreht.ru/modules.php?name=orehtPriceLS&amp;op=Search&amp;page=1&amp;stext=356587</t>
  </si>
  <si>
    <t>Чайник электрический "Капелька" (0,5л., 600Вт, желтый)</t>
  </si>
  <si>
    <t xml:space="preserve">275 </t>
  </si>
  <si>
    <t>https://www.oreht.ru/modules.php?name=orehtPriceLS&amp;op=Search&amp;page=1&amp;stext=356588</t>
  </si>
  <si>
    <t>Чайник электрический "Капелька" (0,5л., 600Вт, зеленый)</t>
  </si>
  <si>
    <t xml:space="preserve">276 </t>
  </si>
  <si>
    <t>https://www.oreht.ru/modules.php?name=orehtPriceLS&amp;op=Search&amp;page=1&amp;stext=356590</t>
  </si>
  <si>
    <t>Чайник электрический "Капелька" (0,5л., 600Вт, синий)</t>
  </si>
  <si>
    <t>https://www.oreht.ru/modules.php?name=orehtPriceLS&amp;op=Search&amp;page=1&amp;stext=458057</t>
  </si>
  <si>
    <t>Снегокат Игрушка "Тимка спорт 1+" ТС1+/Г с гонщиком</t>
  </si>
  <si>
    <t xml:space="preserve">1851,4 </t>
  </si>
  <si>
    <t>https://www.oreht.ru/modules.php?name=orehtPriceLS&amp;op=Search&amp;page=1&amp;stext=232434</t>
  </si>
  <si>
    <t>Щипцы для выпрямления волос ВАСИЛИСА ПВ1-25 (50) розовый, керам. покрытие, 25Вт</t>
  </si>
  <si>
    <t xml:space="preserve">284 </t>
  </si>
  <si>
    <t>https://www.oreht.ru/modules.php?name=orehtPriceLS&amp;op=Search&amp;page=1&amp;stext=456404</t>
  </si>
  <si>
    <t>Санки дет."Nikki 3" игрушка N3/АЛ2 алый</t>
  </si>
  <si>
    <t xml:space="preserve">1927,5 </t>
  </si>
  <si>
    <t>https://www.oreht.ru/modules.php?name=orehtPriceLS&amp;op=Search&amp;page=1&amp;stext=311245</t>
  </si>
  <si>
    <t>Воронка ГСМ Oktan 135 г. Самара</t>
  </si>
  <si>
    <t>https://www.oreht.ru/modules.php?name=orehtPriceLS&amp;op=Search&amp;page=1&amp;stext=311246</t>
  </si>
  <si>
    <t>Воронка ГСМ Oktan 160 г. Самара</t>
  </si>
  <si>
    <t>https://www.oreht.ru/modules.php?name=orehtPriceLS&amp;op=Search&amp;page=1&amp;stext=349200</t>
  </si>
  <si>
    <t>Воронка ГСМ Oktan с непроливайкой 135 г. Самара</t>
  </si>
  <si>
    <t>https://www.oreht.ru/modules.php?name=orehtPriceLS&amp;op=Search&amp;page=1&amp;stext=437853</t>
  </si>
  <si>
    <t>Канистра 10л со сливом Radivas зеленая г. Самара</t>
  </si>
  <si>
    <t>https://www.oreht.ru/modules.php?name=orehtPriceLS&amp;op=Search&amp;page=1&amp;stext=313754</t>
  </si>
  <si>
    <t>Канистра ГСМ KESSLER желтая 5л г. Самара</t>
  </si>
  <si>
    <t xml:space="preserve">412 </t>
  </si>
  <si>
    <t>https://www.oreht.ru/modules.php?name=orehtPriceLS&amp;op=Search&amp;page=1&amp;stext=311236</t>
  </si>
  <si>
    <t>Канистра ГСМ Oktan Классик красная 10л г. Самара</t>
  </si>
  <si>
    <t>https://www.oreht.ru/modules.php?name=orehtPriceLS&amp;op=Search&amp;page=1&amp;stext=311235</t>
  </si>
  <si>
    <t>Канистра ГСМ Oktan Классик красная 5л г. Самара</t>
  </si>
  <si>
    <t xml:space="preserve">218 </t>
  </si>
  <si>
    <t>https://www.oreht.ru/modules.php?name=orehtPriceLS&amp;op=Search&amp;page=1&amp;stext=311240</t>
  </si>
  <si>
    <t>Канистра ГСМ Oktan Профи зеленая 10л г. Самара</t>
  </si>
  <si>
    <t xml:space="preserve">436 </t>
  </si>
  <si>
    <t>https://www.oreht.ru/modules.php?name=orehtPriceLS&amp;op=Search&amp;page=1&amp;stext=104491</t>
  </si>
  <si>
    <t>Бочка 30л БЕЛАЯ Термолюкс г.Ижевск</t>
  </si>
  <si>
    <t xml:space="preserve">459 </t>
  </si>
  <si>
    <t>https://www.oreht.ru/modules.php?name=orehtPriceLS&amp;op=Search&amp;page=1&amp;stext=337327</t>
  </si>
  <si>
    <t>Бочка 30л ДАЧНАЯ ЦВЕТНАЯ квадратная Термолюкс г.Ижевск</t>
  </si>
  <si>
    <t xml:space="preserve">418 </t>
  </si>
  <si>
    <t>https://www.oreht.ru/modules.php?name=orehtPriceLS&amp;op=Search&amp;page=1&amp;stext=361689</t>
  </si>
  <si>
    <t>Бочка 30л ДАЧНАЯ ЦВЕТНАЯ круглая г.Ижевск</t>
  </si>
  <si>
    <t xml:space="preserve">420 </t>
  </si>
  <si>
    <t>https://www.oreht.ru/modules.php?name=orehtPriceLS&amp;op=Search&amp;page=1&amp;stext=104492</t>
  </si>
  <si>
    <t>Бочка 30л ЦВЕТНАЯ Термолюкс г.Ижевск</t>
  </si>
  <si>
    <t xml:space="preserve">451 </t>
  </si>
  <si>
    <t>https://www.oreht.ru/modules.php?name=orehtPriceLS&amp;op=Search&amp;page=1&amp;stext=429041</t>
  </si>
  <si>
    <t>Горшок детский "Мишутка" с крышкой (голубой цвет) г.Ижевск</t>
  </si>
  <si>
    <t xml:space="preserve">132 </t>
  </si>
  <si>
    <t>https://www.oreht.ru/modules.php?name=orehtPriceLS&amp;op=Search&amp;page=1&amp;stext=429043</t>
  </si>
  <si>
    <t>Горшок детский "Мишутка" с крышкой (желтый цвет) г.Ижевск</t>
  </si>
  <si>
    <t>https://www.oreht.ru/modules.php?name=orehtPriceLS&amp;op=Search&amp;page=1&amp;stext=104497</t>
  </si>
  <si>
    <t>Канистра 10л (бел) ЕВРО ТНП г.Ижевск</t>
  </si>
  <si>
    <t>https://www.oreht.ru/modules.php?name=orehtPriceLS&amp;op=Search&amp;page=1&amp;stext=104499</t>
  </si>
  <si>
    <t>Канистра 5л (бел) "Капля" г.Ижевск</t>
  </si>
  <si>
    <t xml:space="preserve">91 </t>
  </si>
  <si>
    <t>https://www.oreht.ru/modules.php?name=orehtPriceLS&amp;op=Search&amp;page=1&amp;stext=386068</t>
  </si>
  <si>
    <t>Канистра 5л (бел) ручка сверху ТНП г.Ижевск</t>
  </si>
  <si>
    <t xml:space="preserve">81 </t>
  </si>
  <si>
    <t>https://www.oreht.ru/modules.php?name=orehtPriceLS&amp;op=Search&amp;page=1&amp;stext=228244</t>
  </si>
  <si>
    <t>Таз 14л особо прочный г.Ижевск</t>
  </si>
  <si>
    <t xml:space="preserve">154 </t>
  </si>
  <si>
    <t>https://www.oreht.ru/modules.php?name=orehtPriceLS&amp;op=Search&amp;page=1&amp;stext=228246</t>
  </si>
  <si>
    <t>Таз 24л круглый г.Ижевск</t>
  </si>
  <si>
    <t xml:space="preserve">206 </t>
  </si>
  <si>
    <t>https://www.oreht.ru/modules.php?name=orehtPriceLS&amp;op=Search&amp;page=1&amp;stext=374624</t>
  </si>
  <si>
    <t>Антенна BAS-1155-5V SPRINT-5</t>
  </si>
  <si>
    <t xml:space="preserve">293 </t>
  </si>
  <si>
    <t>https://www.oreht.ru/modules.php?name=orehtPriceLS&amp;op=Search&amp;page=1&amp;stext=360116</t>
  </si>
  <si>
    <t>Кронштейн для LED/LCD телевизоров Kromax OPTIMA-100 black, 10 шт./уп. (28001)</t>
  </si>
  <si>
    <t xml:space="preserve">295 </t>
  </si>
  <si>
    <t>https://www.oreht.ru/modules.php?name=orehtPriceLS&amp;op=Search&amp;page=1&amp;stext=433892</t>
  </si>
  <si>
    <t>Разветвители прикуривателя MYSTERY MUC-3/3A</t>
  </si>
  <si>
    <t xml:space="preserve">296 </t>
  </si>
  <si>
    <t>https://www.oreht.ru/modules.php?name=orehtPriceLS&amp;op=Search&amp;page=1&amp;stext=394294</t>
  </si>
  <si>
    <t>Ящик для цветов без дренажной решетки черный г.Ижевск</t>
  </si>
  <si>
    <t>https://www.oreht.ru/modules.php?name=orehtPriceLS&amp;op=Search&amp;page=1&amp;stext=406501</t>
  </si>
  <si>
    <t>Часы настенные кварцевые ENERGY модель EC-15 многоугольные (009315)</t>
  </si>
  <si>
    <t xml:space="preserve">297 </t>
  </si>
  <si>
    <t>https://www.oreht.ru/modules.php?name=orehtPriceLS&amp;op=Search&amp;page=1&amp;stext=312001</t>
  </si>
  <si>
    <t>Ящик для цветов с дренажной решеткой черный г.Ижевск</t>
  </si>
  <si>
    <t>https://www.oreht.ru/modules.php?name=orehtPriceLS&amp;op=Search&amp;page=1&amp;stext=356579</t>
  </si>
  <si>
    <t>Часы настенные кварцевые ENERGY модель EC-101 кофе (009474)</t>
  </si>
  <si>
    <t xml:space="preserve">301 </t>
  </si>
  <si>
    <t>https://www.oreht.ru/modules.php?name=orehtPriceLS&amp;op=Search&amp;page=1&amp;stext=358263</t>
  </si>
  <si>
    <t>Часы настенные кварцевые ENERGY модель EC-97 подсолнух (009470)</t>
  </si>
  <si>
    <t xml:space="preserve">303 </t>
  </si>
  <si>
    <t>https://www.oreht.ru/modules.php?name=orehtPriceLS&amp;op=Search&amp;page=1&amp;stext=281009</t>
  </si>
  <si>
    <t>Ведро 10л "ГАЛС" цвет:черный "Юнипласт"</t>
  </si>
  <si>
    <t>https://www.oreht.ru/modules.php?name=orehtPriceLS&amp;op=Search&amp;page=1&amp;stext=124936</t>
  </si>
  <si>
    <t>Кронштейн "Holder" - LCDS5002 (металлик)</t>
  </si>
  <si>
    <t xml:space="preserve">319 </t>
  </si>
  <si>
    <t>https://www.oreht.ru/modules.php?name=orehtPriceLS&amp;op=Search&amp;page=1&amp;stext=248521</t>
  </si>
  <si>
    <t>Таз 12л круглый, с ручками цветное "ЮниПласт"</t>
  </si>
  <si>
    <t>https://www.oreht.ru/modules.php?name=orehtPriceLS&amp;op=Search&amp;page=1&amp;stext=360086</t>
  </si>
  <si>
    <t>Кронштейн наст. LED/LCD телевизоров Arm media LCD-02 black, 48 шт./уп. (10213)</t>
  </si>
  <si>
    <t xml:space="preserve">329 </t>
  </si>
  <si>
    <t>https://www.oreht.ru/modules.php?name=orehtPriceLS&amp;op=Search&amp;page=1&amp;stext=326432</t>
  </si>
  <si>
    <t>Умывальник УМ-10 ЭлБЭТ Н</t>
  </si>
  <si>
    <t xml:space="preserve">338 </t>
  </si>
  <si>
    <t>https://www.oreht.ru/modules.php?name=orehtPriceLS&amp;op=Search&amp;page=1&amp;stext=292561</t>
  </si>
  <si>
    <t>Таз 14л усиленный, цвет черный г.Кукмор</t>
  </si>
  <si>
    <t xml:space="preserve">73 </t>
  </si>
  <si>
    <t>https://www.oreht.ru/modules.php?name=orehtPriceLS&amp;op=Search&amp;page=1&amp;stext=124955</t>
  </si>
  <si>
    <t>Кронштейн "Holder" - LCDS5049 (металлик)</t>
  </si>
  <si>
    <t xml:space="preserve">340 </t>
  </si>
  <si>
    <t>https://www.oreht.ru/modules.php?name=orehtPriceLS&amp;op=Search&amp;page=1&amp;stext=103594</t>
  </si>
  <si>
    <t>Ведро 10л черное г. Самара</t>
  </si>
  <si>
    <t xml:space="preserve">52 </t>
  </si>
  <si>
    <t>https://www.oreht.ru/modules.php?name=orehtPriceLS&amp;op=Search&amp;page=1&amp;stext=341655</t>
  </si>
  <si>
    <t>Анод магниевый Ф18-Ф21Х110 ВТИС715144.005ГЧ.г.Пенза</t>
  </si>
  <si>
    <t xml:space="preserve">341 </t>
  </si>
  <si>
    <t>https://www.oreht.ru/modules.php?name=orehtPriceLS&amp;op=Search&amp;page=1&amp;stext=387009</t>
  </si>
  <si>
    <t>Часы настенные кварцевые ENERGY модель EC-05 овальные (009305)</t>
  </si>
  <si>
    <t>https://www.oreht.ru/modules.php?name=orehtPriceLS&amp;op=Search&amp;page=1&amp;stext=103603</t>
  </si>
  <si>
    <t>Таз 15л черный г. Самара</t>
  </si>
  <si>
    <t>https://www.oreht.ru/modules.php?name=orehtPriceLS&amp;op=Search&amp;page=1&amp;stext=232436</t>
  </si>
  <si>
    <t>Щипцы для выпрямления волос ВАСИЛИСА ПВ2-25 (50) черный с красным, керам. покрытие, 25Вт</t>
  </si>
  <si>
    <t xml:space="preserve">346 </t>
  </si>
  <si>
    <t>https://www.oreht.ru/modules.php?name=orehtPriceLS&amp;op=Search&amp;page=1&amp;stext=375000</t>
  </si>
  <si>
    <t>Антенна телевизионная комнатная ДМВ CADENA BAS-5133-USB активная</t>
  </si>
  <si>
    <t>https://www.oreht.ru/modules.php?name=orehtPriceLS&amp;op=Search&amp;page=1&amp;stext=410650</t>
  </si>
  <si>
    <t>Кронштейн для ТВ К310</t>
  </si>
  <si>
    <t xml:space="preserve">360 </t>
  </si>
  <si>
    <t>https://www.oreht.ru/modules.php?name=orehtPriceLS&amp;op=Search&amp;page=1&amp;stext=124960</t>
  </si>
  <si>
    <t>Кронштейн "Holder" - LCDS5060 (черный глянец)</t>
  </si>
  <si>
    <t xml:space="preserve">366 </t>
  </si>
  <si>
    <t>https://www.oreht.ru/modules.php?name=orehtPriceLS&amp;op=Search&amp;page=1&amp;stext=392821</t>
  </si>
  <si>
    <t>Кашпо "Европа" 18л Ханпласт г.Нижнекамск</t>
  </si>
  <si>
    <t>https://www.oreht.ru/modules.php?name=orehtPriceLS&amp;op=Search&amp;page=1&amp;stext=354711</t>
  </si>
  <si>
    <t>Блок бреющий к "Агидель-3С"</t>
  </si>
  <si>
    <t xml:space="preserve">367 </t>
  </si>
  <si>
    <t>https://www.oreht.ru/modules.php?name=orehtPriceLS&amp;op=Search&amp;page=1&amp;stext=124983</t>
  </si>
  <si>
    <t>Комплект лапок антивибрационных GF-1</t>
  </si>
  <si>
    <t xml:space="preserve">376 </t>
  </si>
  <si>
    <t>https://www.oreht.ru/modules.php?name=orehtPriceLS&amp;op=Search&amp;page=1&amp;stext=235151</t>
  </si>
  <si>
    <t>Плойка для волос LIRA LR 0801 (мощность 30 Вт, d.19 мм)</t>
  </si>
  <si>
    <t>https://www.oreht.ru/modules.php?name=orehtPriceLS&amp;op=Search&amp;page=1&amp;stext=397077</t>
  </si>
  <si>
    <t>Автоантенна Mystery MANT -2</t>
  </si>
  <si>
    <t xml:space="preserve">378 </t>
  </si>
  <si>
    <t>https://www.oreht.ru/modules.php?name=orehtPriceLS&amp;op=Search&amp;page=1&amp;stext=446337</t>
  </si>
  <si>
    <t>Машинка для стрижки ENERGY EN-733 (арт.003648)</t>
  </si>
  <si>
    <t xml:space="preserve">379 </t>
  </si>
  <si>
    <t>https://www.oreht.ru/modules.php?name=orehtPriceLS&amp;op=Search&amp;page=1&amp;stext=446336</t>
  </si>
  <si>
    <t>Машинка для стрижки ENERGY EN-709 (арт.004705)</t>
  </si>
  <si>
    <t xml:space="preserve">380 </t>
  </si>
  <si>
    <t>https://www.oreht.ru/modules.php?name=orehtPriceLS&amp;op=Search&amp;page=1&amp;stext=389778</t>
  </si>
  <si>
    <t>Фиксированный подвес для телевизоров HARPER TVM-1742</t>
  </si>
  <si>
    <t xml:space="preserve">383 </t>
  </si>
  <si>
    <t>https://www.oreht.ru/modules.php?name=orehtPriceLS&amp;op=Search&amp;page=1&amp;stext=333759</t>
  </si>
  <si>
    <t>Машинка для стрижки сетевая econ ECO-BC03AC</t>
  </si>
  <si>
    <t xml:space="preserve">386 </t>
  </si>
  <si>
    <t>https://www.oreht.ru/modules.php?name=orehtPriceLS&amp;op=Search&amp;page=1&amp;stext=309308</t>
  </si>
  <si>
    <t>Таз 17л пищевой, овальный Ханпласт г.Нижнекамск</t>
  </si>
  <si>
    <t xml:space="preserve">155 </t>
  </si>
  <si>
    <t>https://www.oreht.ru/modules.php?name=orehtPriceLS&amp;op=Search&amp;page=1&amp;stext=461202</t>
  </si>
  <si>
    <t>Кашпо "Магнолия" 7,0л коричневое Ханпласт г.Нижнекамск</t>
  </si>
  <si>
    <t xml:space="preserve">90 </t>
  </si>
  <si>
    <t>https://www.oreht.ru/modules.php?name=orehtPriceLS&amp;op=Search&amp;page=1&amp;stext=461201</t>
  </si>
  <si>
    <t>Кашпо "Магнолия" 7,0л белое Ханпласт г.Нижнекамск</t>
  </si>
  <si>
    <t>https://www.oreht.ru/modules.php?name=orehtPriceLS&amp;op=Search&amp;page=1&amp;stext=345007</t>
  </si>
  <si>
    <t>Ведро 10л хозяйственное цветное г.Нижнекамск</t>
  </si>
  <si>
    <t>https://www.oreht.ru/modules.php?name=orehtPriceLS&amp;op=Search&amp;page=1&amp;stext=423766</t>
  </si>
  <si>
    <t>Кашпо для комн.растений "Классика" 2л БЕЛЫЙ г.Нижнекамск</t>
  </si>
  <si>
    <t xml:space="preserve">55 </t>
  </si>
  <si>
    <t>https://www.oreht.ru/modules.php?name=orehtPriceLS&amp;op=Search&amp;page=1&amp;stext=175399</t>
  </si>
  <si>
    <t>Таз 10л пищевой (круглый) г.Нижнекамск</t>
  </si>
  <si>
    <t>https://www.oreht.ru/modules.php?name=orehtPriceLS&amp;op=Search&amp;page=1&amp;stext=104763</t>
  </si>
  <si>
    <t>Таз 14л пищевой (круглый) г.Нижнекамск</t>
  </si>
  <si>
    <t xml:space="preserve">123 </t>
  </si>
  <si>
    <t>https://www.oreht.ru/modules.php?name=orehtPriceLS&amp;op=Search&amp;page=1&amp;stext=263670</t>
  </si>
  <si>
    <t>Вазон для цветов "Асти" 12.0л белый-черный (AS5 ALB-NGR) (17)</t>
  </si>
  <si>
    <t xml:space="preserve">417 </t>
  </si>
  <si>
    <t>https://www.oreht.ru/modules.php?name=orehtPriceLS&amp;op=Search&amp;page=1&amp;stext=263661</t>
  </si>
  <si>
    <t>Вазон для цветов "Асти" 2.5л золотой-черный (AS1 AUR-NGR) (6)</t>
  </si>
  <si>
    <t xml:space="preserve">164 </t>
  </si>
  <si>
    <t>https://www.oreht.ru/modules.php?name=orehtPriceLS&amp;op=Search&amp;page=1&amp;stext=343484</t>
  </si>
  <si>
    <t>Горшок для цветов "АРТЕ" 1,2л Цвет жемчуг-прозрачный (АРТ 1,2 Ж-П) (101)</t>
  </si>
  <si>
    <t xml:space="preserve">92 </t>
  </si>
  <si>
    <t>https://www.oreht.ru/modules.php?name=orehtPriceLS&amp;op=Search&amp;page=1&amp;stext=409679</t>
  </si>
  <si>
    <t>Антенна телевизионная комнатная активная Cadena 9411</t>
  </si>
  <si>
    <t xml:space="preserve">353 </t>
  </si>
  <si>
    <t>https://www.oreht.ru/modules.php?name=orehtPriceLS&amp;op=Search&amp;page=1&amp;stext=266692</t>
  </si>
  <si>
    <t>Горшок для цветов "АРТЕ" 2л Цвет прозрачный-прозрачный (АРТ 2 П-П) (64)</t>
  </si>
  <si>
    <t>https://www.oreht.ru/modules.php?name=orehtPriceLS&amp;op=Search&amp;page=1&amp;stext=263587</t>
  </si>
  <si>
    <t>Горшок для цветов "АРТЕ" 3,5л Цвет белый-черный (АРТ 3,5 Б-Ч) (126)</t>
  </si>
  <si>
    <t xml:space="preserve">144 </t>
  </si>
  <si>
    <t>https://www.oreht.ru/modules.php?name=orehtPriceLS&amp;op=Search&amp;page=1&amp;stext=341981</t>
  </si>
  <si>
    <t>Машинка для стрижки сетевая econ ECO-BC02AC</t>
  </si>
  <si>
    <t xml:space="preserve">389 </t>
  </si>
  <si>
    <t>https://www.oreht.ru/modules.php?name=orehtPriceLS&amp;op=Search&amp;page=1&amp;stext=294181</t>
  </si>
  <si>
    <t>Кронштейн для ТВ К320</t>
  </si>
  <si>
    <t>https://www.oreht.ru/modules.php?name=orehtPriceLS&amp;op=Search&amp;page=1&amp;stext=313919</t>
  </si>
  <si>
    <t>Проводной телефон BBK, Модель BKT-105 RU (цвет черный)</t>
  </si>
  <si>
    <t xml:space="preserve">390,7 </t>
  </si>
  <si>
    <t>https://www.oreht.ru/modules.php?name=orehtPriceLS&amp;op=Search&amp;page=1&amp;stext=263571</t>
  </si>
  <si>
    <t>Горшок для цветов "ДЕКО ТВИН" 4,0л, цвет Белый (ДЕК 4 БЕЛ) (87)</t>
  </si>
  <si>
    <t>https://www.oreht.ru/modules.php?name=orehtPriceLS&amp;op=Search&amp;page=1&amp;stext=464245</t>
  </si>
  <si>
    <t>Антенна телевизионная комнатная ДМВ CADENA BAS-5159-DX, активная</t>
  </si>
  <si>
    <t xml:space="preserve">393 </t>
  </si>
  <si>
    <t>https://www.oreht.ru/modules.php?name=orehtPriceLS&amp;op=Search&amp;page=1&amp;stext=333758</t>
  </si>
  <si>
    <t>Машинка для стрижки сетевая econ ECO-BC01AC</t>
  </si>
  <si>
    <t xml:space="preserve">395 </t>
  </si>
  <si>
    <t>https://www.oreht.ru/modules.php?name=orehtPriceLS&amp;op=Search&amp;page=1&amp;stext=271267</t>
  </si>
  <si>
    <t>Машинка для стрижки DELTA DL-4051 бронза</t>
  </si>
  <si>
    <t xml:space="preserve">399 </t>
  </si>
  <si>
    <t>https://www.oreht.ru/modules.php?name=orehtPriceLS&amp;op=Search&amp;page=1&amp;stext=274859</t>
  </si>
  <si>
    <t>Портативное аудио MYSTERY MSP-111 black</t>
  </si>
  <si>
    <t xml:space="preserve">404 </t>
  </si>
  <si>
    <t>https://www.oreht.ru/modules.php?name=orehtPriceLS&amp;op=Search&amp;page=1&amp;stext=407342</t>
  </si>
  <si>
    <t>Ведро 5л "Грибная поляна" (Арт. ВР-7826)</t>
  </si>
  <si>
    <t xml:space="preserve">134 </t>
  </si>
  <si>
    <t>https://www.oreht.ru/modules.php?name=orehtPriceLS&amp;op=Search&amp;page=1&amp;stext=446335</t>
  </si>
  <si>
    <t>Ланч бокс для еды с подогревом HS-2037 арт.008756</t>
  </si>
  <si>
    <t>https://www.oreht.ru/modules.php?name=orehtPriceLS&amp;op=Search&amp;page=1&amp;stext=437460</t>
  </si>
  <si>
    <t>Кашпо "Leaves" (2,5л.) Цв. Белый/Белый (КШ-9569)</t>
  </si>
  <si>
    <t xml:space="preserve">198 </t>
  </si>
  <si>
    <t>https://www.oreht.ru/modules.php?name=orehtPriceLS&amp;op=Search&amp;page=1&amp;stext=384974</t>
  </si>
  <si>
    <t>Машинка для стрижки волос HTC, AT-1102 серебристый</t>
  </si>
  <si>
    <t xml:space="preserve">410 </t>
  </si>
  <si>
    <t>https://www.oreht.ru/modules.php?name=orehtPriceLS&amp;op=Search&amp;page=1&amp;stext=374156</t>
  </si>
  <si>
    <t>Кашпо "RUBY" Кватро Цв. Бордо (Арт. КШ-8619)</t>
  </si>
  <si>
    <t xml:space="preserve">310 </t>
  </si>
  <si>
    <t>https://www.oreht.ru/modules.php?name=orehtPriceLS&amp;op=Search&amp;page=1&amp;stext=374171</t>
  </si>
  <si>
    <t>Кашпо "RUBY" Соло (3,0л) Цв. Бежево-розовый (Арт. КШ-6461)</t>
  </si>
  <si>
    <t xml:space="preserve">116 </t>
  </si>
  <si>
    <t>https://www.oreht.ru/modules.php?name=orehtPriceLS&amp;op=Search&amp;page=1&amp;stext=374172</t>
  </si>
  <si>
    <t>Кашпо "RUBY" Соло (3,0л) Цв. Белый (Арт. КШ-6454)</t>
  </si>
  <si>
    <t>https://www.oreht.ru/modules.php?name=orehtPriceLS&amp;op=Search&amp;page=1&amp;stext=375216</t>
  </si>
  <si>
    <t>Кашпо "RUBY" Соло (3,0л) Цв. Лаванда (Арт. КШ-6452)</t>
  </si>
  <si>
    <t>https://www.oreht.ru/modules.php?name=orehtPriceLS&amp;op=Search&amp;page=1&amp;stext=91057</t>
  </si>
  <si>
    <t>Электроплитка ENERGY EN-902</t>
  </si>
  <si>
    <t xml:space="preserve">394 </t>
  </si>
  <si>
    <t>https://www.oreht.ru/modules.php?name=orehtPriceLS&amp;op=Search&amp;page=1&amp;stext=393683</t>
  </si>
  <si>
    <t>Кашпо "Ажур" (3,0л) Цв. Пудровый (Арт. КШ-7971)</t>
  </si>
  <si>
    <t xml:space="preserve">112 </t>
  </si>
  <si>
    <t>https://www.oreht.ru/modules.php?name=orehtPriceLS&amp;op=Search&amp;page=1&amp;stext=393685</t>
  </si>
  <si>
    <t>Кашпо "Блюз" (1,5л) Цв. Белый (Арт. КШ-8681)</t>
  </si>
  <si>
    <t>https://www.oreht.ru/modules.php?name=orehtPriceLS&amp;op=Search&amp;page=1&amp;stext=437186</t>
  </si>
  <si>
    <t>Чайник электрический Мастерица ЭЧ 0,5/0,5-220З (0,5л, пластик, зеленый)</t>
  </si>
  <si>
    <t>https://www.oreht.ru/modules.php?name=orehtPriceLS&amp;op=Search&amp;page=1&amp;stext=374129</t>
  </si>
  <si>
    <t>Кашпо "Вдохновение" (1,6л) Цв. Лаванда (сиреневый) (Арт. КШ-5405)</t>
  </si>
  <si>
    <t>https://www.oreht.ru/modules.php?name=orehtPriceLS&amp;op=Search&amp;page=1&amp;stext=437187</t>
  </si>
  <si>
    <t>Чайник электрический Мастерица ЭЧ 0,5/0,5-220Р (0,5л, пластик, рубин)</t>
  </si>
  <si>
    <t>https://www.oreht.ru/modules.php?name=orehtPriceLS&amp;op=Search&amp;page=1&amp;stext=386383</t>
  </si>
  <si>
    <t>Машинка для стрижки DELTA DL-4049 бирюзовый</t>
  </si>
  <si>
    <t xml:space="preserve">421 </t>
  </si>
  <si>
    <t>https://www.oreht.ru/modules.php?name=orehtPriceLS&amp;op=Search&amp;page=1&amp;stext=374132</t>
  </si>
  <si>
    <t>Кашпо "Вдохновение" (3,0л) Цв. Мокко (Арт. КШ-5419)</t>
  </si>
  <si>
    <t xml:space="preserve">140 </t>
  </si>
  <si>
    <t>https://www.oreht.ru/modules.php?name=orehtPriceLS&amp;op=Search&amp;page=1&amp;stext=409083</t>
  </si>
  <si>
    <t>Комплект фильтров PVCF 1805 к пылесосам PVB 1805 POLARIS, Черный</t>
  </si>
  <si>
    <t xml:space="preserve">423 </t>
  </si>
  <si>
    <t>https://www.oreht.ru/modules.php?name=orehtPriceLS&amp;op=Search&amp;page=1&amp;stext=374130</t>
  </si>
  <si>
    <t>Кашпо "Вдохновение" (1.6л) Цв. Мята (Арт. КШ-5660)</t>
  </si>
  <si>
    <t>https://www.oreht.ru/modules.php?name=orehtPriceLS&amp;op=Search&amp;page=1&amp;stext=360117</t>
  </si>
  <si>
    <t>Кронштейн для LED/LCD телевизоров Kromax VEGA-8 black, 40 шт./уп. (24048)</t>
  </si>
  <si>
    <t>https://www.oreht.ru/modules.php?name=orehtPriceLS&amp;op=Search&amp;page=1&amp;stext=435843</t>
  </si>
  <si>
    <t>Антенна комнатная DVB-T2 и ДМВ пассивная Сигнал SPI 120 кабель 3м</t>
  </si>
  <si>
    <t xml:space="preserve">430 </t>
  </si>
  <si>
    <t>https://www.oreht.ru/modules.php?name=orehtPriceLS&amp;op=Search&amp;page=1&amp;stext=464153</t>
  </si>
  <si>
    <t>Фен econ ECO-BH163D</t>
  </si>
  <si>
    <t>https://www.oreht.ru/modules.php?name=orehtPriceLS&amp;op=Search&amp;page=1&amp;stext=374138</t>
  </si>
  <si>
    <t>Кашпо "Вдохновение" (4,5л) Цв. Мята (Арт. КШ-7938)</t>
  </si>
  <si>
    <t xml:space="preserve">182 </t>
  </si>
  <si>
    <t>https://www.oreht.ru/modules.php?name=orehtPriceLS&amp;op=Search&amp;page=1&amp;stext=463166</t>
  </si>
  <si>
    <t>Чайник Blackton Bt KT1810S Сталь-Красный</t>
  </si>
  <si>
    <t xml:space="preserve">431 </t>
  </si>
  <si>
    <t>https://www.oreht.ru/modules.php?name=orehtPriceLS&amp;op=Search&amp;page=1&amp;stext=284385</t>
  </si>
  <si>
    <t>Ящик хозяйственный 600*400*200мм черный "Радиан" г.Ижевск</t>
  </si>
  <si>
    <t xml:space="preserve">224 </t>
  </si>
  <si>
    <t>https://www.oreht.ru/modules.php?name=orehtPriceLS&amp;op=Search&amp;page=1&amp;stext=463165</t>
  </si>
  <si>
    <t>Чайник Blackton Bt KT1810S Сталь-Оранжевый</t>
  </si>
  <si>
    <t>https://www.oreht.ru/modules.php?name=orehtPriceLS&amp;op=Search&amp;page=1&amp;stext=382689</t>
  </si>
  <si>
    <t>Кашпо "Вдохновение" (5,7л) Цв. Бордо (Арт. КШ-0995)</t>
  </si>
  <si>
    <t>https://www.oreht.ru/modules.php?name=orehtPriceLS&amp;op=Search&amp;page=1&amp;stext=374144</t>
  </si>
  <si>
    <t>Кашпо "Вдохновение" (5,7л) Цв. Пудровый (Арт. КШ-8655)</t>
  </si>
  <si>
    <t>https://www.oreht.ru/modules.php?name=orehtPriceLS&amp;op=Search&amp;page=1&amp;stext=460325</t>
  </si>
  <si>
    <t>Чайник электрический Чудесница ЭЧ-2000</t>
  </si>
  <si>
    <t xml:space="preserve">432 </t>
  </si>
  <si>
    <t>https://www.oreht.ru/modules.php?name=orehtPriceLS&amp;op=Search&amp;page=1&amp;stext=374148</t>
  </si>
  <si>
    <t>Кашпо "Вдохновение" (7,5л) Цв. Пудровый (Арт. КШ-8670)</t>
  </si>
  <si>
    <t>https://www.oreht.ru/modules.php?name=orehtPriceLS&amp;op=Search&amp;page=1&amp;stext=320921</t>
  </si>
  <si>
    <t>Антенна комнатная DVB-T2 и ДМВ активная Сигнал SAI 910 кабель 3м</t>
  </si>
  <si>
    <t xml:space="preserve">434 </t>
  </si>
  <si>
    <t>https://www.oreht.ru/modules.php?name=orehtPriceLS&amp;op=Search&amp;page=1&amp;stext=230814</t>
  </si>
  <si>
    <t>Миксер Василиса МК5-180 розовый, 180Вт</t>
  </si>
  <si>
    <t>https://www.oreht.ru/modules.php?name=orehtPriceLS&amp;op=Search&amp;page=1&amp;stext=452679</t>
  </si>
  <si>
    <t>Кашпо "Венеция" (3,0л) Цв. Фисташковый (Арт. КШ-9033)</t>
  </si>
  <si>
    <t xml:space="preserve">141 </t>
  </si>
  <si>
    <t>https://www.oreht.ru/modules.php?name=orehtPriceLS&amp;op=Search&amp;page=1&amp;stext=427844</t>
  </si>
  <si>
    <t>Плитка электрическая econ ECO-110HP</t>
  </si>
  <si>
    <t xml:space="preserve">435 </t>
  </si>
  <si>
    <t>https://www.oreht.ru/modules.php?name=orehtPriceLS&amp;op=Search&amp;page=1&amp;stext=385142</t>
  </si>
  <si>
    <t>Кашпо "Версаль" (1,6л) Цв. Мокко (Арт. КШ-9007)</t>
  </si>
  <si>
    <t xml:space="preserve">105 </t>
  </si>
  <si>
    <t>https://www.oreht.ru/modules.php?name=orehtPriceLS&amp;op=Search&amp;page=1&amp;stext=427845</t>
  </si>
  <si>
    <t>Плитка электрическая econ ECO-111HP</t>
  </si>
  <si>
    <t>https://www.oreht.ru/modules.php?name=orehtPriceLS&amp;op=Search&amp;page=1&amp;stext=436093</t>
  </si>
  <si>
    <t>Кашпо "Нежность" (5л.) Цв. Кремовый (Арт. КШ-9380)</t>
  </si>
  <si>
    <t>https://www.oreht.ru/modules.php?name=orehtPriceLS&amp;op=Search&amp;page=1&amp;stext=360089</t>
  </si>
  <si>
    <t>Кронштейн для LED/LCD телевизоров VLK TRENTO-1 black, 12 шт./уп. (51001)</t>
  </si>
  <si>
    <t xml:space="preserve">438 </t>
  </si>
  <si>
    <t>https://www.oreht.ru/modules.php?name=orehtPriceLS&amp;op=Search&amp;page=1&amp;stext=420903</t>
  </si>
  <si>
    <t>Кашпо "Ротанг" (1,6л.) Цв. Белый/Белый (Арт. КШ-6467)</t>
  </si>
  <si>
    <t>https://www.oreht.ru/modules.php?name=orehtPriceLS&amp;op=Search&amp;page=1&amp;stext=420904</t>
  </si>
  <si>
    <t>Кашпо "Ротанг" (1,6л.) Цв. Мокко (Арт. КШ-6471)</t>
  </si>
  <si>
    <t>https://www.oreht.ru/modules.php?name=orehtPriceLS&amp;op=Search&amp;page=1&amp;stext=374167</t>
  </si>
  <si>
    <t>Кашпо "Ротанг" (2,25л) Цв. Белый/белый (Арт. КШ-7942)</t>
  </si>
  <si>
    <t xml:space="preserve">115 </t>
  </si>
  <si>
    <t>https://www.oreht.ru/modules.php?name=orehtPriceLS&amp;op=Search&amp;page=1&amp;stext=384401</t>
  </si>
  <si>
    <t>Кронштейн ЖК фиксированный 23-42" [59-106см] до 35кг. UM811F [черн] UltraMounts</t>
  </si>
  <si>
    <t xml:space="preserve">448 </t>
  </si>
  <si>
    <t>https://www.oreht.ru/modules.php?name=orehtPriceLS&amp;op=Search&amp;page=1&amp;stext=374170</t>
  </si>
  <si>
    <t>Кашпо "Ротанг" (3,0л) Цв. Белый/белый (Арт. КШ-7953)</t>
  </si>
  <si>
    <t xml:space="preserve">138 </t>
  </si>
  <si>
    <t>https://www.oreht.ru/modules.php?name=orehtPriceLS&amp;op=Search&amp;page=1&amp;stext=376871</t>
  </si>
  <si>
    <t>Кашпо "Ротанг" (3,0л) Цв. Белый/черный (Арт. КШ-7954)</t>
  </si>
  <si>
    <t>https://www.oreht.ru/modules.php?name=orehtPriceLS&amp;op=Search&amp;page=1&amp;stext=314814</t>
  </si>
  <si>
    <t>Кронштейн LPS 40-12 "Трон"</t>
  </si>
  <si>
    <t xml:space="preserve">450 </t>
  </si>
  <si>
    <t>https://www.oreht.ru/modules.php?name=orehtPriceLS&amp;op=Search&amp;page=1&amp;stext=375214</t>
  </si>
  <si>
    <t>Кашпо "Ротанг" (3,0л) Цв. Бордо (с черной вставкой) (Арт. КШ-4075)</t>
  </si>
  <si>
    <t>https://www.oreht.ru/modules.php?name=orehtPriceLS&amp;op=Search&amp;page=1&amp;stext=323386</t>
  </si>
  <si>
    <t>Кронштейн Ballu 415x450 пара</t>
  </si>
  <si>
    <t>https://www.oreht.ru/modules.php?name=orehtPriceLS&amp;op=Search&amp;page=1&amp;stext=436092</t>
  </si>
  <si>
    <t>Кашпо "Ротанг" (1,6л.) Цв. Белый/Черный (Арт. КШ-6474)</t>
  </si>
  <si>
    <t>https://www.oreht.ru/modules.php?name=orehtPriceLS&amp;op=Search&amp;page=1&amp;stext=420397</t>
  </si>
  <si>
    <t>Радиоприемник "Эфир-15", УКВ 64-108МГц, СВ 530-1600КГц, КВ1,КВ2 бат. 2*R20(D)</t>
  </si>
  <si>
    <t>https://www.oreht.ru/modules.php?name=orehtPriceLS&amp;op=Search&amp;page=1&amp;stext=458157</t>
  </si>
  <si>
    <t>Кашпо "Сфера" (1,7 л.) Цв. Белый (Арт. КШ-9521)</t>
  </si>
  <si>
    <t xml:space="preserve">260 </t>
  </si>
  <si>
    <t>https://www.oreht.ru/modules.php?name=orehtPriceLS&amp;op=Search&amp;page=1&amp;stext=449211</t>
  </si>
  <si>
    <t>Набор для стрижки Galaxy LINE GL 4107 15 Вт, лезвия из нержавеющей стали,</t>
  </si>
  <si>
    <t xml:space="preserve">455 </t>
  </si>
  <si>
    <t>https://www.oreht.ru/modules.php?name=orehtPriceLS&amp;op=Search&amp;page=1&amp;stext=443528</t>
  </si>
  <si>
    <t>Кашпо "Сфера" (1,7 л.) Цв. Мокко (Арт. КШ-9523)</t>
  </si>
  <si>
    <t>https://www.oreht.ru/modules.php?name=orehtPriceLS&amp;op=Search&amp;page=1&amp;stext=458158</t>
  </si>
  <si>
    <t>Кашпо "Сфера" (1,7 л.) Цв. Темно-коричневый (Арт. КШ-9625)</t>
  </si>
  <si>
    <t>https://www.oreht.ru/modules.php?name=orehtPriceLS&amp;op=Search&amp;page=1&amp;stext=456883</t>
  </si>
  <si>
    <t>Набор для стрижки Galaxy LINE GL 4109 15 Вт, лезвия из нержавеющей стали,</t>
  </si>
  <si>
    <t>https://www.oreht.ru/modules.php?name=orehtPriceLS&amp;op=Search&amp;page=1&amp;stext=407338</t>
  </si>
  <si>
    <t>Кашпо "Топаз" (0,45л) Цв. Белый (Арт. КШ-9110)</t>
  </si>
  <si>
    <t>https://www.oreht.ru/modules.php?name=orehtPriceLS&amp;op=Search&amp;page=1&amp;stext=445593</t>
  </si>
  <si>
    <t>Чайник Homestar HS-1001 (1,8л) стальной (арт.000450)</t>
  </si>
  <si>
    <t>https://www.oreht.ru/modules.php?name=orehtPriceLS&amp;op=Search&amp;page=1&amp;stext=408551</t>
  </si>
  <si>
    <t>Кашпо "Топаз" (0,45л) Цв. Мокко (Арт. КШ-9111)</t>
  </si>
  <si>
    <t>https://www.oreht.ru/modules.php?name=orehtPriceLS&amp;op=Search&amp;page=1&amp;stext=428702</t>
  </si>
  <si>
    <t>Кашпо "Топаз" (0,45л.) Цв. Пудровый (Арт. КШ-9113)</t>
  </si>
  <si>
    <t>https://www.oreht.ru/modules.php?name=orehtPriceLS&amp;op=Search&amp;page=1&amp;stext=399793</t>
  </si>
  <si>
    <t>SC-HC63C65 Машинка для стрижки волос (темно-бордовый)</t>
  </si>
  <si>
    <t xml:space="preserve">464 </t>
  </si>
  <si>
    <t>https://www.oreht.ru/modules.php?name=orehtPriceLS&amp;op=Search&amp;page=1&amp;stext=403232</t>
  </si>
  <si>
    <t>SC-DF111S95 Настольный вентилятор (черный)</t>
  </si>
  <si>
    <t>https://www.oreht.ru/modules.php?name=orehtPriceLS&amp;op=Search&amp;page=1&amp;stext=343284</t>
  </si>
  <si>
    <t>Антенна BAS-5107-USB MINI DIGITAL</t>
  </si>
  <si>
    <t>https://www.oreht.ru/modules.php?name=orehtPriceLS&amp;op=Search&amp;page=1&amp;stext=388605</t>
  </si>
  <si>
    <t>Вантуз с удлиненной ручкой серый (уп.18) М8148 г.Октябрьский</t>
  </si>
  <si>
    <t>https://www.oreht.ru/modules.php?name=orehtPriceLS&amp;op=Search&amp;page=1&amp;stext=278665</t>
  </si>
  <si>
    <t>Машинка для стрижки DELTA DL-4013 (24) серебро</t>
  </si>
  <si>
    <t xml:space="preserve">473 </t>
  </si>
  <si>
    <t>https://www.oreht.ru/modules.php?name=orehtPriceLS&amp;op=Search&amp;page=1&amp;stext=93248</t>
  </si>
  <si>
    <t>Держатель для туалетной бумаги "Модерн" микс (уп.16) М1136 г.Октябрьский</t>
  </si>
  <si>
    <t xml:space="preserve">88 </t>
  </si>
  <si>
    <t>https://www.oreht.ru/modules.php?name=orehtPriceLS&amp;op=Search&amp;page=1&amp;stext=352229</t>
  </si>
  <si>
    <t>16с1896 Обеденная тарелка 24,4 см "Вулкан графит Т"</t>
  </si>
  <si>
    <t>https://www.oreht.ru/modules.php?name=orehtPriceLS&amp;op=Search&amp;page=1&amp;stext=395064</t>
  </si>
  <si>
    <t>Держатель для туалетной бумаги "Фантазия" бежевый (уп.12) М8340 г.Октябрьский</t>
  </si>
  <si>
    <t xml:space="preserve">62 </t>
  </si>
  <si>
    <t>https://www.oreht.ru/modules.php?name=orehtPriceLS&amp;op=Search&amp;page=1&amp;stext=93249</t>
  </si>
  <si>
    <t>Держатель для туалетной бумаги "Фантазия" микс (уп.12) М1129 г.Октябрьский</t>
  </si>
  <si>
    <t>https://www.oreht.ru/modules.php?name=orehtPriceLS&amp;op=Search&amp;page=1&amp;stext=319063</t>
  </si>
  <si>
    <t>Тарелка упроч. Лейси 160 мм арт.10591SLB</t>
  </si>
  <si>
    <t xml:space="preserve">35,6 </t>
  </si>
  <si>
    <t>https://www.oreht.ru/modules.php?name=orehtPriceLS&amp;op=Search&amp;page=1&amp;stext=229044</t>
  </si>
  <si>
    <t>Держатель для туалетной бумаги и освежителя воздуха микс (уп.16) М6052 г.Октябрьский</t>
  </si>
  <si>
    <t>https://www.oreht.ru/modules.php?name=orehtPriceLS&amp;op=Search&amp;page=1&amp;stext=400472</t>
  </si>
  <si>
    <t>Дозатор для жидкого мыла "Бамбук" белый (уп.20) М8058 г.Октябрьский</t>
  </si>
  <si>
    <t>https://www.oreht.ru/modules.php?name=orehtPriceLS&amp;op=Search&amp;page=1&amp;stext=360790</t>
  </si>
  <si>
    <t>Ерш туалетный "Акварель" квадратный с подставкой (уп.20) М7862 г.Октябрьский</t>
  </si>
  <si>
    <t xml:space="preserve">97 </t>
  </si>
  <si>
    <t>https://www.oreht.ru/modules.php?name=orehtPriceLS&amp;op=Search&amp;page=1&amp;stext=400474</t>
  </si>
  <si>
    <t>Ерш туалетный "Бамбук" с подставкой бежевый (уп.20) М8065 г.Октябрьский</t>
  </si>
  <si>
    <t xml:space="preserve">315 </t>
  </si>
  <si>
    <t>https://www.oreht.ru/modules.php?name=orehtPriceLS&amp;op=Search&amp;page=1&amp;stext=230798</t>
  </si>
  <si>
    <t>Бритва электрическая ЯРОМИР ЯР-101 синий с черным</t>
  </si>
  <si>
    <t>https://www.oreht.ru/modules.php?name=orehtPriceLS&amp;op=Search&amp;page=1&amp;stext=400294</t>
  </si>
  <si>
    <t>Ерш туалетный "Бамбук" с подставкой белый (уп.20) М8064 г.Октябрьский</t>
  </si>
  <si>
    <t>https://www.oreht.ru/modules.php?name=orehtPriceLS&amp;op=Search&amp;page=1&amp;stext=230799</t>
  </si>
  <si>
    <t>Бритва электрическая ЯРОМИР ЯР-102 черный</t>
  </si>
  <si>
    <t>https://www.oreht.ru/modules.php?name=orehtPriceLS&amp;op=Search&amp;page=1&amp;stext=289761</t>
  </si>
  <si>
    <t>Ерш туалетный "Вязаное плетение" бежевый (уп.20) М6886 г.Октябрьский</t>
  </si>
  <si>
    <t>https://www.oreht.ru/modules.php?name=orehtPriceLS&amp;op=Search&amp;page=1&amp;stext=369971</t>
  </si>
  <si>
    <t>Радиоприемник "Сигнал РП-222", FM 88-108МГц, акб 400mA/h, USB/microSD, дисплей</t>
  </si>
  <si>
    <t xml:space="preserve">453 </t>
  </si>
  <si>
    <t>https://www.oreht.ru/modules.php?name=orehtPriceLS&amp;op=Search&amp;page=1&amp;stext=289762</t>
  </si>
  <si>
    <t>Ерш туалетный "Вязаное плетение" белый (уп.20) М6895 г.Октябрьский</t>
  </si>
  <si>
    <t>https://www.oreht.ru/modules.php?name=orehtPriceLS&amp;op=Search&amp;page=1&amp;stext=460251</t>
  </si>
  <si>
    <t>Чайник эл. OPTIMA EK-1806SS (1.8л, поворот на 360 градусов, корп. из нерж. стали, 1500Вт)</t>
  </si>
  <si>
    <t xml:space="preserve">482 </t>
  </si>
  <si>
    <t>https://www.oreht.ru/modules.php?name=orehtPriceLS&amp;op=Search&amp;page=1&amp;stext=294855</t>
  </si>
  <si>
    <t>Ерш туалетный "Кристалл" тонированный (уп.20) М6763 г.Октябрьский</t>
  </si>
  <si>
    <t>https://www.oreht.ru/modules.php?name=orehtPriceLS&amp;op=Search&amp;page=1&amp;stext=170788</t>
  </si>
  <si>
    <t>Ерш туалетный "Лотос" микс с подставкой (уп.20) М877 г.Октябрьский</t>
  </si>
  <si>
    <t xml:space="preserve">87 </t>
  </si>
  <si>
    <t>https://www.oreht.ru/modules.php?name=orehtPriceLS&amp;op=Search&amp;page=1&amp;stext=449212</t>
  </si>
  <si>
    <t>Набор для стрижки Galaxy LINE GL 4167 , мощность 15 Вт,</t>
  </si>
  <si>
    <t>https://www.oreht.ru/modules.php?name=orehtPriceLS&amp;op=Search&amp;page=1&amp;stext=360792</t>
  </si>
  <si>
    <t>Ерш туалетный "Морской" круглый с подставкой (уп.20) М7867 г.Октябрьский</t>
  </si>
  <si>
    <t xml:space="preserve">99 </t>
  </si>
  <si>
    <t>https://www.oreht.ru/modules.php?name=orehtPriceLS&amp;op=Search&amp;page=1&amp;stext=237198</t>
  </si>
  <si>
    <t>Проводной телефон teXet TX-236 светло-серый</t>
  </si>
  <si>
    <t>https://www.oreht.ru/modules.php?name=orehtPriceLS&amp;op=Search&amp;page=1&amp;stext=372193</t>
  </si>
  <si>
    <t>Часы настенные кварцевые ENERGY модель EC-137 круглые (009519)</t>
  </si>
  <si>
    <t xml:space="preserve">489 </t>
  </si>
  <si>
    <t>https://www.oreht.ru/modules.php?name=orehtPriceLS&amp;op=Search&amp;page=1&amp;stext=160386</t>
  </si>
  <si>
    <t>Ерш туалетный "Плетенка" с подставкой (белый) (уп.20) М4464 г.Октябрьский</t>
  </si>
  <si>
    <t xml:space="preserve">167 </t>
  </si>
  <si>
    <t>https://www.oreht.ru/modules.php?name=orehtPriceLS&amp;op=Search&amp;page=1&amp;stext=314817</t>
  </si>
  <si>
    <t>Кронштейн ЖК-701 "Трон"</t>
  </si>
  <si>
    <t xml:space="preserve">493 </t>
  </si>
  <si>
    <t>https://www.oreht.ru/modules.php?name=orehtPriceLS&amp;op=Search&amp;page=1&amp;stext=459525</t>
  </si>
  <si>
    <t>Ерш туалетный "Плетенка" с подставкой (венге) (уп.20) М8309 г.Октябрьский</t>
  </si>
  <si>
    <t>https://www.oreht.ru/modules.php?name=orehtPriceLS&amp;op=Search&amp;page=1&amp;stext=356613</t>
  </si>
  <si>
    <t>Электроплита "ВАСИЛИСА" ВА-901 спираль одноконфорочная бежевая, 1000Вт.</t>
  </si>
  <si>
    <t>https://www.oreht.ru/modules.php?name=orehtPriceLS&amp;op=Search&amp;page=1&amp;stext=360794</t>
  </si>
  <si>
    <t>Ерш туалетный "Ракушки" круглый с подставкой (уп.20) М7869 г.Октябрьский</t>
  </si>
  <si>
    <t>https://www.oreht.ru/modules.php?name=orehtPriceLS&amp;op=Search&amp;page=1&amp;stext=400480</t>
  </si>
  <si>
    <t>Мыльница "Бамбук" бежевый (уп.32) М8062 г.Октябрьский</t>
  </si>
  <si>
    <t>https://www.oreht.ru/modules.php?name=orehtPriceLS&amp;op=Search&amp;page=1&amp;stext=375004</t>
  </si>
  <si>
    <t>Антенна телевизионная комнатная с усилителем CADENA AV-6015</t>
  </si>
  <si>
    <t xml:space="preserve">494 </t>
  </si>
  <si>
    <t>https://www.oreht.ru/modules.php?name=orehtPriceLS&amp;op=Search&amp;page=1&amp;stext=400295</t>
  </si>
  <si>
    <t>Мыльница "Бамбук" белый (уп.32) М8061 г.Октябрьский</t>
  </si>
  <si>
    <t>https://www.oreht.ru/modules.php?name=orehtPriceLS&amp;op=Search&amp;page=1&amp;stext=400485</t>
  </si>
  <si>
    <t>Подставка для зубных щеток "Бамбук" белый (уп.18) М8055 г.Октябрьский</t>
  </si>
  <si>
    <t>https://www.oreht.ru/modules.php?name=orehtPriceLS&amp;op=Search&amp;page=1&amp;stext=273266</t>
  </si>
  <si>
    <t>Чайник "ЯРОМИР" ЯР-1004 нерж., 1500Вт, 1,5л</t>
  </si>
  <si>
    <t>https://www.oreht.ru/modules.php?name=orehtPriceLS&amp;op=Search&amp;page=1&amp;stext=381725</t>
  </si>
  <si>
    <t>Электроплита "ВАСИЛИСА" ВА-901 спираль одноконфорочная коричневая, 1000Вт.</t>
  </si>
  <si>
    <t xml:space="preserve">497 </t>
  </si>
  <si>
    <t>https://www.oreht.ru/modules.php?name=orehtPriceLS&amp;op=Search&amp;page=1&amp;stext=303786</t>
  </si>
  <si>
    <t>Подставка для зубных щеток "Вязаное плетение" бежевый (уп.18) М6876 г.Октябрьский</t>
  </si>
  <si>
    <t xml:space="preserve">56 </t>
  </si>
  <si>
    <t>https://www.oreht.ru/modules.php?name=orehtPriceLS&amp;op=Search&amp;page=1&amp;stext=237196</t>
  </si>
  <si>
    <t>Проводной телефон teXet TX-219 светло-серый</t>
  </si>
  <si>
    <t xml:space="preserve">500 </t>
  </si>
  <si>
    <t>https://www.oreht.ru/modules.php?name=orehtPriceLS&amp;op=Search&amp;page=1&amp;stext=398665</t>
  </si>
  <si>
    <t>Электронные часы EC-137W Сигнал</t>
  </si>
  <si>
    <t xml:space="preserve">501 </t>
  </si>
  <si>
    <t>https://www.oreht.ru/modules.php?name=orehtPriceLS&amp;op=Search&amp;page=1&amp;stext=318265</t>
  </si>
  <si>
    <t>Подставка для зубных щеток "Вязаное плетение" белый (уп.18) М7120 г.Октябрьский</t>
  </si>
  <si>
    <t xml:space="preserve">57 </t>
  </si>
  <si>
    <t>https://www.oreht.ru/modules.php?name=orehtPriceLS&amp;op=Search&amp;page=1&amp;stext=464037</t>
  </si>
  <si>
    <t>Чайники (металл)/SUPRA KES-1802S</t>
  </si>
  <si>
    <t>https://www.oreht.ru/modules.php?name=orehtPriceLS&amp;op=Search&amp;page=1&amp;stext=254599</t>
  </si>
  <si>
    <t>Антенна BAS-5107-DX MINI DIGITAL</t>
  </si>
  <si>
    <t xml:space="preserve">511 </t>
  </si>
  <si>
    <t>https://www.oreht.ru/modules.php?name=orehtPriceLS&amp;op=Search&amp;page=1&amp;stext=406455</t>
  </si>
  <si>
    <t>Антенна телевизионная наружная активная Cadena 1420 AF, сталь</t>
  </si>
  <si>
    <t xml:space="preserve">517 </t>
  </si>
  <si>
    <t>https://www.oreht.ru/modules.php?name=orehtPriceLS&amp;op=Search&amp;page=1&amp;stext=398666</t>
  </si>
  <si>
    <t>Электронные часы EC-137B Сигнал</t>
  </si>
  <si>
    <t xml:space="preserve">514 </t>
  </si>
  <si>
    <t>https://www.oreht.ru/modules.php?name=orehtPriceLS&amp;op=Search&amp;page=1&amp;stext=219379</t>
  </si>
  <si>
    <t>Полка для ванны (синяя) (уп.15) М5633 г.Октябрьский</t>
  </si>
  <si>
    <t>https://www.oreht.ru/modules.php?name=orehtPriceLS&amp;op=Search&amp;page=1&amp;stext=241164</t>
  </si>
  <si>
    <t>Блендер погружной LIRA LR 0203 (мощность 350Вт)</t>
  </si>
  <si>
    <t xml:space="preserve">524 </t>
  </si>
  <si>
    <t>https://www.oreht.ru/modules.php?name=orehtPriceLS&amp;op=Search&amp;page=1&amp;stext=400489</t>
  </si>
  <si>
    <t>Стакан для зубных щеток "Бамбук" белый (уп.18) М8052 г.Октябрьский</t>
  </si>
  <si>
    <t xml:space="preserve">120 </t>
  </si>
  <si>
    <t>https://www.oreht.ru/modules.php?name=orehtPriceLS&amp;op=Search&amp;page=1&amp;stext=334060</t>
  </si>
  <si>
    <t>Кронштейн "Holder" - LCDS5057 (черный глянец)</t>
  </si>
  <si>
    <t xml:space="preserve">528 </t>
  </si>
  <si>
    <t>https://www.oreht.ru/modules.php?name=orehtPriceLS&amp;op=Search&amp;page=1&amp;stext=93281</t>
  </si>
  <si>
    <t>Канистра 10л "Бочонок"(уп.6) М967 г.Октябрьский</t>
  </si>
  <si>
    <t>https://www.oreht.ru/modules.php?name=orehtPriceLS&amp;op=Search&amp;page=1&amp;stext=405631</t>
  </si>
  <si>
    <t>Плита электрическая Blackton Bt HP113W Белый</t>
  </si>
  <si>
    <t>https://www.oreht.ru/modules.php?name=orehtPriceLS&amp;op=Search&amp;page=1&amp;stext=389921</t>
  </si>
  <si>
    <t>Машинка для стрижки Centek CT-2102 (черный/серый) 12Вт, высококач.сталь, эргоном. дизайн, 4 насадки</t>
  </si>
  <si>
    <t xml:space="preserve">533 </t>
  </si>
  <si>
    <t>https://www.oreht.ru/modules.php?name=orehtPriceLS&amp;op=Search&amp;page=1&amp;stext=93293</t>
  </si>
  <si>
    <t>Канистра 10л со сливом (уп.6) М049 г.Октябрьский</t>
  </si>
  <si>
    <t xml:space="preserve">190 </t>
  </si>
  <si>
    <t>https://www.oreht.ru/modules.php?name=orehtPriceLS&amp;op=Search&amp;page=1&amp;stext=421013</t>
  </si>
  <si>
    <t>Чайник Blackton Bt KT1818S Сталь-Черный</t>
  </si>
  <si>
    <t xml:space="preserve">535 </t>
  </si>
  <si>
    <t>https://www.oreht.ru/modules.php?name=orehtPriceLS&amp;op=Search&amp;page=1&amp;stext=374200</t>
  </si>
  <si>
    <t>Антенна комнатная ДМВ активная Дельта К 132А</t>
  </si>
  <si>
    <t xml:space="preserve">537 </t>
  </si>
  <si>
    <t>https://www.oreht.ru/modules.php?name=orehtPriceLS&amp;op=Search&amp;page=1&amp;stext=274587</t>
  </si>
  <si>
    <t>Канистра 15л "Гарант" (уп.6) М6621 г.Октябрьский</t>
  </si>
  <si>
    <t>https://www.oreht.ru/modules.php?name=orehtPriceLS&amp;op=Search&amp;page=1&amp;stext=459521</t>
  </si>
  <si>
    <t>Канистра 15л "Эконом" со сливом (микс) (уп.4) М8329 г.Октябрьский</t>
  </si>
  <si>
    <t>https://www.oreht.ru/modules.php?name=orehtPriceLS&amp;op=Search&amp;page=1&amp;stext=93295</t>
  </si>
  <si>
    <t>Канистра 15л со сливом (уп.4) М427 г.Октябрьский</t>
  </si>
  <si>
    <t>https://www.oreht.ru/modules.php?name=orehtPriceLS&amp;op=Search&amp;page=1&amp;stext=294811</t>
  </si>
  <si>
    <t>Проводной телефон teXet TX-215 черный</t>
  </si>
  <si>
    <t>https://www.oreht.ru/modules.php?name=orehtPriceLS&amp;op=Search&amp;page=1&amp;stext=372194</t>
  </si>
  <si>
    <t>Часы настенные кварцевые ENERGY модель EC-138 круглые (009520)</t>
  </si>
  <si>
    <t>https://www.oreht.ru/modules.php?name=orehtPriceLS&amp;op=Search&amp;page=1&amp;stext=93284</t>
  </si>
  <si>
    <t>Канистра 20л "Бочонок" со сливом (уп.4) М1282 г.Октябрьский</t>
  </si>
  <si>
    <t xml:space="preserve">357 </t>
  </si>
  <si>
    <t>https://www.oreht.ru/modules.php?name=orehtPriceLS&amp;op=Search&amp;page=1&amp;stext=398400</t>
  </si>
  <si>
    <t>Выпрямитель Centek CT-2009 40Вт, керамические пластины 90х32мм, LED индикатор</t>
  </si>
  <si>
    <t xml:space="preserve">541 </t>
  </si>
  <si>
    <t>https://www.oreht.ru/modules.php?name=orehtPriceLS&amp;op=Search&amp;page=1&amp;stext=93283</t>
  </si>
  <si>
    <t>Канистра 20л "Бочонок"(уп.6) М971 г.Октябрьский</t>
  </si>
  <si>
    <t>https://www.oreht.ru/modules.php?name=orehtPriceLS&amp;op=Search&amp;page=1&amp;stext=358890</t>
  </si>
  <si>
    <t>Чайник (металл) econ ECO-1869KE</t>
  </si>
  <si>
    <t xml:space="preserve">545 </t>
  </si>
  <si>
    <t>https://www.oreht.ru/modules.php?name=orehtPriceLS&amp;op=Search&amp;page=1&amp;stext=93291</t>
  </si>
  <si>
    <t>Канистра 20л (уп.6) М040 г.Октябрьский</t>
  </si>
  <si>
    <t>https://www.oreht.ru/modules.php?name=orehtPriceLS&amp;op=Search&amp;page=1&amp;stext=93296</t>
  </si>
  <si>
    <t>Канистра 22л со сливом (уп.4) М268 г.Октябрьский</t>
  </si>
  <si>
    <t>https://www.oreht.ru/modules.php?name=orehtPriceLS&amp;op=Search&amp;page=1&amp;stext=421003</t>
  </si>
  <si>
    <t>Стайлер Blackton Bt HST7010 Коричневый-Золото</t>
  </si>
  <si>
    <t>https://www.oreht.ru/modules.php?name=orehtPriceLS&amp;op=Search&amp;page=1&amp;stext=93285</t>
  </si>
  <si>
    <t>Канистра 25л "Бочонок" (уп.4) М974 г.Октябрьский</t>
  </si>
  <si>
    <t xml:space="preserve">336 </t>
  </si>
  <si>
    <t>https://www.oreht.ru/modules.php?name=orehtPriceLS&amp;op=Search&amp;page=1&amp;stext=93292</t>
  </si>
  <si>
    <t>Канистра 25л (уп.6) М859 г.Октябрьский</t>
  </si>
  <si>
    <t xml:space="preserve">344 </t>
  </si>
  <si>
    <t>https://www.oreht.ru/modules.php?name=orehtPriceLS&amp;op=Search&amp;page=1&amp;stext=464234</t>
  </si>
  <si>
    <t>Фен DELTA LUX DL-0936, складная ручка, 1400Вт., ионизация, холодный воздух, коричневый с золотым</t>
  </si>
  <si>
    <t xml:space="preserve">549 </t>
  </si>
  <si>
    <t>https://www.oreht.ru/modules.php?name=orehtPriceLS&amp;op=Search&amp;page=1&amp;stext=93298</t>
  </si>
  <si>
    <t>Канистра 28л со сливом (уп.4) М051 г.Октябрьский</t>
  </si>
  <si>
    <t>https://www.oreht.ru/modules.php?name=orehtPriceLS&amp;op=Search&amp;page=1&amp;stext=124961</t>
  </si>
  <si>
    <t>Кронштейн "Holder" - LCDS5061 (черный глянец)</t>
  </si>
  <si>
    <t>https://www.oreht.ru/modules.php?name=orehtPriceLS&amp;op=Search&amp;page=1&amp;stext=305672</t>
  </si>
  <si>
    <t>Канистра-бидон 8л "Парус" (уп.10) М7051 г.Октябрьский</t>
  </si>
  <si>
    <t xml:space="preserve">171 </t>
  </si>
  <si>
    <t>https://www.oreht.ru/modules.php?name=orehtPriceLS&amp;op=Search&amp;page=1&amp;stext=93299</t>
  </si>
  <si>
    <t>Канистра-бочка 10л (уп.10) М043 г.Октябрьский</t>
  </si>
  <si>
    <t>https://www.oreht.ru/modules.php?name=orehtPriceLS&amp;op=Search&amp;page=1&amp;stext=397407</t>
  </si>
  <si>
    <t>Плитка электрическая Centek CT-1508 Black 1 конфорка ТЭН 140мм, 1000Вт, индикатор работы</t>
  </si>
  <si>
    <t>https://www.oreht.ru/modules.php?name=orehtPriceLS&amp;op=Search&amp;page=1&amp;stext=449866</t>
  </si>
  <si>
    <t>Чайник Blackton Bt KT1804S Чёрный-Стальной</t>
  </si>
  <si>
    <t>https://www.oreht.ru/modules.php?name=orehtPriceLS&amp;op=Search&amp;page=1&amp;stext=332496</t>
  </si>
  <si>
    <t>Канистра-бочка 30л "Байкал" с навесными ручками (оранжево-серый) (уп.6) М7598 г.Октябрьский</t>
  </si>
  <si>
    <t xml:space="preserve">428 </t>
  </si>
  <si>
    <t>https://www.oreht.ru/modules.php?name=orehtPriceLS&amp;op=Search&amp;page=1&amp;stext=389924</t>
  </si>
  <si>
    <t>Машинка для стрижки Centek CT-2128 (чер./фиолет) срез 0...12мм,шнур 1.8м</t>
  </si>
  <si>
    <t>https://www.oreht.ru/modules.php?name=orehtPriceLS&amp;op=Search&amp;page=1&amp;stext=318926</t>
  </si>
  <si>
    <t>Канистра-бочка 20л "Байкал" с навесными ручками (уп.6) М6225 г.Октябрьский</t>
  </si>
  <si>
    <t>https://www.oreht.ru/modules.php?name=orehtPriceLS&amp;op=Search&amp;page=1&amp;stext=237267</t>
  </si>
  <si>
    <t>Канистра-бочка 20л (уп.6) М4657 г.Октябрьский</t>
  </si>
  <si>
    <t xml:space="preserve">331 </t>
  </si>
  <si>
    <t>https://www.oreht.ru/modules.php?name=orehtPriceLS&amp;op=Search&amp;page=1&amp;stext=341169</t>
  </si>
  <si>
    <t>SC-HC63C18 Машинка для стрижки волос (черный с оранжевым)</t>
  </si>
  <si>
    <t>https://www.oreht.ru/modules.php?name=orehtPriceLS&amp;op=Search&amp;page=1&amp;stext=177080</t>
  </si>
  <si>
    <t>Канистра-бочка 20л прямоугольная (горловина 215мм) (уп.6) М459 г.Октябрьский</t>
  </si>
  <si>
    <t>https://www.oreht.ru/modules.php?name=orehtPriceLS&amp;op=Search&amp;page=1&amp;stext=93302</t>
  </si>
  <si>
    <t>Канистра-бочка 25л (уп.6) М045 г.Октябрьский</t>
  </si>
  <si>
    <t>https://www.oreht.ru/modules.php?name=orehtPriceLS&amp;op=Search&amp;page=1&amp;stext=124956</t>
  </si>
  <si>
    <t>Кронштейн "Holder" - LCDS5051 (металлик)</t>
  </si>
  <si>
    <t xml:space="preserve">567 </t>
  </si>
  <si>
    <t>https://www.oreht.ru/modules.php?name=orehtPriceLS&amp;op=Search&amp;page=1&amp;stext=93303</t>
  </si>
  <si>
    <t>Канистра-бочка 30л с навесными ручками (диам. горл215 мм) (уп.4) М447 г.Октябрьский</t>
  </si>
  <si>
    <t xml:space="preserve">401 </t>
  </si>
  <si>
    <t>https://www.oreht.ru/modules.php?name=orehtPriceLS&amp;op=Search&amp;page=1&amp;stext=430944</t>
  </si>
  <si>
    <t>Бритва электрическая DELTA DL-0715 черный с серебром: 3 Вт, аккум. 1.2 В, 3 бреющие головки, триммер</t>
  </si>
  <si>
    <t>https://www.oreht.ru/modules.php?name=orehtPriceLS&amp;op=Search&amp;page=1&amp;stext=93305</t>
  </si>
  <si>
    <t>Канистра-бочка 35л (диам.горл250мм) (уп.4) М391 г.Октябрьский</t>
  </si>
  <si>
    <t>https://www.oreht.ru/modules.php?name=orehtPriceLS&amp;op=Search&amp;page=1&amp;stext=405991</t>
  </si>
  <si>
    <t>Плитка электрическая Centek CT-1508 Siberia 1 конфорка ТЭН 140мм, 1000Вт, индикатор работы</t>
  </si>
  <si>
    <t xml:space="preserve">571 </t>
  </si>
  <si>
    <t>https://www.oreht.ru/modules.php?name=orehtPriceLS&amp;op=Search&amp;page=1&amp;stext=333731</t>
  </si>
  <si>
    <t>Миксер econ ECO-101MX</t>
  </si>
  <si>
    <t xml:space="preserve">575 </t>
  </si>
  <si>
    <t>https://www.oreht.ru/modules.php?name=orehtPriceLS&amp;op=Search&amp;page=1&amp;stext=93314</t>
  </si>
  <si>
    <t>Канистра-бутыль с ручкой 20л (уп.6) М267 г.Октябрьский</t>
  </si>
  <si>
    <t xml:space="preserve">243 </t>
  </si>
  <si>
    <t>https://www.oreht.ru/modules.php?name=orehtPriceLS&amp;op=Search&amp;page=1&amp;stext=225649</t>
  </si>
  <si>
    <t>Утюг электрический LIRA LR 0607 (с тефлоновым покрытием, мощ.1200Вт)</t>
  </si>
  <si>
    <t xml:space="preserve">576 </t>
  </si>
  <si>
    <t>https://www.oreht.ru/modules.php?name=orehtPriceLS&amp;op=Search&amp;page=1&amp;stext=256275</t>
  </si>
  <si>
    <t>Блюдо с крышкой для выпечки (уп.5) М6368 г.Октябрьский</t>
  </si>
  <si>
    <t xml:space="preserve">463 </t>
  </si>
  <si>
    <t>https://www.oreht.ru/modules.php?name=orehtPriceLS&amp;op=Search&amp;page=1&amp;stext=313237</t>
  </si>
  <si>
    <t>Плойка-выпрямитель для волос LIRA LR 0803 (мощность 45Вт)</t>
  </si>
  <si>
    <t xml:space="preserve">577 </t>
  </si>
  <si>
    <t>https://www.oreht.ru/modules.php?name=orehtPriceLS&amp;op=Search&amp;page=1&amp;stext=365617</t>
  </si>
  <si>
    <t>Чайник (металл) econ ECO-1870KE</t>
  </si>
  <si>
    <t xml:space="preserve">578 </t>
  </si>
  <si>
    <t>https://www.oreht.ru/modules.php?name=orehtPriceLS&amp;op=Search&amp;page=1&amp;stext=409088</t>
  </si>
  <si>
    <t>Набор чаш "Классик" бежевый (уп.3) М7684 г.Октябрьский</t>
  </si>
  <si>
    <t>https://www.oreht.ru/modules.php?name=orehtPriceLS&amp;op=Search&amp;page=1&amp;stext=339139</t>
  </si>
  <si>
    <t>Набор чаш "Классик" розовый (уп.3) М7685 г.Октябрьский</t>
  </si>
  <si>
    <t xml:space="preserve">192 </t>
  </si>
  <si>
    <t>https://www.oreht.ru/modules.php?name=orehtPriceLS&amp;op=Search&amp;page=1&amp;stext=421004</t>
  </si>
  <si>
    <t>Стайлер Blackton Bt HST7013 Черный-Серебро</t>
  </si>
  <si>
    <t xml:space="preserve">579 </t>
  </si>
  <si>
    <t>https://www.oreht.ru/modules.php?name=orehtPriceLS&amp;op=Search&amp;page=1&amp;stext=452040</t>
  </si>
  <si>
    <t>Ручной миксер Blackton Bt MX320 Белый-Бирюзовый</t>
  </si>
  <si>
    <t xml:space="preserve">584 </t>
  </si>
  <si>
    <t>https://www.oreht.ru/modules.php?name=orehtPriceLS&amp;op=Search&amp;page=1&amp;stext=452039</t>
  </si>
  <si>
    <t>Ручной миксер Blackton Bt MX320 Белый-Серый</t>
  </si>
  <si>
    <t>https://www.oreht.ru/modules.php?name=orehtPriceLS&amp;op=Search&amp;page=1&amp;stext=276589</t>
  </si>
  <si>
    <t>Кронштейн "Holder" - LCD-F2617-B</t>
  </si>
  <si>
    <t>https://www.oreht.ru/modules.php?name=orehtPriceLS&amp;op=Search&amp;page=1&amp;stext=321283</t>
  </si>
  <si>
    <t>Чайник электрический Чая-3а (1,8л. 1500 Вт) Великие Реки</t>
  </si>
  <si>
    <t>https://www.oreht.ru/modules.php?name=orehtPriceLS&amp;op=Search&amp;page=1&amp;stext=234101</t>
  </si>
  <si>
    <t>Кофемолка ВАСИЛИСА ВА-400 бежевый</t>
  </si>
  <si>
    <t>https://www.oreht.ru/modules.php?name=orehtPriceLS&amp;op=Search&amp;page=1&amp;stext=256277</t>
  </si>
  <si>
    <t>Ваза для фруктов "Изобилие" прозрачный (уп.8) М6398 г.Октябрьский</t>
  </si>
  <si>
    <t>https://www.oreht.ru/modules.php?name=orehtPriceLS&amp;op=Search&amp;page=1&amp;stext=271432</t>
  </si>
  <si>
    <t>Фруктовница "Мелодия" 2-х ярусная средняя белый (уп.22) М6618 г.Октябрьский</t>
  </si>
  <si>
    <t xml:space="preserve">130 </t>
  </si>
  <si>
    <t>https://www.oreht.ru/modules.php?name=orehtPriceLS&amp;op=Search&amp;page=1&amp;stext=450109</t>
  </si>
  <si>
    <t>Парогенератор HOMESTAR HS-7002 (800 Вт, 200мл) арт.002929</t>
  </si>
  <si>
    <t>https://www.oreht.ru/modules.php?name=orehtPriceLS&amp;op=Search&amp;page=1&amp;stext=347346</t>
  </si>
  <si>
    <t>Миксер Великие Реки "Яуза-1" белый с синим</t>
  </si>
  <si>
    <t>https://www.oreht.ru/modules.php?name=orehtPriceLS&amp;op=Search&amp;page=1&amp;stext=258233</t>
  </si>
  <si>
    <t>Фруктовница "Мелодия" 3-х ярусная белый (уп.15) М6407 г.Октябрьский</t>
  </si>
  <si>
    <t xml:space="preserve">181 </t>
  </si>
  <si>
    <t>https://www.oreht.ru/modules.php?name=orehtPriceLS&amp;op=Search&amp;page=1&amp;stext=258234</t>
  </si>
  <si>
    <t>Фруктовница "Мелодия" 3-х ярусная прозрачный (уп.15) М6406 г.Октябрьский</t>
  </si>
  <si>
    <t>https://www.oreht.ru/modules.php?name=orehtPriceLS&amp;op=Search&amp;page=1&amp;stext=271434</t>
  </si>
  <si>
    <t>Фруктовница "Мелодия" 3-х ярусная тонированный (уп.15) М6620 г.Октябрьский</t>
  </si>
  <si>
    <t>https://www.oreht.ru/modules.php?name=orehtPriceLS&amp;op=Search&amp;page=1&amp;stext=387234</t>
  </si>
  <si>
    <t>Проводной телефон teXet TX-238 белый</t>
  </si>
  <si>
    <t>https://www.oreht.ru/modules.php?name=orehtPriceLS&amp;op=Search&amp;page=1&amp;stext=387236</t>
  </si>
  <si>
    <t>Проводной телефон teXet TX-238 черный</t>
  </si>
  <si>
    <t>https://www.oreht.ru/modules.php?name=orehtPriceLS&amp;op=Search&amp;page=1&amp;stext=420496</t>
  </si>
  <si>
    <t>Ванна детская "Карапуз" (св.зеленый) (уп.5) М3251 г.Октябрьский</t>
  </si>
  <si>
    <t>https://www.oreht.ru/modules.php?name=orehtPriceLS&amp;op=Search&amp;page=1&amp;stext=283237</t>
  </si>
  <si>
    <t>Электрощипцы Maxwell MW-2410 (BK)</t>
  </si>
  <si>
    <t xml:space="preserve">592 </t>
  </si>
  <si>
    <t>https://www.oreht.ru/modules.php?name=orehtPriceLS&amp;op=Search&amp;page=1&amp;stext=381744</t>
  </si>
  <si>
    <t>Чайник "ЯРОМИР" ЯР-1059 пластик двойная стенка, черный, 1500Вт, 1,8л</t>
  </si>
  <si>
    <t>https://www.oreht.ru/modules.php?name=orehtPriceLS&amp;op=Search&amp;page=1&amp;stext=402028</t>
  </si>
  <si>
    <t>Измельчитель ВАСИЛИСА ВА-350, белый с голубым, 300 Вт., чаша 500мл</t>
  </si>
  <si>
    <t xml:space="preserve">595 </t>
  </si>
  <si>
    <t>https://www.oreht.ru/modules.php?name=orehtPriceLS&amp;op=Search&amp;page=1&amp;stext=271738</t>
  </si>
  <si>
    <t>Ванна детская "Рыбки" (голубой) (уп.5) М6419 г.Октябрьский</t>
  </si>
  <si>
    <t>https://www.oreht.ru/modules.php?name=orehtPriceLS&amp;op=Search&amp;page=1&amp;stext=177074</t>
  </si>
  <si>
    <t>Горка для купания (розовый) (уп.5) М1514 г.Октябрьский</t>
  </si>
  <si>
    <t xml:space="preserve">180 </t>
  </si>
  <si>
    <t>https://www.oreht.ru/modules.php?name=orehtPriceLS&amp;op=Search&amp;page=1&amp;stext=426005</t>
  </si>
  <si>
    <t>Горшок детский "Baby Shark" с крышкой (уп.10) М8491 г.Октябрьский</t>
  </si>
  <si>
    <t>https://www.oreht.ru/modules.php?name=orehtPriceLS&amp;op=Search&amp;page=1&amp;stext=293652</t>
  </si>
  <si>
    <t>Горшок детский "Кроха" (розовый) (уп.6) М6863 г.Октябрьский</t>
  </si>
  <si>
    <t xml:space="preserve">75 </t>
  </si>
  <si>
    <t>https://www.oreht.ru/modules.php?name=orehtPriceLS&amp;op=Search&amp;page=1&amp;stext=381743</t>
  </si>
  <si>
    <t>Чайник "ЯРОМИР" ЯР-1059 пластик двойная стенка, красный, 1500Вт, 1,8л</t>
  </si>
  <si>
    <t>https://www.oreht.ru/modules.php?name=orehtPriceLS&amp;op=Search&amp;page=1&amp;stext=293653</t>
  </si>
  <si>
    <t>Горшок детский "Кроха" (светло-бирюзовый) (уп.6) М6927 г.Октябрьский</t>
  </si>
  <si>
    <t>https://www.oreht.ru/modules.php?name=orehtPriceLS&amp;op=Search&amp;page=1&amp;stext=93133</t>
  </si>
  <si>
    <t>Горшок детский "Малышок" с крышкой (голубой) (уп.10) М1324 г.Октябрьский</t>
  </si>
  <si>
    <t xml:space="preserve">106 </t>
  </si>
  <si>
    <t>https://www.oreht.ru/modules.php?name=orehtPriceLS&amp;op=Search&amp;page=1&amp;stext=369972</t>
  </si>
  <si>
    <t>Радиоприемник «Эфир-12», FM (88-108МГц) / AM (530-1600КГц) / SW1 (3,2-8,2МГц) / SW2 (8,7-22,0МГц)</t>
  </si>
  <si>
    <t xml:space="preserve">593 </t>
  </si>
  <si>
    <t>https://www.oreht.ru/modules.php?name=orehtPriceLS&amp;op=Search&amp;page=1&amp;stext=426006</t>
  </si>
  <si>
    <t>Горшок-стульчик детский "Лунтик" (уп.6) М8463 г.Октябрьский</t>
  </si>
  <si>
    <t xml:space="preserve">242 </t>
  </si>
  <si>
    <t>https://www.oreht.ru/modules.php?name=orehtPriceLS&amp;op=Search&amp;page=1&amp;stext=380957</t>
  </si>
  <si>
    <t>Горшок-стульчик детский "Щенячий Патруль" (уп.6) М8145 г.Октябрьский</t>
  </si>
  <si>
    <t>https://www.oreht.ru/modules.php?name=orehtPriceLS&amp;op=Search&amp;page=1&amp;stext=426037</t>
  </si>
  <si>
    <t>Сиденье детское для купания "Лунтик" (уп.8) М8457 г.Октябрьский</t>
  </si>
  <si>
    <t xml:space="preserve">364 </t>
  </si>
  <si>
    <t>https://www.oreht.ru/modules.php?name=orehtPriceLS&amp;op=Search&amp;page=1&amp;stext=93117</t>
  </si>
  <si>
    <t>Ведро 10л "Эконом" микс (уп.10) М2057 г.Октябрьский</t>
  </si>
  <si>
    <t>https://www.oreht.ru/modules.php?name=orehtPriceLS&amp;op=Search&amp;page=1&amp;stext=318243</t>
  </si>
  <si>
    <t>Ведро 10л "Эконом" со сливом (уп.10) М7241 г.Октябрьский</t>
  </si>
  <si>
    <t>https://www.oreht.ru/modules.php?name=orehtPriceLS&amp;op=Search&amp;page=1&amp;stext=92544</t>
  </si>
  <si>
    <t>Ведро 10л без крышки микс (уп.10) М007 г.Октябрьский</t>
  </si>
  <si>
    <t xml:space="preserve">122 </t>
  </si>
  <si>
    <t>https://www.oreht.ru/modules.php?name=orehtPriceLS&amp;op=Search&amp;page=1&amp;stext=160565</t>
  </si>
  <si>
    <t>Ведро 10л с крышкой "Хозяюшка" (уп.10) М1213 г.Октябрьский</t>
  </si>
  <si>
    <t>https://www.oreht.ru/modules.php?name=orehtPriceLS&amp;op=Search&amp;page=1&amp;stext=189957</t>
  </si>
  <si>
    <t>Ведро для мусора с педалью 10л (голубой)(уп.2) М1380 г.Октябрьский</t>
  </si>
  <si>
    <t xml:space="preserve">288 </t>
  </si>
  <si>
    <t>https://www.oreht.ru/modules.php?name=orehtPriceLS&amp;op=Search&amp;page=1&amp;stext=311911</t>
  </si>
  <si>
    <t>Ведро для мусора с педалью 12л "Эконом" (уп.2) М7250 г.Октябрьский</t>
  </si>
  <si>
    <t xml:space="preserve">324 </t>
  </si>
  <si>
    <t>https://www.oreht.ru/modules.php?name=orehtPriceLS&amp;op=Search&amp;page=1&amp;stext=189958</t>
  </si>
  <si>
    <t>Ведро для мусора с педалью 18л (слоновая кость) (уп.2) М1287 г.Октябрьский</t>
  </si>
  <si>
    <t xml:space="preserve">496 </t>
  </si>
  <si>
    <t>https://www.oreht.ru/modules.php?name=orehtPriceLS&amp;op=Search&amp;page=1&amp;stext=203317</t>
  </si>
  <si>
    <t>Ведро с отжимом 10л микс (уп.8) М1012 г.Октябрьский</t>
  </si>
  <si>
    <t xml:space="preserve">186 </t>
  </si>
  <si>
    <t>https://www.oreht.ru/modules.php?name=orehtPriceLS&amp;op=Search&amp;page=1&amp;stext=143586</t>
  </si>
  <si>
    <t>Воронка с гофро удлинителем (уп.10) М207 г.Октябрьский</t>
  </si>
  <si>
    <t>https://www.oreht.ru/modules.php?name=orehtPriceLS&amp;op=Search&amp;page=1&amp;stext=227350</t>
  </si>
  <si>
    <t>Набор воронок "Цветы" на подставке (3шт) (уп.15) М6115 г.Октябрьский</t>
  </si>
  <si>
    <t>https://www.oreht.ru/modules.php?name=orehtPriceLS&amp;op=Search&amp;page=1&amp;stext=357650</t>
  </si>
  <si>
    <t>https://www.oreht.ru/modules.php?name=orehtPriceLS&amp;op=Search&amp;page=1&amp;stext=195201</t>
  </si>
  <si>
    <t>Ваза для цветов под срезку (D185мм, высота 310мм) белый (уп.12) М5350 г.Октябрьский</t>
  </si>
  <si>
    <t>https://www.oreht.ru/modules.php?name=orehtPriceLS&amp;op=Search&amp;page=1&amp;stext=187395</t>
  </si>
  <si>
    <t>Ваза для цветов под срезку (D185мм, высота 310мм) черный (уп12) М5144 г.Октябрьский</t>
  </si>
  <si>
    <t>https://www.oreht.ru/modules.php?name=orehtPriceLS&amp;op=Search&amp;page=1&amp;stext=258223</t>
  </si>
  <si>
    <t>Ваза для цветов под срезку (D200мм, высота 425мм) белый (уп.12) М6432 г.Октябрьский</t>
  </si>
  <si>
    <t>https://www.oreht.ru/modules.php?name=orehtPriceLS&amp;op=Search&amp;page=1&amp;stext=258224</t>
  </si>
  <si>
    <t>Ваза для цветов под срезку (D200мм, высота 425мм) черный (уп.12) М6433 г.Октябрьский</t>
  </si>
  <si>
    <t>https://www.oreht.ru/modules.php?name=orehtPriceLS&amp;op=Search&amp;page=1&amp;stext=322019</t>
  </si>
  <si>
    <t>Ваза для цветов под срезку (D210мм, высота 440мм) белый (уп.5) М5352 г.Октябрьский</t>
  </si>
  <si>
    <t xml:space="preserve">128 </t>
  </si>
  <si>
    <t>https://www.oreht.ru/modules.php?name=orehtPriceLS&amp;op=Search&amp;page=1&amp;stext=206966</t>
  </si>
  <si>
    <t>Ваза для цветов под срезку (D210мм, высота 440мм) черный (уп.5) М5142 г.Октябрьский</t>
  </si>
  <si>
    <t xml:space="preserve">129 </t>
  </si>
  <si>
    <t>https://www.oreht.ru/modules.php?name=orehtPriceLS&amp;op=Search&amp;page=1&amp;stext=160506</t>
  </si>
  <si>
    <t>Вазон "Венеция" 10л (диам.330мм) белый (уп.10) М3127 г.Октябрьский</t>
  </si>
  <si>
    <t xml:space="preserve">272 </t>
  </si>
  <si>
    <t>https://www.oreht.ru/modules.php?name=orehtPriceLS&amp;op=Search&amp;page=1&amp;stext=160508</t>
  </si>
  <si>
    <t>Вазон "Венеция" 10л (диам.330мм) коричневый (уп.10) М3131 г.Октябрьский</t>
  </si>
  <si>
    <t>https://www.oreht.ru/modules.php?name=orehtPriceLS&amp;op=Search&amp;page=1&amp;stext=93097</t>
  </si>
  <si>
    <t>Вазон "Венеция" 18л (диам.400мм) белый (уп.8) М3129 г.Октябрьский</t>
  </si>
  <si>
    <t>https://www.oreht.ru/modules.php?name=orehtPriceLS&amp;op=Search&amp;page=1&amp;stext=93098</t>
  </si>
  <si>
    <t>Вазон "Жасмин" 12л (диам.370мм) белый (уп.10) М1391 г.Октябрьский</t>
  </si>
  <si>
    <t>https://www.oreht.ru/modules.php?name=orehtPriceLS&amp;op=Search&amp;page=1&amp;stext=192955</t>
  </si>
  <si>
    <t>Вазон "Жасмин" 12л (диам.370мм) коричневый (уп.10) М1557 г.Октябрьский</t>
  </si>
  <si>
    <t>https://www.oreht.ru/modules.php?name=orehtPriceLS&amp;op=Search&amp;page=1&amp;stext=160524</t>
  </si>
  <si>
    <t>Вазон "Жасмин" 18л (диам.418мм) белый (уп.10) М1393 г.Октябрьский</t>
  </si>
  <si>
    <t xml:space="preserve">294 </t>
  </si>
  <si>
    <t>https://www.oreht.ru/modules.php?name=orehtPriceLS&amp;op=Search&amp;page=1&amp;stext=160527</t>
  </si>
  <si>
    <t>Вазон "Жасмин" 18л (диам.418мм) коричневый (уп.10) М1558 г.Октябрьский</t>
  </si>
  <si>
    <t>https://www.oreht.ru/modules.php?name=orehtPriceLS&amp;op=Search&amp;page=1&amp;stext=93100</t>
  </si>
  <si>
    <t>Вазон "Жасмин" 6л (диам.300мм) белый (уп.18) М1394 г.Октябрьский</t>
  </si>
  <si>
    <t>https://www.oreht.ru/modules.php?name=orehtPriceLS&amp;op=Search&amp;page=1&amp;stext=93101</t>
  </si>
  <si>
    <t>Вазон "Жасмин" 6л (диам.300мм) коричневый (уп.18) М1559 г.Октябрьский</t>
  </si>
  <si>
    <t>https://www.oreht.ru/modules.php?name=orehtPriceLS&amp;op=Search&amp;page=1&amp;stext=93102</t>
  </si>
  <si>
    <t>Вазон "Жасмин" 9л (диам.325мм) белый (уп.10) М1395 г.Октябрьский</t>
  </si>
  <si>
    <t>https://www.oreht.ru/modules.php?name=orehtPriceLS&amp;op=Search&amp;page=1&amp;stext=93103</t>
  </si>
  <si>
    <t>Вазон "Жасмин" 9л (диам.325мм) коричневый (уп.10) М1560 г.Октябрьский</t>
  </si>
  <si>
    <t>https://www.oreht.ru/modules.php?name=orehtPriceLS&amp;op=Search&amp;page=1&amp;stext=203854</t>
  </si>
  <si>
    <t>Вазон "Жасмин" на высокой ножке 12л белый (уп.5) М1390 г.Октябрьский</t>
  </si>
  <si>
    <t xml:space="preserve">371 </t>
  </si>
  <si>
    <t>https://www.oreht.ru/modules.php?name=orehtPriceLS&amp;op=Search&amp;page=1&amp;stext=262302</t>
  </si>
  <si>
    <t>Горшок цветочный "Афина" 3л с поддоном белый (уп.24) М6541 г.Октябрьский</t>
  </si>
  <si>
    <t>https://www.oreht.ru/modules.php?name=orehtPriceLS&amp;op=Search&amp;page=1&amp;stext=262303</t>
  </si>
  <si>
    <t>Горшок цветочный "Афина" 3л с поддоном коричневый (уп.24) М6542 г.Октябрьский</t>
  </si>
  <si>
    <t>https://www.oreht.ru/modules.php?name=orehtPriceLS&amp;op=Search&amp;page=1&amp;stext=262304</t>
  </si>
  <si>
    <t>Горшок цветочный "Афина" 5,5л с поддоном белый (уп.12) М6543 г.Октябрьский</t>
  </si>
  <si>
    <t>https://www.oreht.ru/modules.php?name=orehtPriceLS&amp;op=Search&amp;page=1&amp;stext=262305</t>
  </si>
  <si>
    <t>Горшок цветочный "Афина" 5,5л с поддоном коричневый (уп.12) М6544 г.Октябрьский</t>
  </si>
  <si>
    <t>https://www.oreht.ru/modules.php?name=orehtPriceLS&amp;op=Search&amp;page=1&amp;stext=93139</t>
  </si>
  <si>
    <t>Горшок цветочный "Виола" 16л с поддоном белый (уп.10) М1348 г.Октябрьский</t>
  </si>
  <si>
    <t xml:space="preserve">265 </t>
  </si>
  <si>
    <t>https://www.oreht.ru/modules.php?name=orehtPriceLS&amp;op=Search&amp;page=1&amp;stext=93145</t>
  </si>
  <si>
    <t>Горшок цветочный "Виола" 3,5л с поддоном белый (уп.20) М1339 г.Октябрьский</t>
  </si>
  <si>
    <t>https://www.oreht.ru/modules.php?name=orehtPriceLS&amp;op=Search&amp;page=1&amp;stext=187399</t>
  </si>
  <si>
    <t>Горшок цветочный "Виола" 5,0л с поддоном коричневый (уп.15) М1535 г.Октябрьский</t>
  </si>
  <si>
    <t>https://www.oreht.ru/modules.php?name=orehtPriceLS&amp;op=Search&amp;page=1&amp;stext=93147</t>
  </si>
  <si>
    <t>Горшок цветочный "Восторг" 1,5л с поддоном белый (уп.24) М1234 г.Октябрьский</t>
  </si>
  <si>
    <t>https://www.oreht.ru/modules.php?name=orehtPriceLS&amp;op=Search&amp;page=1&amp;stext=93148</t>
  </si>
  <si>
    <t>https://www.oreht.ru/modules.php?name=orehtPriceLS&amp;op=Search&amp;page=1&amp;stext=93150</t>
  </si>
  <si>
    <t>Горшок цветочный "Восторг" 3л с поддоном белый (уп.25) М1235 г.Октябрьский</t>
  </si>
  <si>
    <t>https://www.oreht.ru/modules.php?name=orehtPriceLS&amp;op=Search&amp;page=1&amp;stext=93151</t>
  </si>
  <si>
    <t>Горшок цветочный "Восторг" 3л с поддоном зеленый (уп.25) М1219 г.Октябрьский</t>
  </si>
  <si>
    <t>https://www.oreht.ru/modules.php?name=orehtPriceLS&amp;op=Search&amp;page=1&amp;stext=93152</t>
  </si>
  <si>
    <t>Горшок цветочный "Восторг" 3л с поддоном св. желтый (уп.25) М1231 г.Октябрьский</t>
  </si>
  <si>
    <t>https://www.oreht.ru/modules.php?name=orehtPriceLS&amp;op=Search&amp;page=1&amp;stext=143588</t>
  </si>
  <si>
    <t>Горшок цветочный "Гармония" 4,0л с поддоном белый (уп.20) М1411 г.Октябрьский</t>
  </si>
  <si>
    <t xml:space="preserve">93 </t>
  </si>
  <si>
    <t>https://www.oreht.ru/modules.php?name=orehtPriceLS&amp;op=Search&amp;page=1&amp;stext=413150</t>
  </si>
  <si>
    <t>Горшок цветочный "Дионис" 3,6л бежевый (уп.24) М8524 г.Октябрьский</t>
  </si>
  <si>
    <t>https://www.oreht.ru/modules.php?name=orehtPriceLS&amp;op=Search&amp;page=1&amp;stext=420501</t>
  </si>
  <si>
    <t>Горшок цветочный "Дионис" 3,6л белый (уп.24) М8247 г.Октябрьский</t>
  </si>
  <si>
    <t>https://www.oreht.ru/modules.php?name=orehtPriceLS&amp;op=Search&amp;page=1&amp;stext=420502</t>
  </si>
  <si>
    <t>Горшок цветочный "Дионис" 3,6л коричневый (уп.24) М8248 г.Октябрьский</t>
  </si>
  <si>
    <t>https://www.oreht.ru/modules.php?name=orehtPriceLS&amp;op=Search&amp;page=1&amp;stext=413151</t>
  </si>
  <si>
    <t>Горшок цветочный "Дионис" 3,6л серый (уп.24) М8525 г.Октябрьский</t>
  </si>
  <si>
    <t>https://www.oreht.ru/modules.php?name=orehtPriceLS&amp;op=Search&amp;page=1&amp;stext=395058</t>
  </si>
  <si>
    <t>Горшок цветочный "Каскад" 0,7л светло-зеленый (уп.12) М8069 г.Октябрьский</t>
  </si>
  <si>
    <t>https://www.oreht.ru/modules.php?name=orehtPriceLS&amp;op=Search&amp;page=1&amp;stext=395059</t>
  </si>
  <si>
    <t>Горшок цветочный "Каскад" 0,7л терракотовый (уп.12) М8068 г.Октябрьский</t>
  </si>
  <si>
    <t>https://www.oreht.ru/modules.php?name=orehtPriceLS&amp;op=Search&amp;page=1&amp;stext=364566</t>
  </si>
  <si>
    <t>Горшок цветочный "Лея" 2,2л двойной (с автополивом) белый (уп.20) М7928 г.Октябрьский</t>
  </si>
  <si>
    <t xml:space="preserve">86 </t>
  </si>
  <si>
    <t>https://www.oreht.ru/modules.php?name=orehtPriceLS&amp;op=Search&amp;page=1&amp;stext=434654</t>
  </si>
  <si>
    <t>Горшок цветочный "Лея" 2,2л двойной (с автополивом) св.зеленый (уп.20) М8267 г.Октябрьский</t>
  </si>
  <si>
    <t>https://www.oreht.ru/modules.php?name=orehtPriceLS&amp;op=Search&amp;page=1&amp;stext=369583</t>
  </si>
  <si>
    <t>Горшок цветочный "Лея" 3,6л двойной (с автополивом) бежевый (уп.20) М7938 г.Октябрьский</t>
  </si>
  <si>
    <t xml:space="preserve">114 </t>
  </si>
  <si>
    <t>https://www.oreht.ru/modules.php?name=orehtPriceLS&amp;op=Search&amp;page=1&amp;stext=364568</t>
  </si>
  <si>
    <t>Горшок цветочный "Лея" 3,6л двойной (с автополивом) белый (уп.20) М7929 г.Октябрьский</t>
  </si>
  <si>
    <t>https://www.oreht.ru/modules.php?name=orehtPriceLS&amp;op=Search&amp;page=1&amp;stext=364569</t>
  </si>
  <si>
    <t>Горшок цветочный "Лея" 3,6л двойной (с автополивом) серый (уп.20) М7935 г.Октябрьский</t>
  </si>
  <si>
    <t>https://www.oreht.ru/modules.php?name=orehtPriceLS&amp;op=Search&amp;page=1&amp;stext=434655</t>
  </si>
  <si>
    <t>Горшок цветочный "Лея" 5л двойной (с автополивом) св.зеленый (уп.8) М8269 г.Октябрьский</t>
  </si>
  <si>
    <t>https://www.oreht.ru/modules.php?name=orehtPriceLS&amp;op=Search&amp;page=1&amp;stext=369588</t>
  </si>
  <si>
    <t>Горшок цветочный "Лея" 5л двойной (с автополивом) серый (уп.8) М7936 г.Октябрьский</t>
  </si>
  <si>
    <t>https://www.oreht.ru/modules.php?name=orehtPriceLS&amp;op=Search&amp;page=1&amp;stext=442917</t>
  </si>
  <si>
    <t>Горшок цветочный "Линель" 2,7л двойной бежевый (уп.10) М8699 г.Октябрьский</t>
  </si>
  <si>
    <t>https://www.oreht.ru/modules.php?name=orehtPriceLS&amp;op=Search&amp;page=1&amp;stext=443565</t>
  </si>
  <si>
    <t>Горшок цветочный "Линель" 4,5л двойной (бежевый) (уп.12) М8702 г.Октябрьский</t>
  </si>
  <si>
    <t>https://www.oreht.ru/modules.php?name=orehtPriceLS&amp;op=Search&amp;page=1&amp;stext=443568</t>
  </si>
  <si>
    <t>Горшок цветочный "Линель" 6л двойной (белый) (уп.12) М8704 г.Октябрьский</t>
  </si>
  <si>
    <t xml:space="preserve">151 </t>
  </si>
  <si>
    <t>https://www.oreht.ru/modules.php?name=orehtPriceLS&amp;op=Search&amp;page=1&amp;stext=93224</t>
  </si>
  <si>
    <t>Горшок цветочный "Лозанна" 17л с поддоном белый (уп.10) М1612 г.Октябрьский</t>
  </si>
  <si>
    <t>https://www.oreht.ru/modules.php?name=orehtPriceLS&amp;op=Search&amp;page=1&amp;stext=92611</t>
  </si>
  <si>
    <t>https://www.oreht.ru/modules.php?name=orehtPriceLS&amp;op=Search&amp;page=1&amp;stext=327748</t>
  </si>
  <si>
    <t>Горшок цветочный "Лозанна" 25л с поддоном коричневый (уп.5) М7422 г.Октябрьский</t>
  </si>
  <si>
    <t>https://www.oreht.ru/modules.php?name=orehtPriceLS&amp;op=Search&amp;page=1&amp;stext=160685</t>
  </si>
  <si>
    <t>Горшок цветочный "Лозанна" 5л квадратный с поддоном белый (уп.20) М1618 г.Октябрьский</t>
  </si>
  <si>
    <t xml:space="preserve">135 </t>
  </si>
  <si>
    <t>https://www.oreht.ru/modules.php?name=orehtPriceLS&amp;op=Search&amp;page=1&amp;stext=369593</t>
  </si>
  <si>
    <t>Горшок цветочный "Лозанна" 5л квадратный с поддоном коричневый (уп.20) М7415 г.Октябрьский</t>
  </si>
  <si>
    <t>https://www.oreht.ru/modules.php?name=orehtPriceLS&amp;op=Search&amp;page=1&amp;stext=93234</t>
  </si>
  <si>
    <t>Горшок цветочный "Лозанна" 7л с поддоном белый (уп.20) М1468 г.Октябрьский</t>
  </si>
  <si>
    <t>https://www.oreht.ru/modules.php?name=orehtPriceLS&amp;op=Search&amp;page=1&amp;stext=160686</t>
  </si>
  <si>
    <t>Горшок цветочный "Лозанна" 8л квадратный с поддоном белый (уп.16) М1470 г.Октябрьский</t>
  </si>
  <si>
    <t xml:space="preserve">187 </t>
  </si>
  <si>
    <t>https://www.oreht.ru/modules.php?name=orehtPriceLS&amp;op=Search&amp;page=1&amp;stext=420503</t>
  </si>
  <si>
    <t>Горшок цветочный "Лозанна" 8л квадратный с поддоном коричневый (уп.16) М7416 г.Октябрьский</t>
  </si>
  <si>
    <t>https://www.oreht.ru/modules.php?name=orehtPriceLS&amp;op=Search&amp;page=1&amp;stext=408543</t>
  </si>
  <si>
    <t>Горшок цветочный "Мрамор" 1,2л (уп.20) М8376 г.Октябрьский</t>
  </si>
  <si>
    <t>https://www.oreht.ru/modules.php?name=orehtPriceLS&amp;op=Search&amp;page=1&amp;stext=420504</t>
  </si>
  <si>
    <t>Горшок цветочный "Мрамор" 1,8л (уп.30) М8377 г.Октябрьский</t>
  </si>
  <si>
    <t xml:space="preserve">83 </t>
  </si>
  <si>
    <t>https://www.oreht.ru/modules.php?name=orehtPriceLS&amp;op=Search&amp;page=1&amp;stext=93176</t>
  </si>
  <si>
    <t>Горшок цветочный "Розалия" 3,2л с поддоном белый (уп.30) М1523 г.Октябрьский</t>
  </si>
  <si>
    <t>https://www.oreht.ru/modules.php?name=orehtPriceLS&amp;op=Search&amp;page=1&amp;stext=227346</t>
  </si>
  <si>
    <t>Горшок цветочный "Рондо" 3,0л с поддоном белый (уп.24) М6094 г.Октябрьский</t>
  </si>
  <si>
    <t>https://www.oreht.ru/modules.php?name=orehtPriceLS&amp;op=Search&amp;page=1&amp;stext=283482</t>
  </si>
  <si>
    <t>Горшок цветочный "Рондо" 3,0л с поддоном коричневый (уп.24) М6095 г.Октябрьский</t>
  </si>
  <si>
    <t>https://www.oreht.ru/modules.php?name=orehtPriceLS&amp;op=Search&amp;page=1&amp;stext=183697</t>
  </si>
  <si>
    <t>Горшок цветочный "Триумф" 2,5л с поддоном белый (уп.18) М4965 г.Октябрьский</t>
  </si>
  <si>
    <t>https://www.oreht.ru/modules.php?name=orehtPriceLS&amp;op=Search&amp;page=1&amp;stext=346388</t>
  </si>
  <si>
    <t>Горшок цветочный "Эконом" 10л с поддоном белый (уп.18) М7257 г.Октябрьский</t>
  </si>
  <si>
    <t>https://www.oreht.ru/modules.php?name=orehtPriceLS&amp;op=Search&amp;page=1&amp;stext=268147</t>
  </si>
  <si>
    <t>Горшок цветочный "Эконом" 10л с поддоном коричневый (уп.18) М6604 г.Октябрьский</t>
  </si>
  <si>
    <t xml:space="preserve">125 </t>
  </si>
  <si>
    <t>https://www.oreht.ru/modules.php?name=orehtPriceLS&amp;op=Search&amp;page=1&amp;stext=160661</t>
  </si>
  <si>
    <t>Горшок цветочный для орхидеи 1,2л с поддоном зелено-прозрачный (уп.20) М1452 г.Октябрьский</t>
  </si>
  <si>
    <t>https://www.oreht.ru/modules.php?name=orehtPriceLS&amp;op=Search&amp;page=1&amp;stext=369670</t>
  </si>
  <si>
    <t>Горшок цветочный для орхидеи 1,2л с поддоном прозрачно-розовый (уп.20) М7543 г.Октябрьский</t>
  </si>
  <si>
    <t>https://www.oreht.ru/modules.php?name=orehtPriceLS&amp;op=Search&amp;page=1&amp;stext=93154</t>
  </si>
  <si>
    <t>Горшок цветочный для орхидеи 1,2л с поддоном прозрачный (уп.20) М1603 г.Октябрьский</t>
  </si>
  <si>
    <t>https://www.oreht.ru/modules.php?name=orehtPriceLS&amp;op=Search&amp;page=1&amp;stext=369672</t>
  </si>
  <si>
    <t>Горшок цветочный для орхидеи 1,8л с поддоном прозрачно-розовый (уп.30) М7544 г.Октябрьский</t>
  </si>
  <si>
    <t>https://www.oreht.ru/modules.php?name=orehtPriceLS&amp;op=Search&amp;page=1&amp;stext=93155</t>
  </si>
  <si>
    <t>Горшок цветочный для орхидеи 1,8л с поддоном прозрачный (уп.30) М1604 г.Октябрьский</t>
  </si>
  <si>
    <t>https://www.oreht.ru/modules.php?name=orehtPriceLS&amp;op=Search&amp;page=1&amp;stext=160666</t>
  </si>
  <si>
    <t>Горшок цветочный для орхидеи 3,5л с поддоном зелено-прозрачный (уп.20) М1455 г.Октябрьский *</t>
  </si>
  <si>
    <t xml:space="preserve">109 </t>
  </si>
  <si>
    <t>https://www.oreht.ru/modules.php?name=orehtPriceLS&amp;op=Search&amp;page=1&amp;stext=160667</t>
  </si>
  <si>
    <t>Горшок цветочный для орхидеи 3,5л с поддоном прозрачный (уп.20) М1606 г.Октябрьский</t>
  </si>
  <si>
    <t>https://www.oreht.ru/modules.php?name=orehtPriceLS&amp;op=Search&amp;page=1&amp;stext=220896</t>
  </si>
  <si>
    <t>Горшок-Кашпо "Мирабель" 2,5л с поддоном коричневый (уп.30) М5923 г.Октябрьский</t>
  </si>
  <si>
    <t>https://www.oreht.ru/modules.php?name=orehtPriceLS&amp;op=Search&amp;page=1&amp;stext=160697</t>
  </si>
  <si>
    <t>Горшок-Кашпо "Фламинго" 15л на подставке белый (уп.10) М1491 г.Октябрьский</t>
  </si>
  <si>
    <t>https://www.oreht.ru/modules.php?name=orehtPriceLS&amp;op=Search&amp;page=1&amp;stext=160698</t>
  </si>
  <si>
    <t>Горшок-Кашпо "Фламинго" 15л на подставке коричневый (уп.10) М1490 г.Октябрьский</t>
  </si>
  <si>
    <t>https://www.oreht.ru/modules.php?name=orehtPriceLS&amp;op=Search&amp;page=1&amp;stext=93209</t>
  </si>
  <si>
    <t>Горшок-Кашпо подвесное "Грация" 4,5л белый (уп.17) М1607 г.Октябрьский</t>
  </si>
  <si>
    <t xml:space="preserve">136 </t>
  </si>
  <si>
    <t>https://www.oreht.ru/modules.php?name=orehtPriceLS&amp;op=Search&amp;page=1&amp;stext=93211</t>
  </si>
  <si>
    <t>Горшок-Кашпо подвесное "Джулия" 3.5л белый (уп.17) М1457 г.Октябрьский</t>
  </si>
  <si>
    <t>https://www.oreht.ru/modules.php?name=orehtPriceLS&amp;op=Search&amp;page=1&amp;stext=93212</t>
  </si>
  <si>
    <t>Горшок-Кашпо подвесное "Джулия" 3.5л коричневый (уп.17) М1608 г.Октябрьский</t>
  </si>
  <si>
    <t>https://www.oreht.ru/modules.php?name=orehtPriceLS&amp;op=Search&amp;page=1&amp;stext=93213</t>
  </si>
  <si>
    <t>Горшок-Кашпо подвесное "Джулия" 8л белый (уп.15) М1458 г.Октябрьский</t>
  </si>
  <si>
    <t>https://www.oreht.ru/modules.php?name=orehtPriceLS&amp;op=Search&amp;page=1&amp;stext=384927</t>
  </si>
  <si>
    <t>Кашпо напольное "Оазис" 25л со вставкой 5л белый (уп.2) М8075 г.Октябрьский</t>
  </si>
  <si>
    <t>https://www.oreht.ru/modules.php?name=orehtPriceLS&amp;op=Search&amp;page=1&amp;stext=384929</t>
  </si>
  <si>
    <t>Кашпо напольное "Оазис" 25л со вставкой 5л серый (уп.2) М8076 г.Октябрьский</t>
  </si>
  <si>
    <t>https://www.oreht.ru/modules.php?name=orehtPriceLS&amp;op=Search&amp;page=1&amp;stext=318251</t>
  </si>
  <si>
    <t>Кашпо настенное "Лозанна" 3л коричневый (уп.16) М7413 г.Октябрьский</t>
  </si>
  <si>
    <t>https://www.oreht.ru/modules.php?name=orehtPriceLS&amp;op=Search&amp;page=1&amp;stext=163234</t>
  </si>
  <si>
    <t>Кашпо подвесное "Венеция" 10л (диам.330мм) белый (уп.10) М3168 г.Октябрьский</t>
  </si>
  <si>
    <t>https://www.oreht.ru/modules.php?name=orehtPriceLS&amp;op=Search&amp;page=1&amp;stext=413153</t>
  </si>
  <si>
    <t>Доска разделочная 248х175х2мм гибкая (розовый) (уп.16) М8445 г.Октябрьский</t>
  </si>
  <si>
    <t xml:space="preserve">51 </t>
  </si>
  <si>
    <t>https://www.oreht.ru/modules.php?name=orehtPriceLS&amp;op=Search&amp;page=1&amp;stext=177075</t>
  </si>
  <si>
    <t>Доска разделочная 245х160х5мм "Хозяюшка" малая (уп. 25) М440 г.Октябрьский</t>
  </si>
  <si>
    <t>https://www.oreht.ru/modules.php?name=orehtPriceLS&amp;op=Search&amp;page=1&amp;stext=410155</t>
  </si>
  <si>
    <t>Доска разделочная 352х252х2мм гибкая (розовый) (уп.16) М8448 г.Октябрьский</t>
  </si>
  <si>
    <t>https://www.oreht.ru/modules.php?name=orehtPriceLS&amp;op=Search&amp;page=1&amp;stext=410154</t>
  </si>
  <si>
    <t>Доска разделочная 352х252х2мм гибкая бежевый (уп.16) М8447 г.Октябрьский</t>
  </si>
  <si>
    <t>https://www.oreht.ru/modules.php?name=orehtPriceLS&amp;op=Search&amp;page=1&amp;stext=410156</t>
  </si>
  <si>
    <t>Доска разделочная 352х252х2мм гибкая серый (уп.16) М8449 г.Октябрьский</t>
  </si>
  <si>
    <t>https://www.oreht.ru/modules.php?name=orehtPriceLS&amp;op=Search&amp;page=1&amp;stext=177076</t>
  </si>
  <si>
    <t>Дуршлаг с чашей 3л (уп.10) М592 г.Октябрьский</t>
  </si>
  <si>
    <t>https://www.oreht.ru/modules.php?name=orehtPriceLS&amp;op=Search&amp;page=1&amp;stext=243050</t>
  </si>
  <si>
    <t>Дуршлаг-фруктомойка "Райский сад" 350мм белый (уп.25) М6212 г.Октябрьский</t>
  </si>
  <si>
    <t>https://www.oreht.ru/modules.php?name=orehtPriceLS&amp;op=Search&amp;page=1&amp;stext=420531</t>
  </si>
  <si>
    <t>Просеиватель для муки белый (уп.16) М8155 г.Октябрьский</t>
  </si>
  <si>
    <t xml:space="preserve">107 </t>
  </si>
  <si>
    <t>https://www.oreht.ru/modules.php?name=orehtPriceLS&amp;op=Search&amp;page=1&amp;stext=92668</t>
  </si>
  <si>
    <t>Емкость "Ассорти" 0,7л (соль) (уп.12) М1713 г.Октябрьский</t>
  </si>
  <si>
    <t>https://www.oreht.ru/modules.php?name=orehtPriceLS&amp;op=Search&amp;page=1&amp;stext=92669</t>
  </si>
  <si>
    <t>Емкость "Ассорти" 0,7л (чай) (уп.12) М1714 г.Октябрьский</t>
  </si>
  <si>
    <t>https://www.oreht.ru/modules.php?name=orehtPriceLS&amp;op=Search&amp;page=1&amp;stext=172749</t>
  </si>
  <si>
    <t>Емкость "Маки" (сахар) 1,2л с ложкой (уп.12) М4828 г.Октябрьский</t>
  </si>
  <si>
    <t xml:space="preserve">96 </t>
  </si>
  <si>
    <t>https://www.oreht.ru/modules.php?name=orehtPriceLS&amp;op=Search&amp;page=1&amp;stext=217218</t>
  </si>
  <si>
    <t>Емкость "Флорель" (сахар) 1,2л с ложкой (уп.12) М4825 г.Октябрьский</t>
  </si>
  <si>
    <t>https://www.oreht.ru/modules.php?name=orehtPriceLS&amp;op=Search&amp;page=1&amp;stext=207913</t>
  </si>
  <si>
    <t>Емкость "Флорель" (соль) 1,2л с ложкой (уп.12) М4826 г.Октябрьский</t>
  </si>
  <si>
    <t>https://www.oreht.ru/modules.php?name=orehtPriceLS&amp;op=Search&amp;page=1&amp;stext=92697</t>
  </si>
  <si>
    <t>Емкость для сбора ягод 3л (уп.25) М1110 г.Октябрьский</t>
  </si>
  <si>
    <t>https://www.oreht.ru/modules.php?name=orehtPriceLS&amp;op=Search&amp;page=1&amp;stext=305671</t>
  </si>
  <si>
    <t>Емкость для стирального порошка 6л с крышкой белый (уп.10) М7106 г.Октябрьский</t>
  </si>
  <si>
    <t xml:space="preserve">166 </t>
  </si>
  <si>
    <t>https://www.oreht.ru/modules.php?name=orehtPriceLS&amp;op=Search&amp;page=1&amp;stext=172788</t>
  </si>
  <si>
    <t>Набор емкостей на подставке "Плетенка" 1,2л (уп.9) М4726 г.Октябрьский</t>
  </si>
  <si>
    <t xml:space="preserve">377 </t>
  </si>
  <si>
    <t>https://www.oreht.ru/modules.php?name=orehtPriceLS&amp;op=Search&amp;page=1&amp;stext=358213</t>
  </si>
  <si>
    <t>Набор емкостей на подставке "Пронто" 1,2л (уп.9) М7797 г.Октябрьский</t>
  </si>
  <si>
    <t>https://www.oreht.ru/modules.php?name=orehtPriceLS&amp;op=Search&amp;page=1&amp;stext=173435</t>
  </si>
  <si>
    <t>Набор емкостей на подставке "Флорель" 1,2л (уп.9) М4724 г.Октябрьский</t>
  </si>
  <si>
    <t>https://www.oreht.ru/modules.php?name=orehtPriceLS&amp;op=Search&amp;page=1&amp;stext=172789</t>
  </si>
  <si>
    <t>Набор емкостей на подставке "Шале" 1,2л (уп.9) М4820 г.Октябрьский</t>
  </si>
  <si>
    <t>https://www.oreht.ru/modules.php?name=orehtPriceLS&amp;op=Search&amp;page=1&amp;stext=160448</t>
  </si>
  <si>
    <t>Набор емкостей на полке "Ассорти" 0,7л (уп.9) М1179 г.Октябрьский</t>
  </si>
  <si>
    <t xml:space="preserve">277 </t>
  </si>
  <si>
    <t>https://www.oreht.ru/modules.php?name=orehtPriceLS&amp;op=Search&amp;page=1&amp;stext=159596</t>
  </si>
  <si>
    <t>Ковш со сливом "Русская банька" 1,5л (уп.28) М4014 г.Октябрьский</t>
  </si>
  <si>
    <t>https://www.oreht.ru/modules.php?name=orehtPriceLS&amp;op=Search&amp;page=1&amp;stext=93129</t>
  </si>
  <si>
    <t>Веник "Комфорт-люкс" с черенком (жесткий) (уп.22) М1267 г.Октябрьский</t>
  </si>
  <si>
    <t>https://www.oreht.ru/modules.php?name=orehtPriceLS&amp;op=Search&amp;page=1&amp;stext=174252</t>
  </si>
  <si>
    <t>Веник жесткий микс (уп.24) М862 г.Октябрьский</t>
  </si>
  <si>
    <t>https://www.oreht.ru/modules.php?name=orehtPriceLS&amp;op=Search&amp;page=1&amp;stext=92767</t>
  </si>
  <si>
    <t>Набор для уборки "Комфорт" №1 (жесткий) микс (уп.10) М1191 г.Октябрьский</t>
  </si>
  <si>
    <t xml:space="preserve">251 </t>
  </si>
  <si>
    <t>https://www.oreht.ru/modules.php?name=orehtPriceLS&amp;op=Search&amp;page=1&amp;stext=402679</t>
  </si>
  <si>
    <t>Набор для уборки "Комфорт" №1 (мягкий) бежевый (уп.10) М8368 г.Октябрьский</t>
  </si>
  <si>
    <t>https://www.oreht.ru/modules.php?name=orehtPriceLS&amp;op=Search&amp;page=1&amp;stext=384922</t>
  </si>
  <si>
    <t>Контейнер "С Новым годом!" 7л прямоугольный (уп.12) М8206 г.Октябрьский</t>
  </si>
  <si>
    <t>https://www.oreht.ru/modules.php?name=orehtPriceLS&amp;op=Search&amp;page=1&amp;stext=413700</t>
  </si>
  <si>
    <t>Контейнер для заморозки 1,7л голубой (уп.18) М8511 г.Октябрьский</t>
  </si>
  <si>
    <t>https://www.oreht.ru/modules.php?name=orehtPriceLS&amp;op=Search&amp;page=1&amp;stext=348616</t>
  </si>
  <si>
    <t>Контейнер для игрушек прямоугольный 15л "44 котенка" с крышкой (уп.8) М7648 г.Октябрьский</t>
  </si>
  <si>
    <t>https://www.oreht.ru/modules.php?name=orehtPriceLS&amp;op=Search&amp;page=1&amp;stext=399943</t>
  </si>
  <si>
    <t>Контейнер для игрушек прямоугольный 15л "Динозаврики" с крышкой (уп.8) М8274 г.Октябрьский</t>
  </si>
  <si>
    <t xml:space="preserve">332 </t>
  </si>
  <si>
    <t>https://www.oreht.ru/modules.php?name=orehtPriceLS&amp;op=Search&amp;page=1&amp;stext=426015</t>
  </si>
  <si>
    <t>Контейнер для игрушек прямоугольный 15л "Лунтик" с крышкой (уп.8) М8465 г.Октябрьский</t>
  </si>
  <si>
    <t>https://www.oreht.ru/modules.php?name=orehtPriceLS&amp;op=Search&amp;page=1&amp;stext=210653</t>
  </si>
  <si>
    <t>Контейнер для игрушек прямоугольный 4л "Чудо-остров" (уп.14) М3664 г.Октябрьский</t>
  </si>
  <si>
    <t xml:space="preserve">157 </t>
  </si>
  <si>
    <t>https://www.oreht.ru/modules.php?name=orehtPriceLS&amp;op=Search&amp;page=1&amp;stext=217225</t>
  </si>
  <si>
    <t>Контейнер для колбасных изделий (250х70х70) прозрачно-красный (уп.16) М5025 г.Октябрьский</t>
  </si>
  <si>
    <t xml:space="preserve">68 </t>
  </si>
  <si>
    <t>https://www.oreht.ru/modules.php?name=orehtPriceLS&amp;op=Search&amp;page=1&amp;stext=334743</t>
  </si>
  <si>
    <t>Контейнер для мусора 10л "Вязаное плетение" бежевый (уп.3) М7489 г.Октябрьский</t>
  </si>
  <si>
    <t xml:space="preserve">268 </t>
  </si>
  <si>
    <t>https://www.oreht.ru/modules.php?name=orehtPriceLS&amp;op=Search&amp;page=1&amp;stext=93378</t>
  </si>
  <si>
    <t>Контейнер для мусора 10л круглый (микс) (уп.4) М1138 г.Октябрьский</t>
  </si>
  <si>
    <t xml:space="preserve">229 </t>
  </si>
  <si>
    <t>https://www.oreht.ru/modules.php?name=orehtPriceLS&amp;op=Search&amp;page=1&amp;stext=93381</t>
  </si>
  <si>
    <t>Контейнер для мусора 12л овальный бежевый (уп.6) М1549 г.Октябрьский</t>
  </si>
  <si>
    <t xml:space="preserve">223 </t>
  </si>
  <si>
    <t>https://www.oreht.ru/modules.php?name=orehtPriceLS&amp;op=Search&amp;page=1&amp;stext=299390</t>
  </si>
  <si>
    <t>Контейнер для мусора 7л угловой (светло-серый) (уп.6) М7002 г.Октябрьский</t>
  </si>
  <si>
    <t xml:space="preserve">216 </t>
  </si>
  <si>
    <t>https://www.oreht.ru/modules.php?name=orehtPriceLS&amp;op=Search&amp;page=1&amp;stext=283708</t>
  </si>
  <si>
    <t>Контейнер круглый с ручками 10л (уп.6) М6762 г.Октябрьский</t>
  </si>
  <si>
    <t xml:space="preserve">170 </t>
  </si>
  <si>
    <t>https://www.oreht.ru/modules.php?name=orehtPriceLS&amp;op=Search&amp;page=1&amp;stext=281452</t>
  </si>
  <si>
    <t>Контейнер круглый с ручками 3л (уп.12) М6729 г.Октябрьский</t>
  </si>
  <si>
    <t>https://www.oreht.ru/modules.php?name=orehtPriceLS&amp;op=Search&amp;page=1&amp;stext=92794</t>
  </si>
  <si>
    <t>Контейнер круглый с ручками 5л (уп.10) М097 г.Октябрьский</t>
  </si>
  <si>
    <t>https://www.oreht.ru/modules.php?name=orehtPriceLS&amp;op=Search&amp;page=1&amp;stext=92795</t>
  </si>
  <si>
    <t>Контейнер круглый с ручками 7л (уп.10) М147 г.Октябрьский</t>
  </si>
  <si>
    <t xml:space="preserve">162 </t>
  </si>
  <si>
    <t>https://www.oreht.ru/modules.php?name=orehtPriceLS&amp;op=Search&amp;page=1&amp;stext=92796</t>
  </si>
  <si>
    <t>Контейнер круглый с ручками 8л М098 (уп.8) г.Октябрьский</t>
  </si>
  <si>
    <t>https://www.oreht.ru/modules.php?name=orehtPriceLS&amp;op=Search&amp;page=1&amp;stext=423037</t>
  </si>
  <si>
    <t>Контейнер универсальный 12л (с крышкой) 395х280х155 мм (уп.9) М8311 г.Октябрьский</t>
  </si>
  <si>
    <t>https://www.oreht.ru/modules.php?name=orehtPriceLS&amp;op=Search&amp;page=1&amp;stext=256293</t>
  </si>
  <si>
    <t>Контейнер универсальный 2-х ярусный (уп.18) М6366 г.Октябрьский</t>
  </si>
  <si>
    <t>https://www.oreht.ru/modules.php?name=orehtPriceLS&amp;op=Search&amp;page=1&amp;stext=423038</t>
  </si>
  <si>
    <t>Контейнер универсальный 22л (с крышкой) 395х280х305 мм (уп.6) М8312 г.Октябрьский</t>
  </si>
  <si>
    <t xml:space="preserve">291 </t>
  </si>
  <si>
    <t>https://www.oreht.ru/modules.php?name=orehtPriceLS&amp;op=Search&amp;page=1&amp;stext=237273</t>
  </si>
  <si>
    <t>Масленка "Мозаика" (бело-желтый)(уп.28) М5568 г.Октябрьский</t>
  </si>
  <si>
    <t>https://www.oreht.ru/modules.php?name=orehtPriceLS&amp;op=Search&amp;page=1&amp;stext=194986</t>
  </si>
  <si>
    <t>Масленка "Мозаика" (бело-прозрачный)(уп.28) М5571 г.Октябрьский</t>
  </si>
  <si>
    <t>https://www.oreht.ru/modules.php?name=orehtPriceLS&amp;op=Search&amp;page=1&amp;stext=194987</t>
  </si>
  <si>
    <t>Масленка "Мозаика" (бело-тонированный)(уп.28) М5569 г.Октябрьский</t>
  </si>
  <si>
    <t>https://www.oreht.ru/modules.php?name=orehtPriceLS&amp;op=Search&amp;page=1&amp;stext=183820</t>
  </si>
  <si>
    <t>Масленка "Смак" (уп.18) М384 г.Октябрьский</t>
  </si>
  <si>
    <t xml:space="preserve">50 </t>
  </si>
  <si>
    <t>https://www.oreht.ru/modules.php?name=orehtPriceLS&amp;op=Search&amp;page=1&amp;stext=92802</t>
  </si>
  <si>
    <t>https://www.oreht.ru/modules.php?name=orehtPriceLS&amp;op=Search&amp;page=1&amp;stext=420515</t>
  </si>
  <si>
    <t>Корзина "Мираж" 290х190х150мм белый с крышкой (уп.15) М8369 г.Октябрьский</t>
  </si>
  <si>
    <t xml:space="preserve">160 </t>
  </si>
  <si>
    <t>https://www.oreht.ru/modules.php?name=orehtPriceLS&amp;op=Search&amp;page=1&amp;stext=289774</t>
  </si>
  <si>
    <t>Корзина "Мираж" 380х285х210мм бежевый с крышкой (уп.7) М6833 г.Октябрьский</t>
  </si>
  <si>
    <t xml:space="preserve">369 </t>
  </si>
  <si>
    <t>https://www.oreht.ru/modules.php?name=orehtPriceLS&amp;op=Search&amp;page=1&amp;stext=150407</t>
  </si>
  <si>
    <t>Корзина "Плетенка" (350х290х175) бежевый (уп.10) М3502 г.Октябрьский</t>
  </si>
  <si>
    <t xml:space="preserve">194 </t>
  </si>
  <si>
    <t>https://www.oreht.ru/modules.php?name=orehtPriceLS&amp;op=Search&amp;page=1&amp;stext=138981</t>
  </si>
  <si>
    <t>Корзина "Плетенка" (350х290х175) с крышкой белый (уп.8) М3582 г.Октябрьский</t>
  </si>
  <si>
    <t>https://www.oreht.ru/modules.php?name=orehtPriceLS&amp;op=Search&amp;page=1&amp;stext=160795</t>
  </si>
  <si>
    <t>Корзина "Плетенка" (350х290х225) бежевый (уп.8) М3489 г.Октябрьский</t>
  </si>
  <si>
    <t xml:space="preserve">203 </t>
  </si>
  <si>
    <t>https://www.oreht.ru/modules.php?name=orehtPriceLS&amp;op=Search&amp;page=1&amp;stext=129180</t>
  </si>
  <si>
    <t>Корзина "Плетенка" (350х290х225) белый (уп.8) М3488 г.Октябрьский</t>
  </si>
  <si>
    <t>https://www.oreht.ru/modules.php?name=orehtPriceLS&amp;op=Search&amp;page=1&amp;stext=177215</t>
  </si>
  <si>
    <t>Корзина "Плетенка" (350х290х225) с крышкой коричневый (уп.7) М3553 г.Октябрьский</t>
  </si>
  <si>
    <t xml:space="preserve">302 </t>
  </si>
  <si>
    <t>https://www.oreht.ru/modules.php?name=orehtPriceLS&amp;op=Search&amp;page=1&amp;stext=194982</t>
  </si>
  <si>
    <t>Корзина для белья "Виолетта" 30л белый(уп.6) М1967 г.Октябрьский</t>
  </si>
  <si>
    <t xml:space="preserve">381 </t>
  </si>
  <si>
    <t>https://www.oreht.ru/modules.php?name=orehtPriceLS&amp;op=Search&amp;page=1&amp;stext=311917</t>
  </si>
  <si>
    <t>Корзина для белья "Вязаное плетение" 25л бежевый(уп.6) М6904 г.Октябрьский</t>
  </si>
  <si>
    <t>https://www.oreht.ru/modules.php?name=orehtPriceLS&amp;op=Search&amp;page=1&amp;stext=311918</t>
  </si>
  <si>
    <t>Корзина для белья "Вязаное плетение" 25л белый (уп.6) М6888 г.Октябрьский</t>
  </si>
  <si>
    <t>https://www.oreht.ru/modules.php?name=orehtPriceLS&amp;op=Search&amp;page=1&amp;stext=385516</t>
  </si>
  <si>
    <t>Корзина для белья "Матрица" 45л бежевый (уп.4) М7485 г.Октябрьский</t>
  </si>
  <si>
    <t xml:space="preserve">449 </t>
  </si>
  <si>
    <t>https://www.oreht.ru/modules.php?name=orehtPriceLS&amp;op=Search&amp;page=1&amp;stext=385515</t>
  </si>
  <si>
    <t>Корзина для белья "Матрица" 45л белый (уп.4) М7484 г.Октябрьский</t>
  </si>
  <si>
    <t>https://www.oreht.ru/modules.php?name=orehtPriceLS&amp;op=Search&amp;page=1&amp;stext=227348</t>
  </si>
  <si>
    <t>Корзина для белья "Эстель" (455х388х445) белый (уп.7) М6116 г.Октябрьский</t>
  </si>
  <si>
    <t>https://www.oreht.ru/modules.php?name=orehtPriceLS&amp;op=Search&amp;page=1&amp;stext=188480</t>
  </si>
  <si>
    <t>Корзина для белья 45л угловая (слон. кость)(уп.6) М1364 г.Октябрьский</t>
  </si>
  <si>
    <t>https://www.oreht.ru/modules.php?name=orehtPriceLS&amp;op=Search&amp;page=1&amp;stext=93400</t>
  </si>
  <si>
    <t>Корзина для белья 45л угловая белый (уп.6) М1546 г.Октябрьский</t>
  </si>
  <si>
    <t>https://www.oreht.ru/modules.php?name=orehtPriceLS&amp;op=Search&amp;page=1&amp;stext=298334</t>
  </si>
  <si>
    <t>Корзина для бумаги (св. серый)(уп.15) М6982 г.Октябрьский</t>
  </si>
  <si>
    <t xml:space="preserve">89 </t>
  </si>
  <si>
    <t>https://www.oreht.ru/modules.php?name=orehtPriceLS&amp;op=Search&amp;page=1&amp;stext=390714</t>
  </si>
  <si>
    <t>Корзина для мусора "Матрица" 9л бежевый (уп.8) М8215 г.Октябрьский</t>
  </si>
  <si>
    <t>https://www.oreht.ru/modules.php?name=orehtPriceLS&amp;op=Search&amp;page=1&amp;stext=390281</t>
  </si>
  <si>
    <t>Корзина для мусора "Матрица" 9л белый (уп.8) М8214 г.Октябрьский</t>
  </si>
  <si>
    <t>https://www.oreht.ru/modules.php?name=orehtPriceLS&amp;op=Search&amp;page=1&amp;stext=390282</t>
  </si>
  <si>
    <t>Корзина для мусора "Матрица" 9л коричневый (уп.8) М8216 г.Октябрьский</t>
  </si>
  <si>
    <t>https://www.oreht.ru/modules.php?name=orehtPriceLS&amp;op=Search&amp;page=1&amp;stext=187161</t>
  </si>
  <si>
    <t>Корзина для мусора "Сорренто" 12л бежевый (уп.10) М2055 г.Октябрьский</t>
  </si>
  <si>
    <t>https://www.oreht.ru/modules.php?name=orehtPriceLS&amp;op=Search&amp;page=1&amp;stext=160805</t>
  </si>
  <si>
    <t>Корзина для мусора "Сорренто" 12л белый (уп.10) М2052 г.Октябрьский</t>
  </si>
  <si>
    <t>https://www.oreht.ru/modules.php?name=orehtPriceLS&amp;op=Search&amp;page=1&amp;stext=420522</t>
  </si>
  <si>
    <t>Корзина для мусора "Эконом" 9л черный (уп.8) М8217 г.Октябрьский</t>
  </si>
  <si>
    <t>https://www.oreht.ru/modules.php?name=orehtPriceLS&amp;op=Search&amp;page=1&amp;stext=135998</t>
  </si>
  <si>
    <t>Кувшин (кумган) "Восточные сказки" микс 3л (уп.10) М1795 г.Октябрьский</t>
  </si>
  <si>
    <t>https://www.oreht.ru/modules.php?name=orehtPriceLS&amp;op=Search&amp;page=1&amp;stext=288188</t>
  </si>
  <si>
    <t>Кувшин (кумган) "Плетенка" 2,5л (уп.10) М6774 г.Октябрьский</t>
  </si>
  <si>
    <t xml:space="preserve">117 </t>
  </si>
  <si>
    <t>https://www.oreht.ru/modules.php?name=orehtPriceLS&amp;op=Search&amp;page=1&amp;stext=135999</t>
  </si>
  <si>
    <t>Кувшин (кумган) "Тысяча и одна ночь" 1,3л микс (уп.10) М1621 г.Октябрьский</t>
  </si>
  <si>
    <t>https://www.oreht.ru/modules.php?name=orehtPriceLS&amp;op=Search&amp;page=1&amp;stext=93418</t>
  </si>
  <si>
    <t>Кувшин (кумган) "Тюльпан" 1,8л микс (уп.10) М244 г.Октябрьский</t>
  </si>
  <si>
    <t xml:space="preserve">104 </t>
  </si>
  <si>
    <t>https://www.oreht.ru/modules.php?name=orehtPriceLS&amp;op=Search&amp;page=1&amp;stext=93503</t>
  </si>
  <si>
    <t>Салфетница микс М069 (уп.45) г.Октябрьский</t>
  </si>
  <si>
    <t>https://www.oreht.ru/modules.php?name=orehtPriceLS&amp;op=Search&amp;page=1&amp;stext=246213</t>
  </si>
  <si>
    <t>Корзина для пикника (355х230х200) "Мини" (светло-коричневый)(уп.18) М6244 г.Октябрьский</t>
  </si>
  <si>
    <t>https://www.oreht.ru/modules.php?name=orehtPriceLS&amp;op=Search&amp;page=1&amp;stext=250861</t>
  </si>
  <si>
    <t>Лоток для заморозки продуктов (уп.17) М6182 г.Октябрьский</t>
  </si>
  <si>
    <t>https://www.oreht.ru/modules.php?name=orehtPriceLS&amp;op=Search&amp;page=1&amp;stext=419143</t>
  </si>
  <si>
    <t>Лоток для столовых приборов белый (уп.23) М8516 г.Октябрьский</t>
  </si>
  <si>
    <t>https://www.oreht.ru/modules.php?name=orehtPriceLS&amp;op=Search&amp;page=1&amp;stext=250862</t>
  </si>
  <si>
    <t>Набор лотков для заморозки продуктов 4шт (уп.8) М6183 г.Октябрьский</t>
  </si>
  <si>
    <t>https://www.oreht.ru/modules.php?name=orehtPriceLS&amp;op=Search&amp;page=1&amp;stext=215247</t>
  </si>
  <si>
    <t>Подставка для моющих средств (бело-голубой)(уп.15) М5953 г.Октябрьский</t>
  </si>
  <si>
    <t xml:space="preserve">137 </t>
  </si>
  <si>
    <t>https://www.oreht.ru/modules.php?name=orehtPriceLS&amp;op=Search&amp;page=1&amp;stext=400482</t>
  </si>
  <si>
    <t>Подставка для карандашей "Волшебная страна" 0,7л (уп.22) М8285 г.Октябрьский</t>
  </si>
  <si>
    <t>https://www.oreht.ru/modules.php?name=orehtPriceLS&amp;op=Search&amp;page=1&amp;stext=423742</t>
  </si>
  <si>
    <t>Подставка под столовые приборы "Планета витаминов" (уп.22) М7882 г.Октябрьский</t>
  </si>
  <si>
    <t>https://www.oreht.ru/modules.php?name=orehtPriceLS&amp;op=Search&amp;page=1&amp;stext=260472</t>
  </si>
  <si>
    <t>Подставка под столовые приборы "Сердце" белый (уп.24) М6252 г.Октябрьский</t>
  </si>
  <si>
    <t>https://www.oreht.ru/modules.php?name=orehtPriceLS&amp;op=Search&amp;page=1&amp;stext=92965</t>
  </si>
  <si>
    <t>Подставка под столовые приборы "Стиль" (уп.22) М550 г.Октябрьский</t>
  </si>
  <si>
    <t>https://www.oreht.ru/modules.php?name=orehtPriceLS&amp;op=Search&amp;page=1&amp;stext=93473</t>
  </si>
  <si>
    <t>Подставка под столовые приборы "Цветочный блюз" (уп.22) М2267 г.Октябрьский</t>
  </si>
  <si>
    <t>https://www.oreht.ru/modules.php?name=orehtPriceLS&amp;op=Search&amp;page=1&amp;stext=93479</t>
  </si>
  <si>
    <t>Распылитель для жидкости 0,5л "Грация" (уп.40) М439 г.Октябрьский</t>
  </si>
  <si>
    <t>https://www.oreht.ru/modules.php?name=orehtPriceLS&amp;op=Search&amp;page=1&amp;stext=177243</t>
  </si>
  <si>
    <t>Распылитель для жидкости 0,5л "Капелька" ПЭТ(уп.30) М499 г.Октябрьский</t>
  </si>
  <si>
    <t>https://www.oreht.ru/modules.php?name=orehtPriceLS&amp;op=Search&amp;page=1&amp;stext=93480</t>
  </si>
  <si>
    <t>Распылитель для жидкости 0,5л "Лотос" (уп.50) М298 г.Октябрьский</t>
  </si>
  <si>
    <t>https://www.oreht.ru/modules.php?name=orehtPriceLS&amp;op=Search&amp;page=1&amp;stext=216398</t>
  </si>
  <si>
    <t>Менажница "Купаж" (бело-зеленый) (уп.15) М6003 г.Октябрьский</t>
  </si>
  <si>
    <t>https://www.oreht.ru/modules.php?name=orehtPriceLS&amp;op=Search&amp;page=1&amp;stext=347700</t>
  </si>
  <si>
    <t>Салатник "Грация" 0,8л круглый бежевый (уп.30) М7771 г.Октябрьский</t>
  </si>
  <si>
    <t xml:space="preserve">67 </t>
  </si>
  <si>
    <t>https://www.oreht.ru/modules.php?name=orehtPriceLS&amp;op=Search&amp;page=1&amp;stext=347702</t>
  </si>
  <si>
    <t>Салатник "Грация" 1,8л овальный бежевый (уп.22) М7770 г.Октябрьский</t>
  </si>
  <si>
    <t>https://www.oreht.ru/modules.php?name=orehtPriceLS&amp;op=Search&amp;page=1&amp;stext=274335</t>
  </si>
  <si>
    <t>Салатник "Изобилие" 1,3л прозрачный (уп.14) М6682 г.Октябрьский</t>
  </si>
  <si>
    <t xml:space="preserve">77 </t>
  </si>
  <si>
    <t>https://www.oreht.ru/modules.php?name=orehtPriceLS&amp;op=Search&amp;page=1&amp;stext=273463</t>
  </si>
  <si>
    <t>Салатник "Изобилие" 1,3л тонированный (уп.14) М6517 г.Октябрьский</t>
  </si>
  <si>
    <t>https://www.oreht.ru/modules.php?name=orehtPriceLS&amp;op=Search&amp;page=1&amp;stext=245324</t>
  </si>
  <si>
    <t>Салатник "Кокетка" 1,5л (уп.28) М6202 г.Октябрьский</t>
  </si>
  <si>
    <t>https://www.oreht.ru/modules.php?name=orehtPriceLS&amp;op=Search&amp;page=1&amp;stext=442947</t>
  </si>
  <si>
    <t>Сахарница "Богема" с крышкой (тонированный) (уп.15) М8175 г.Октябрьский</t>
  </si>
  <si>
    <t xml:space="preserve">103 </t>
  </si>
  <si>
    <t>https://www.oreht.ru/modules.php?name=orehtPriceLS&amp;op=Search&amp;page=1&amp;stext=93504</t>
  </si>
  <si>
    <t>Сахарница "Богема" с крышкой М389 (уп.15) г.Октябрьский</t>
  </si>
  <si>
    <t xml:space="preserve">102 </t>
  </si>
  <si>
    <t>https://www.oreht.ru/modules.php?name=orehtPriceLS&amp;op=Search&amp;page=1&amp;stext=279336</t>
  </si>
  <si>
    <t>Сахарница "Грация" 0,8л с крышкой белый (уп.16) М6351 г.Октябрьский</t>
  </si>
  <si>
    <t>https://www.oreht.ru/modules.php?name=orehtPriceLS&amp;op=Search&amp;page=1&amp;stext=353978</t>
  </si>
  <si>
    <t>Сухарница "Арабеска" 1,7л с крышкой (розово-бордовый) (уп.16) М6500 г.Октябрьский</t>
  </si>
  <si>
    <t>https://www.oreht.ru/modules.php?name=orehtPriceLS&amp;op=Search&amp;page=1&amp;stext=270645</t>
  </si>
  <si>
    <t>Сухарница "Арабеска" 1,7л с крышкой (светло-бежевый) (уп.16) М6501 г.Октябрьский</t>
  </si>
  <si>
    <t>https://www.oreht.ru/modules.php?name=orehtPriceLS&amp;op=Search&amp;page=1&amp;stext=93529</t>
  </si>
  <si>
    <t>Сухарница "Семь злаков" бежевый (уп.20) М489 г.Октябрьский</t>
  </si>
  <si>
    <t xml:space="preserve">54 </t>
  </si>
  <si>
    <t>https://www.oreht.ru/modules.php?name=orehtPriceLS&amp;op=Search&amp;page=1&amp;stext=256302</t>
  </si>
  <si>
    <t>Сушилка для посуды "Кружево" бежевый (уп.6) М6284 г.Октябрьский</t>
  </si>
  <si>
    <t>https://www.oreht.ru/modules.php?name=orehtPriceLS&amp;op=Search&amp;page=1&amp;stext=256303</t>
  </si>
  <si>
    <t>Сушилка для посуды "Кружево" белый (уп.6) М6283 г.Октябрьский</t>
  </si>
  <si>
    <t xml:space="preserve">370 </t>
  </si>
  <si>
    <t>https://www.oreht.ru/modules.php?name=orehtPriceLS&amp;op=Search&amp;page=1&amp;stext=93534</t>
  </si>
  <si>
    <t>Сушилка для посуды "Мечта хозяйки" №1 микс (уп.4) М1172 г.Октябрьский</t>
  </si>
  <si>
    <t>https://www.oreht.ru/modules.php?name=orehtPriceLS&amp;op=Search&amp;page=1&amp;stext=93535</t>
  </si>
  <si>
    <t>Сушилка для посуды "Мечта хозяйки" №2 микс (уп.4) М1173 г.Октябрьский</t>
  </si>
  <si>
    <t xml:space="preserve">424 </t>
  </si>
  <si>
    <t>https://www.oreht.ru/modules.php?name=orehtPriceLS&amp;op=Search&amp;page=1&amp;stext=93536</t>
  </si>
  <si>
    <t>Сушилка для посуды "Мечта хозяйки" №3 микс (уп.4) М1174 г.Октябрьский</t>
  </si>
  <si>
    <t>https://www.oreht.ru/modules.php?name=orehtPriceLS&amp;op=Search&amp;page=1&amp;stext=402016</t>
  </si>
  <si>
    <t>Сушилка для посуды угловая белый (уп.6) М8378 г.Октябрьский</t>
  </si>
  <si>
    <t xml:space="preserve">266 </t>
  </si>
  <si>
    <t>https://www.oreht.ru/modules.php?name=orehtPriceLS&amp;op=Search&amp;page=1&amp;stext=93408</t>
  </si>
  <si>
    <t>Кресло детское (розовое) (уп.5) М1226 г.Октябрьский</t>
  </si>
  <si>
    <t>https://www.oreht.ru/modules.php?name=orehtPriceLS&amp;op=Search&amp;page=1&amp;stext=385610</t>
  </si>
  <si>
    <t>Табурет складной "Плетенка" большой (беж.-коричневый) (уп.5) М7093 г.Октябрьский</t>
  </si>
  <si>
    <t xml:space="preserve">437 </t>
  </si>
  <si>
    <t>https://www.oreht.ru/modules.php?name=orehtPriceLS&amp;op=Search&amp;page=1&amp;stext=93544</t>
  </si>
  <si>
    <t>Таз 10л "Русская банька" (уп.10) М2554 г.Октябрьский</t>
  </si>
  <si>
    <t xml:space="preserve">183 </t>
  </si>
  <si>
    <t>https://www.oreht.ru/modules.php?name=orehtPriceLS&amp;op=Search&amp;page=1&amp;stext=93545</t>
  </si>
  <si>
    <t>Таз 12л "Эконом" микс (уп.10) М2058 г.Октябрьский</t>
  </si>
  <si>
    <t>https://www.oreht.ru/modules.php?name=orehtPriceLS&amp;op=Search&amp;page=1&amp;stext=420536</t>
  </si>
  <si>
    <t>Таз 40л овальный (уп.5) М675 г.Октябрьский</t>
  </si>
  <si>
    <t>https://www.oreht.ru/modules.php?name=orehtPriceLS&amp;op=Search&amp;page=1&amp;stext=410157</t>
  </si>
  <si>
    <t>Канистра-умывальник 15л (уп.6) М8352 г.Октябрьский</t>
  </si>
  <si>
    <t xml:space="preserve">220 </t>
  </si>
  <si>
    <t>https://www.oreht.ru/modules.php?name=orehtPriceLS&amp;op=Search&amp;page=1&amp;stext=93315</t>
  </si>
  <si>
    <t>Канистра-умывальник 20л (уп.6) М667 г.Октябрьский</t>
  </si>
  <si>
    <t xml:space="preserve">358 </t>
  </si>
  <si>
    <t>https://www.oreht.ru/modules.php?name=orehtPriceLS&amp;op=Search&amp;page=1&amp;stext=93555</t>
  </si>
  <si>
    <t>Умывальник-рукомойник 3л "Дачник" (уп.10) М1157 г.Октябрьский</t>
  </si>
  <si>
    <t>https://www.oreht.ru/modules.php?name=orehtPriceLS&amp;op=Search&amp;page=1&amp;stext=93557</t>
  </si>
  <si>
    <t>Умывальник-рукомойник 3л (уп.15) М080 г.Октябрьский</t>
  </si>
  <si>
    <t>https://www.oreht.ru/modules.php?name=orehtPriceLS&amp;op=Search&amp;page=1&amp;stext=93559</t>
  </si>
  <si>
    <t>Умывальник-рукомойник 5л (уп.10) М367 г.Октябрьский</t>
  </si>
  <si>
    <t>https://www.oreht.ru/modules.php?name=orehtPriceLS&amp;op=Search&amp;page=1&amp;stext=256306</t>
  </si>
  <si>
    <t>Хлебница "Меланж" бежевый (уп.6) М6374 г.Октябрьский</t>
  </si>
  <si>
    <t>https://www.oreht.ru/modules.php?name=orehtPriceLS&amp;op=Search&amp;page=1&amp;stext=93579</t>
  </si>
  <si>
    <t>Щетка для пола без черенка (уп.22) М811 г.Октябрьский</t>
  </si>
  <si>
    <t xml:space="preserve">84 </t>
  </si>
  <si>
    <t>https://www.oreht.ru/modules.php?name=orehtPriceLS&amp;op=Search&amp;page=1&amp;stext=279342</t>
  </si>
  <si>
    <t>Щетка уличная с черенком (уп.11) М6461 г.Октябрьский</t>
  </si>
  <si>
    <t xml:space="preserve">269 </t>
  </si>
  <si>
    <t>https://www.oreht.ru/modules.php?name=orehtPriceLS&amp;op=Search&amp;page=1&amp;stext=370768</t>
  </si>
  <si>
    <t>Этажерка 3-х секционная угловая бежевый (уп.6) М6479 г.Октябрьский</t>
  </si>
  <si>
    <t>https://www.oreht.ru/modules.php?name=orehtPriceLS&amp;op=Search&amp;page=1&amp;stext=268152</t>
  </si>
  <si>
    <t>Этажерка 3-х секционная угловая белый (уп.6) М6471 г.Октябрьский</t>
  </si>
  <si>
    <t>https://www.oreht.ru/modules.php?name=orehtPriceLS&amp;op=Search&amp;page=1&amp;stext=217227</t>
  </si>
  <si>
    <t>Крышка для СВЧ "Смак" (диам. 250мм) микс (уп.20) М1190 г.Октябрьский</t>
  </si>
  <si>
    <t>https://www.oreht.ru/modules.php?name=orehtPriceLS&amp;op=Search&amp;page=1&amp;stext=459244</t>
  </si>
  <si>
    <t>Набор кухонных принадлежностей (уп.24) М8183 г.Октябрьский</t>
  </si>
  <si>
    <t>https://www.oreht.ru/modules.php?name=orehtPriceLS&amp;op=Search&amp;page=1&amp;stext=368598</t>
  </si>
  <si>
    <t>Раковина для сада пластиковая (уп 7) М8014 г.Октябрьский</t>
  </si>
  <si>
    <t xml:space="preserve">248 </t>
  </si>
  <si>
    <t>https://www.oreht.ru/modules.php?name=orehtPriceLS&amp;op=Search&amp;page=1&amp;stext=243953</t>
  </si>
  <si>
    <t>Соковыжималка "Витамин" (уп.22) М6229 г.Октябрьский</t>
  </si>
  <si>
    <t>https://www.oreht.ru/modules.php?name=orehtPriceLS&amp;op=Search&amp;page=1&amp;stext=197542</t>
  </si>
  <si>
    <t>Форма для лепки пельменей (Д=270мм) микс (уп.25) М5553 г.Октябрьский</t>
  </si>
  <si>
    <t>https://www.oreht.ru/modules.php?name=orehtPriceLS&amp;op=Search&amp;page=1&amp;stext=323778</t>
  </si>
  <si>
    <t>Контейнер трехсекционный "Snack" 0,4л (прозрачный) г.Пятигорск</t>
  </si>
  <si>
    <t>https://www.oreht.ru/modules.php?name=orehtPriceLS&amp;op=Search&amp;page=1&amp;stext=409571</t>
  </si>
  <si>
    <t>Помпа электрическая Centek CT-3002 White 2.2л/мин, 8Вт, 2 насос, Li1200мАч, USBзарядка, LED</t>
  </si>
  <si>
    <t xml:space="preserve">614 </t>
  </si>
  <si>
    <t>https://www.oreht.ru/modules.php?name=orehtPriceLS&amp;op=Search&amp;page=1&amp;stext=372138</t>
  </si>
  <si>
    <t>Вентилятор настольный Centek CT-5040 Black, метал. решетка, 14см, USB питание</t>
  </si>
  <si>
    <t xml:space="preserve">599 </t>
  </si>
  <si>
    <t>https://www.oreht.ru/modules.php?name=orehtPriceLS&amp;op=Search&amp;page=1&amp;stext=309878</t>
  </si>
  <si>
    <t>Миксер электрический LIRA LR 0301 (мощность 200Вт)</t>
  </si>
  <si>
    <t xml:space="preserve">606 </t>
  </si>
  <si>
    <t>https://www.oreht.ru/modules.php?name=orehtPriceLS&amp;op=Search&amp;page=1&amp;stext=278826</t>
  </si>
  <si>
    <t>Радиоприемник "Сигнал РП-221", FM 88-108МГц, акб 400mA/h, USB/microSD, дисплей</t>
  </si>
  <si>
    <t xml:space="preserve">609 </t>
  </si>
  <si>
    <t>https://www.oreht.ru/modules.php?name=orehtPriceLS&amp;op=Search&amp;page=1&amp;stext=323170</t>
  </si>
  <si>
    <t>Электроплита "ВАСИЛИСА" ВА-904 диск одноконфорочная бежевая</t>
  </si>
  <si>
    <t>https://www.oreht.ru/modules.php?name=orehtPriceLS&amp;op=Search&amp;page=1&amp;stext=235850</t>
  </si>
  <si>
    <t>Утюг ВАСИЛИСА ВА-2001 розовый с коричневым (10), 2200 Вт</t>
  </si>
  <si>
    <t>https://www.oreht.ru/modules.php?name=orehtPriceLS&amp;op=Search&amp;page=1&amp;stext=389919</t>
  </si>
  <si>
    <t>Бритва Centek CT-2174 (черн/хром) сеточная, плав. головка, триммер, LED</t>
  </si>
  <si>
    <t xml:space="preserve">612 </t>
  </si>
  <si>
    <t>https://www.oreht.ru/modules.php?name=orehtPriceLS&amp;op=Search&amp;page=1&amp;stext=429885</t>
  </si>
  <si>
    <t>SC-HC63C11 Машинка для стрижки волос SILVER LINE</t>
  </si>
  <si>
    <t>https://www.oreht.ru/modules.php?name=orehtPriceLS&amp;op=Search&amp;page=1&amp;stext=261626</t>
  </si>
  <si>
    <t>Тепловентилятор спиральный SB-20 R "Оазис" (1000/2000 Вт)</t>
  </si>
  <si>
    <t xml:space="preserve">617 </t>
  </si>
  <si>
    <t>https://www.oreht.ru/modules.php?name=orehtPriceLS&amp;op=Search&amp;page=1&amp;stext=379557</t>
  </si>
  <si>
    <t>Тепловентилятор электрический "Zerten" модель ZTD-20</t>
  </si>
  <si>
    <t>https://www.oreht.ru/modules.php?name=orehtPriceLS&amp;op=Search&amp;page=1&amp;stext=382672</t>
  </si>
  <si>
    <t>Тепловентилятор электрический "Zerten" модель ZTV-20</t>
  </si>
  <si>
    <t>https://www.oreht.ru/modules.php?name=orehtPriceLS&amp;op=Search&amp;page=1&amp;stext=168658</t>
  </si>
  <si>
    <t>SC-HM40S03 Миксер</t>
  </si>
  <si>
    <t>https://www.oreht.ru/modules.php?name=orehtPriceLS&amp;op=Search&amp;page=1&amp;stext=321282</t>
  </si>
  <si>
    <t>Чайник электрический Чая-2а (1,8л. 1500 Вт) Великие Реки</t>
  </si>
  <si>
    <t>https://www.oreht.ru/modules.php?name=orehtPriceLS&amp;op=Search&amp;page=1&amp;stext=461244</t>
  </si>
  <si>
    <t>Наклонно-поворотный подвес для телевизоров HARPER TVF-32</t>
  </si>
  <si>
    <t xml:space="preserve">620 </t>
  </si>
  <si>
    <t>https://www.oreht.ru/modules.php?name=orehtPriceLS&amp;op=Search&amp;page=1&amp;stext=328500</t>
  </si>
  <si>
    <t>Вентилятор MYSTERY MSF-2443</t>
  </si>
  <si>
    <t xml:space="preserve">622 </t>
  </si>
  <si>
    <t>https://www.oreht.ru/modules.php?name=orehtPriceLS&amp;op=Search&amp;page=1&amp;stext=464239</t>
  </si>
  <si>
    <t>Чайник "АКСИНЬЯ" КС-1009 нерж. 1,8л, 1500Вт., бордовый</t>
  </si>
  <si>
    <t>https://www.oreht.ru/modules.php?name=orehtPriceLS&amp;op=Search&amp;page=1&amp;stext=375718</t>
  </si>
  <si>
    <t>Машинка для стрижки волос HTC, AT-1107B белый-серый</t>
  </si>
  <si>
    <t xml:space="preserve">624 </t>
  </si>
  <si>
    <t>https://www.oreht.ru/modules.php?name=orehtPriceLS&amp;op=Search&amp;page=1&amp;stext=381452</t>
  </si>
  <si>
    <t>SC-HM40S05 Миксер (белый с зеленым)</t>
  </si>
  <si>
    <t>https://www.oreht.ru/modules.php?name=orehtPriceLS&amp;op=Search&amp;page=1&amp;stext=445594</t>
  </si>
  <si>
    <t>Электроплитка ENERGY EN-901 (арт.158901)</t>
  </si>
  <si>
    <t xml:space="preserve">627 </t>
  </si>
  <si>
    <t>https://www.oreht.ru/modules.php?name=orehtPriceLS&amp;op=Search&amp;page=1&amp;stext=443562</t>
  </si>
  <si>
    <t>Кронштейн универсальный (ТВ/монитор) К-572 (чёрный)</t>
  </si>
  <si>
    <t xml:space="preserve">628 </t>
  </si>
  <si>
    <t>https://www.oreht.ru/modules.php?name=orehtPriceLS&amp;op=Search&amp;page=1&amp;stext=90997</t>
  </si>
  <si>
    <t>Тепловентилятор ENGY EN-509 арт. 014984</t>
  </si>
  <si>
    <t>https://www.oreht.ru/modules.php?name=orehtPriceLS&amp;op=Search&amp;page=1&amp;stext=184099</t>
  </si>
  <si>
    <t>Тепловентилятор спиральный SB-20 R"Оазис"</t>
  </si>
  <si>
    <t>https://www.oreht.ru/modules.php?name=orehtPriceLS&amp;op=Search&amp;page=1&amp;stext=205928</t>
  </si>
  <si>
    <t>Кофемолка Василиса К2-160 бежевый</t>
  </si>
  <si>
    <t>https://www.oreht.ru/modules.php?name=orehtPriceLS&amp;op=Search&amp;page=1&amp;stext=411559</t>
  </si>
  <si>
    <t>Радиоприемник «Эфир-16», УКВ 76-108МГц, СВ 530-1600КГц, КВ, бат. 2*AA, акб 500mA/h</t>
  </si>
  <si>
    <t>https://www.oreht.ru/modules.php?name=orehtPriceLS&amp;op=Search&amp;page=1&amp;stext=260580</t>
  </si>
  <si>
    <t>Чайник электрический LIRA LR 0110 (диск, нержавеющая сталь, объем 1,8 л/1500Вт)</t>
  </si>
  <si>
    <t xml:space="preserve">631 </t>
  </si>
  <si>
    <t>https://www.oreht.ru/modules.php?name=orehtPriceLS&amp;op=Search&amp;page=1&amp;stext=449264</t>
  </si>
  <si>
    <t>Блендер погружной Galaxy LINE GL 2105</t>
  </si>
  <si>
    <t>https://www.oreht.ru/modules.php?name=orehtPriceLS&amp;op=Search&amp;page=1&amp;stext=124938</t>
  </si>
  <si>
    <t>Кронштейн "Holder" - LCDS5004 (металлик)</t>
  </si>
  <si>
    <t xml:space="preserve">633 </t>
  </si>
  <si>
    <t>https://www.oreht.ru/modules.php?name=orehtPriceLS&amp;op=Search&amp;page=1&amp;stext=452681</t>
  </si>
  <si>
    <t>SC-TR310M50 Триммер (черный с синим)</t>
  </si>
  <si>
    <t>https://www.oreht.ru/modules.php?name=orehtPriceLS&amp;op=Search&amp;page=1&amp;stext=335694</t>
  </si>
  <si>
    <t>Плитка электрическая econ ECO-131HP</t>
  </si>
  <si>
    <t>https://www.oreht.ru/modules.php?name=orehtPriceLS&amp;op=Search&amp;page=1&amp;stext=432319</t>
  </si>
  <si>
    <t>Плитка электрическая econ ECO-132HP</t>
  </si>
  <si>
    <t>https://www.oreht.ru/modules.php?name=orehtPriceLS&amp;op=Search&amp;page=1&amp;stext=195194</t>
  </si>
  <si>
    <t>Миксер Василиса МК1-300 белый с синим, 300Вт</t>
  </si>
  <si>
    <t>https://www.oreht.ru/modules.php?name=orehtPriceLS&amp;op=Search&amp;page=1&amp;stext=461816</t>
  </si>
  <si>
    <t>SC-HC63C69 Машинка для стрижки волос (красный)</t>
  </si>
  <si>
    <t xml:space="preserve">640 </t>
  </si>
  <si>
    <t>https://www.oreht.ru/modules.php?name=orehtPriceLS&amp;op=Search&amp;page=1&amp;stext=360112</t>
  </si>
  <si>
    <t>Кронштейн для LED/LCD телевизоров Arm media PLASMA-2 black, 10 шт./уп. (10206)</t>
  </si>
  <si>
    <t xml:space="preserve">643 </t>
  </si>
  <si>
    <t>https://www.oreht.ru/modules.php?name=orehtPriceLS&amp;op=Search&amp;page=1&amp;stext=218812</t>
  </si>
  <si>
    <t>Миксер Василиса МК1-300 белый с малиновым, 300Вт</t>
  </si>
  <si>
    <t xml:space="preserve">641 </t>
  </si>
  <si>
    <t>https://www.oreht.ru/modules.php?name=orehtPriceLS&amp;op=Search&amp;page=1&amp;stext=351748</t>
  </si>
  <si>
    <t>Выпрямитель Maxwell MW-2219</t>
  </si>
  <si>
    <t>https://www.oreht.ru/modules.php?name=orehtPriceLS&amp;op=Search&amp;page=1&amp;stext=404485</t>
  </si>
  <si>
    <t>Отпариватель ВАСИЛИСА ВА-2809 белый с зеленым, 750Вт., объем резервуара - 200мл</t>
  </si>
  <si>
    <t xml:space="preserve">644 </t>
  </si>
  <si>
    <t>https://www.oreht.ru/modules.php?name=orehtPriceLS&amp;op=Search&amp;page=1&amp;stext=423343</t>
  </si>
  <si>
    <t>Педикюрный прибор для удаления мозолей PSR 0902 (POLARIS). Черный</t>
  </si>
  <si>
    <t xml:space="preserve">645 </t>
  </si>
  <si>
    <t>https://www.oreht.ru/modules.php?name=orehtPriceLS&amp;op=Search&amp;page=1&amp;stext=370357</t>
  </si>
  <si>
    <t>Миксер WILLMARK WHM-5517 (350вт,5 скоростей,2 вида насадок,бордовый)</t>
  </si>
  <si>
    <t xml:space="preserve">594 </t>
  </si>
  <si>
    <t>https://www.oreht.ru/modules.php?name=orehtPriceLS&amp;op=Search&amp;page=1&amp;stext=360111</t>
  </si>
  <si>
    <t>Кронштейн наст. LED/LCD телевизоров Kromax ELEMENT-3 black, 10 шт./уп. (20255)</t>
  </si>
  <si>
    <t xml:space="preserve">647 </t>
  </si>
  <si>
    <t>https://www.oreht.ru/modules.php?name=orehtPriceLS&amp;op=Search&amp;page=1&amp;stext=444467</t>
  </si>
  <si>
    <t>SC-HC63C24 Машинка для стрижки волос (черный с красным)</t>
  </si>
  <si>
    <t xml:space="preserve">621 </t>
  </si>
  <si>
    <t>https://www.oreht.ru/modules.php?name=orehtPriceLS&amp;op=Search&amp;page=1&amp;stext=409558</t>
  </si>
  <si>
    <t>Чайник Centek CT-1068 (матовый) металл 2л, 2000W</t>
  </si>
  <si>
    <t>https://www.oreht.ru/modules.php?name=orehtPriceLS&amp;op=Search&amp;page=1&amp;stext=286252</t>
  </si>
  <si>
    <t>Кофемолка DELTA DL-087K коричневая, 250Вт., вместимость - 60г.</t>
  </si>
  <si>
    <t>https://www.oreht.ru/modules.php?name=orehtPriceLS&amp;op=Search&amp;page=1&amp;stext=241165</t>
  </si>
  <si>
    <t>Миксер электрический LIRA LR 0302 (мощность 250Вт)</t>
  </si>
  <si>
    <t>https://www.oreht.ru/modules.php?name=orehtPriceLS&amp;op=Search&amp;page=1&amp;stext=360090</t>
  </si>
  <si>
    <t>Кронштейн для LED/LCD телевизоров VLK TRENTO-103 black, 12 шт./уп. (51051)</t>
  </si>
  <si>
    <t xml:space="preserve">649 </t>
  </si>
  <si>
    <t>https://www.oreht.ru/modules.php?name=orehtPriceLS&amp;op=Search&amp;page=1&amp;stext=415517</t>
  </si>
  <si>
    <t>Тепловентилятор ENGY EN-531 арт.102947</t>
  </si>
  <si>
    <t xml:space="preserve">650 </t>
  </si>
  <si>
    <t>https://www.oreht.ru/modules.php?name=orehtPriceLS&amp;op=Search&amp;page=1&amp;stext=398402</t>
  </si>
  <si>
    <t>Выпрямитель Centek CT-2027 46Вт, Гофре, керамическое покрытие, пластины 89х31мм, LED</t>
  </si>
  <si>
    <t xml:space="preserve">652 </t>
  </si>
  <si>
    <t>https://www.oreht.ru/modules.php?name=orehtPriceLS&amp;op=Search&amp;page=1&amp;stext=339477</t>
  </si>
  <si>
    <t>Тепловентилятор ENGY EN-509 black арт. 020300</t>
  </si>
  <si>
    <t xml:space="preserve">655 </t>
  </si>
  <si>
    <t>https://www.oreht.ru/modules.php?name=orehtPriceLS&amp;op=Search&amp;page=1&amp;stext=365618</t>
  </si>
  <si>
    <t>Чайник (металл) econ ECO-1873KE</t>
  </si>
  <si>
    <t>https://www.oreht.ru/modules.php?name=orehtPriceLS&amp;op=Search&amp;page=1&amp;stext=412208</t>
  </si>
  <si>
    <t>Плитка электрическая econ ECO-134HP</t>
  </si>
  <si>
    <t>https://www.oreht.ru/modules.php?name=orehtPriceLS&amp;op=Search&amp;page=1&amp;stext=403213</t>
  </si>
  <si>
    <t>Кофемолка Великие Реки "Истра-2" цвет белый</t>
  </si>
  <si>
    <t xml:space="preserve">657 </t>
  </si>
  <si>
    <t>https://www.oreht.ru/modules.php?name=orehtPriceLS&amp;op=Search&amp;page=1&amp;stext=393394</t>
  </si>
  <si>
    <t>Кронштейн ТЕХНО-600f "Трон"</t>
  </si>
  <si>
    <t xml:space="preserve">659 </t>
  </si>
  <si>
    <t>https://www.oreht.ru/modules.php?name=orehtPriceLS&amp;op=Search&amp;page=1&amp;stext=275719</t>
  </si>
  <si>
    <t>Овоскоп ОВ-6 пластик (малый на 2 куриных яйца) (арт 2)</t>
  </si>
  <si>
    <t>https://www.oreht.ru/modules.php?name=orehtPriceLS&amp;op=Search&amp;page=1&amp;stext=372381</t>
  </si>
  <si>
    <t>Чайник электрический Чая-5а (Великие Реки)</t>
  </si>
  <si>
    <t>https://www.oreht.ru/modules.php?name=orehtPriceLS&amp;op=Search&amp;page=1&amp;stext=142601</t>
  </si>
  <si>
    <t>SC-HD70IT02 Фен (черный)</t>
  </si>
  <si>
    <t xml:space="preserve">663 </t>
  </si>
  <si>
    <t>https://www.oreht.ru/modules.php?name=orehtPriceLS&amp;op=Search&amp;page=1&amp;stext=420021</t>
  </si>
  <si>
    <t>Тепловентилятор Engy EN-521 серый арт.102981</t>
  </si>
  <si>
    <t xml:space="preserve">664 </t>
  </si>
  <si>
    <t>https://www.oreht.ru/modules.php?name=orehtPriceLS&amp;op=Search&amp;page=1&amp;stext=367094</t>
  </si>
  <si>
    <t>Кронштейн наст. LED/LCD телевизоров Kromax DIX-15 black, 10 шт./уп. (20202)</t>
  </si>
  <si>
    <t xml:space="preserve">666 </t>
  </si>
  <si>
    <t>https://www.oreht.ru/modules.php?name=orehtPriceLS&amp;op=Search&amp;page=1&amp;stext=405634</t>
  </si>
  <si>
    <t>Плита электрическая Blackton Bt HP205W Белый</t>
  </si>
  <si>
    <t>https://www.oreht.ru/modules.php?name=orehtPriceLS&amp;op=Search&amp;page=1&amp;stext=271255</t>
  </si>
  <si>
    <t>Антенна комнатная ДМВ+МВ активная Эфир SE-220 усы 80см кабель 1м</t>
  </si>
  <si>
    <t xml:space="preserve">667 </t>
  </si>
  <si>
    <t>https://www.oreht.ru/modules.php?name=orehtPriceLS&amp;op=Search&amp;page=1&amp;stext=360120</t>
  </si>
  <si>
    <t>Кронштейн для LED/LCD телевизоров Arm media MARS-2 black, 20 шт./уп. (10181)</t>
  </si>
  <si>
    <t>https://www.oreht.ru/modules.php?name=orehtPriceLS&amp;op=Search&amp;page=1&amp;stext=450282</t>
  </si>
  <si>
    <t>Набор для стрижки Safari VITEK VT-2512</t>
  </si>
  <si>
    <t>https://www.oreht.ru/modules.php?name=orehtPriceLS&amp;op=Search&amp;page=1&amp;stext=387238</t>
  </si>
  <si>
    <t>Проводной телефон teXet TX-241 светло-серый</t>
  </si>
  <si>
    <t>https://www.oreht.ru/modules.php?name=orehtPriceLS&amp;op=Search&amp;page=1&amp;stext=313400</t>
  </si>
  <si>
    <t>Антенна комнатная ДМВ+МВ активная Эфир SE-225 усы 80см кабель 1м, с рег.</t>
  </si>
  <si>
    <t>https://www.oreht.ru/modules.php?name=orehtPriceLS&amp;op=Search&amp;page=1&amp;stext=449268</t>
  </si>
  <si>
    <t>SC-HS60600 Щипцы для волос (синий с черным)</t>
  </si>
  <si>
    <t>https://www.oreht.ru/modules.php?name=orehtPriceLS&amp;op=Search&amp;page=1&amp;stext=312675</t>
  </si>
  <si>
    <t>Миксер Galaxy GL 2206</t>
  </si>
  <si>
    <t xml:space="preserve">679 </t>
  </si>
  <si>
    <t>https://www.oreht.ru/modules.php?name=orehtPriceLS&amp;op=Search&amp;page=1&amp;stext=313236</t>
  </si>
  <si>
    <t>Щипцы плойка для волос LIRA LR 0802 (мощность 50 Вт)</t>
  </si>
  <si>
    <t xml:space="preserve">681 </t>
  </si>
  <si>
    <t>https://www.oreht.ru/modules.php?name=orehtPriceLS&amp;op=Search&amp;page=1&amp;stext=463576</t>
  </si>
  <si>
    <t>Чайник "ЯРОМИР" ЯР-1011 нерж. 1500Вт., 2л</t>
  </si>
  <si>
    <t>https://www.oreht.ru/modules.php?name=orehtPriceLS&amp;op=Search&amp;page=1&amp;stext=443563</t>
  </si>
  <si>
    <t>Кронштейн универсальный (ТВ/монитор) К-562 (чёрный)</t>
  </si>
  <si>
    <t xml:space="preserve">683 </t>
  </si>
  <si>
    <t>https://www.oreht.ru/modules.php?name=orehtPriceLS&amp;op=Search&amp;page=1&amp;stext=460457</t>
  </si>
  <si>
    <t>SC-HM40S20 Миксер ORANGE MOOD</t>
  </si>
  <si>
    <t>https://www.oreht.ru/modules.php?name=orehtPriceLS&amp;op=Search&amp;page=1&amp;stext=365439</t>
  </si>
  <si>
    <t>Бритва электрическая DELTA LUX DL-0726 черный, 3Вт., аккум. 2,4В</t>
  </si>
  <si>
    <t xml:space="preserve">684 </t>
  </si>
  <si>
    <t>https://www.oreht.ru/modules.php?name=orehtPriceLS&amp;op=Search&amp;page=1&amp;stext=343282</t>
  </si>
  <si>
    <t>Антенна BAS-5126-USB БАКСАН</t>
  </si>
  <si>
    <t xml:space="preserve">685 </t>
  </si>
  <si>
    <t>https://www.oreht.ru/modules.php?name=orehtPriceLS&amp;op=Search&amp;page=1&amp;stext=343290</t>
  </si>
  <si>
    <t>Антенна BAS-5138-5V CORAL</t>
  </si>
  <si>
    <t>https://www.oreht.ru/modules.php?name=orehtPriceLS&amp;op=Search&amp;page=1&amp;stext=457111</t>
  </si>
  <si>
    <t>Миксер econ ECO-106MX</t>
  </si>
  <si>
    <t xml:space="preserve">688 </t>
  </si>
  <si>
    <t>https://www.oreht.ru/modules.php?name=orehtPriceLS&amp;op=Search&amp;page=1&amp;stext=352433</t>
  </si>
  <si>
    <t>Миксер econ ECO-103MX</t>
  </si>
  <si>
    <t xml:space="preserve">689 </t>
  </si>
  <si>
    <t>https://www.oreht.ru/modules.php?name=orehtPriceLS&amp;op=Search&amp;page=1&amp;stext=237195</t>
  </si>
  <si>
    <t>Проводной телефон teXet TX-212 светло-серый</t>
  </si>
  <si>
    <t>https://www.oreht.ru/modules.php?name=orehtPriceLS&amp;op=Search&amp;page=1&amp;stext=206912</t>
  </si>
  <si>
    <t>SC-EK21S25 Электрический чайник</t>
  </si>
  <si>
    <t xml:space="preserve">675 </t>
  </si>
  <si>
    <t>https://www.oreht.ru/modules.php?name=orehtPriceLS&amp;op=Search&amp;page=1&amp;stext=187939</t>
  </si>
  <si>
    <t>Чайник DELTA DL-1213/М 1,8л нерж.</t>
  </si>
  <si>
    <t xml:space="preserve">701 </t>
  </si>
  <si>
    <t>https://www.oreht.ru/modules.php?name=orehtPriceLS&amp;op=Search&amp;page=1&amp;stext=276592</t>
  </si>
  <si>
    <t>Кронштейн "Holder" - LCD-F3616-B</t>
  </si>
  <si>
    <t xml:space="preserve">702 </t>
  </si>
  <si>
    <t>https://www.oreht.ru/modules.php?name=orehtPriceLS&amp;op=Search&amp;page=1&amp;stext=402034</t>
  </si>
  <si>
    <t>Миксер DELTA DL-5061 белый с зеленым, 300Вт., 5 скоростей, режим "ТУРБО"</t>
  </si>
  <si>
    <t>https://www.oreht.ru/modules.php?name=orehtPriceLS&amp;op=Search&amp;page=1&amp;stext=124958</t>
  </si>
  <si>
    <t>Кронштейн "Holder" - LCDS5058 (черный глянец)</t>
  </si>
  <si>
    <t xml:space="preserve">712 </t>
  </si>
  <si>
    <t>https://www.oreht.ru/modules.php?name=orehtPriceLS&amp;op=Search&amp;page=1&amp;stext=358888</t>
  </si>
  <si>
    <t>Машинка для стрижки аккумулятор econ ECO-BC02R</t>
  </si>
  <si>
    <t xml:space="preserve">714 </t>
  </si>
  <si>
    <t>https://www.oreht.ru/modules.php?name=orehtPriceLS&amp;op=Search&amp;page=1&amp;stext=372256</t>
  </si>
  <si>
    <t>Миксер econ ECO-110MX</t>
  </si>
  <si>
    <t xml:space="preserve">716 </t>
  </si>
  <si>
    <t>https://www.oreht.ru/modules.php?name=orehtPriceLS&amp;op=Search&amp;page=1&amp;stext=435293</t>
  </si>
  <si>
    <t>Миксеры/SUPRA MXS-528</t>
  </si>
  <si>
    <t xml:space="preserve">717 </t>
  </si>
  <si>
    <t>https://www.oreht.ru/modules.php?name=orehtPriceLS&amp;op=Search&amp;page=1&amp;stext=375864</t>
  </si>
  <si>
    <t>Машинка д/стрижки волос PHC 1102R Индиго "Polaris"</t>
  </si>
  <si>
    <t xml:space="preserve">751 </t>
  </si>
  <si>
    <t>https://www.oreht.ru/modules.php?name=orehtPriceLS&amp;op=Search&amp;page=1&amp;stext=449493</t>
  </si>
  <si>
    <t>Плитка электрическая econ ECO-135HP</t>
  </si>
  <si>
    <t xml:space="preserve">721 </t>
  </si>
  <si>
    <t>https://www.oreht.ru/modules.php?name=orehtPriceLS&amp;op=Search&amp;page=1&amp;stext=384396</t>
  </si>
  <si>
    <t>Кронштейн ЖК наклонно-поворотный 13-27" [33-68см] до 20кг. UM860 [черн] UltraMounts</t>
  </si>
  <si>
    <t xml:space="preserve">722 </t>
  </si>
  <si>
    <t>https://www.oreht.ru/modules.php?name=orehtPriceLS&amp;op=Search&amp;page=1&amp;stext=444741</t>
  </si>
  <si>
    <t>Плитка электрическая Centek CT-1506 1конф ЧУГУН 155мм, 1000Вт, индикатор работы</t>
  </si>
  <si>
    <t xml:space="preserve">723 </t>
  </si>
  <si>
    <t>https://www.oreht.ru/modules.php?name=orehtPriceLS&amp;op=Search&amp;page=1&amp;stext=367532</t>
  </si>
  <si>
    <t>Радиоприемник "Сигнал РП-224", FM 88-108МГц, акб 400mA/h, USB/microSD, дисплей</t>
  </si>
  <si>
    <t xml:space="preserve">726 </t>
  </si>
  <si>
    <t>https://www.oreht.ru/modules.php?name=orehtPriceLS&amp;op=Search&amp;page=1&amp;stext=276595</t>
  </si>
  <si>
    <t>Кронштейн "Holder" - LCD-T2627-B</t>
  </si>
  <si>
    <t xml:space="preserve">727 </t>
  </si>
  <si>
    <t>https://www.oreht.ru/modules.php?name=orehtPriceLS&amp;op=Search&amp;page=1&amp;stext=308570</t>
  </si>
  <si>
    <t>SC-EK21S24 Электрический чайник</t>
  </si>
  <si>
    <t>https://www.oreht.ru/modules.php?name=orehtPriceLS&amp;op=Search&amp;page=1&amp;stext=372613</t>
  </si>
  <si>
    <t>Машинка д/стрижки волос PHC 1102R черный "Polaris"</t>
  </si>
  <si>
    <t>https://www.oreht.ru/modules.php?name=orehtPriceLS&amp;op=Search&amp;page=1&amp;stext=330058</t>
  </si>
  <si>
    <t>Машинка д/стрижки волос PHC 0914 Megapolis Collection Фиолетовый "Polaris"</t>
  </si>
  <si>
    <t>https://www.oreht.ru/modules.php?name=orehtPriceLS&amp;op=Search&amp;page=1&amp;stext=91059</t>
  </si>
  <si>
    <t>Электроплитка ENERGY EN-904</t>
  </si>
  <si>
    <t>https://www.oreht.ru/modules.php?name=orehtPriceLS&amp;op=Search&amp;page=1&amp;stext=230827</t>
  </si>
  <si>
    <t>Чайник ВАСИЛИСА Т33-2000 (12) нерж/красный, 2,0л</t>
  </si>
  <si>
    <t xml:space="preserve">730 </t>
  </si>
  <si>
    <t>https://www.oreht.ru/modules.php?name=orehtPriceLS&amp;op=Search&amp;page=1&amp;stext=313729</t>
  </si>
  <si>
    <t>Чайник ВАСИЛИСА ВА-1011 нерж. "Жар-птица", 2000Вт, 1,8л</t>
  </si>
  <si>
    <t xml:space="preserve">733 </t>
  </si>
  <si>
    <t>https://www.oreht.ru/modules.php?name=orehtPriceLS&amp;op=Search&amp;page=1&amp;stext=458848</t>
  </si>
  <si>
    <t>Электрическая зубная щетка DR.BEI YMYM GY1 Sonic Electric Toothbrush красная</t>
  </si>
  <si>
    <t xml:space="preserve">735 </t>
  </si>
  <si>
    <t>https://www.oreht.ru/modules.php?name=orehtPriceLS&amp;op=Search&amp;page=1&amp;stext=90996</t>
  </si>
  <si>
    <t>Тепловентилятор ENGY EN-508 арт. 014983</t>
  </si>
  <si>
    <t xml:space="preserve">740 </t>
  </si>
  <si>
    <t>https://www.oreht.ru/modules.php?name=orehtPriceLS&amp;op=Search&amp;page=1&amp;stext=450114</t>
  </si>
  <si>
    <t>Утюг HOMESTAR HS-4003 серо-голубой (2000Вт, пар, спрей, паровой удар, керамическая подошва) арт.0026</t>
  </si>
  <si>
    <t>https://www.oreht.ru/modules.php?name=orehtPriceLS&amp;op=Search&amp;page=1&amp;stext=429448</t>
  </si>
  <si>
    <t>Миксер DELTA LUX DE-7700 белый с бордовым, 400 Вт., 4 насадки, 5 скорост. режимов, "Турбо"</t>
  </si>
  <si>
    <t xml:space="preserve">742 </t>
  </si>
  <si>
    <t>https://www.oreht.ru/modules.php?name=orehtPriceLS&amp;op=Search&amp;page=1&amp;stext=235259</t>
  </si>
  <si>
    <t>Машинка для стрижки MAXWELL MW-2112 (BK)</t>
  </si>
  <si>
    <t xml:space="preserve">747 </t>
  </si>
  <si>
    <t>https://www.oreht.ru/modules.php?name=orehtPriceLS&amp;op=Search&amp;page=1&amp;stext=90998</t>
  </si>
  <si>
    <t>Тепловентилятор ENGY EN-510 арт. 014955</t>
  </si>
  <si>
    <t>https://www.oreht.ru/modules.php?name=orehtPriceLS&amp;op=Search&amp;page=1&amp;stext=446334</t>
  </si>
  <si>
    <t>Кофемолка ENERGY EN-106 цвет коричневый, 150 Вт арт.152468</t>
  </si>
  <si>
    <t xml:space="preserve">731 </t>
  </si>
  <si>
    <t>https://www.oreht.ru/modules.php?name=orehtPriceLS&amp;op=Search&amp;page=1&amp;stext=432786</t>
  </si>
  <si>
    <t>SC-EK21S51 Чайник на подставке (нержавеющая сталь)</t>
  </si>
  <si>
    <t xml:space="preserve">746 </t>
  </si>
  <si>
    <t>https://www.oreht.ru/modules.php?name=orehtPriceLS&amp;op=Search&amp;page=1&amp;stext=430046</t>
  </si>
  <si>
    <t>Антенна комнатная DVB-T2 и ДМВ активная Сигнал SAI-655 кабель 3м</t>
  </si>
  <si>
    <t xml:space="preserve">752 </t>
  </si>
  <si>
    <t>https://www.oreht.ru/modules.php?name=orehtPriceLS&amp;op=Search&amp;page=1&amp;stext=384394</t>
  </si>
  <si>
    <t>Радиоприемник "Эфир-06", FM 64-108МГц, бат. 2*R20, 220V</t>
  </si>
  <si>
    <t>https://www.oreht.ru/modules.php?name=orehtPriceLS&amp;op=Search&amp;page=1&amp;stext=294182</t>
  </si>
  <si>
    <t>Кронштейн для ТВ К330</t>
  </si>
  <si>
    <t xml:space="preserve">759 </t>
  </si>
  <si>
    <t>https://www.oreht.ru/modules.php?name=orehtPriceLS&amp;op=Search&amp;page=1&amp;stext=377905</t>
  </si>
  <si>
    <t>Портативное аудио MYSTERY MSP-114</t>
  </si>
  <si>
    <t xml:space="preserve">765 </t>
  </si>
  <si>
    <t>https://www.oreht.ru/modules.php?name=orehtPriceLS&amp;op=Search&amp;page=1&amp;stext=124948</t>
  </si>
  <si>
    <t>Кронштейн "Holder" - LCDS5036 (металлик)</t>
  </si>
  <si>
    <t xml:space="preserve">766 </t>
  </si>
  <si>
    <t>https://www.oreht.ru/modules.php?name=orehtPriceLS&amp;op=Search&amp;page=1&amp;stext=452683</t>
  </si>
  <si>
    <t>SC-HS60502 Щипцы для завивки SILVER LINE</t>
  </si>
  <si>
    <t>https://www.oreht.ru/modules.php?name=orehtPriceLS&amp;op=Search&amp;page=1&amp;stext=415519</t>
  </si>
  <si>
    <t>Тепловентилятор ENGY EN-533 арт.102949</t>
  </si>
  <si>
    <t xml:space="preserve">767 </t>
  </si>
  <si>
    <t>https://www.oreht.ru/modules.php?name=orehtPriceLS&amp;op=Search&amp;page=1&amp;stext=460065</t>
  </si>
  <si>
    <t>Чайник Blackton Bt KT1716S Сталь-Черный</t>
  </si>
  <si>
    <t xml:space="preserve">768 </t>
  </si>
  <si>
    <t>https://www.oreht.ru/modules.php?name=orehtPriceLS&amp;op=Search&amp;page=1&amp;stext=237193</t>
  </si>
  <si>
    <t>Проводной телефон teXet TX-201 белый</t>
  </si>
  <si>
    <t>https://www.oreht.ru/modules.php?name=orehtPriceLS&amp;op=Search&amp;page=1&amp;stext=240016</t>
  </si>
  <si>
    <t>Проводной телефон teXet TX-201 черный</t>
  </si>
  <si>
    <t>https://www.oreht.ru/modules.php?name=orehtPriceLS&amp;op=Search&amp;page=1&amp;stext=435322</t>
  </si>
  <si>
    <t>Антенна комнатная DVB-T2 и ДМВ активная Сигнал SAI-204 кабель 3м</t>
  </si>
  <si>
    <t xml:space="preserve">770 </t>
  </si>
  <si>
    <t>https://www.oreht.ru/modules.php?name=orehtPriceLS&amp;op=Search&amp;page=1&amp;stext=402869</t>
  </si>
  <si>
    <t>Кофемолка Centek CT-1365 White,250Вт,165мл,безопасная блокировка,стальная чаша,прозрачная крышка</t>
  </si>
  <si>
    <t xml:space="preserve">772 </t>
  </si>
  <si>
    <t>https://www.oreht.ru/modules.php?name=orehtPriceLS&amp;op=Search&amp;page=1&amp;stext=419838</t>
  </si>
  <si>
    <t>Тепловентилятор ТВС-EU-1 Eurolux 67/2/8</t>
  </si>
  <si>
    <t xml:space="preserve">832 </t>
  </si>
  <si>
    <t>https://www.oreht.ru/modules.php?name=orehtPriceLS&amp;op=Search&amp;page=1&amp;stext=360114</t>
  </si>
  <si>
    <t>Кронштейн для LED/LCD телевизоров Arm media MARS-3 black, 14 шт./уп. (10182)</t>
  </si>
  <si>
    <t>https://www.oreht.ru/modules.php?name=orehtPriceLS&amp;op=Search&amp;page=1&amp;stext=360094</t>
  </si>
  <si>
    <t>Кронштейн для LED/LCD телевизоров Kromax CASPER-103 black, 8 шт./уп. (20170)</t>
  </si>
  <si>
    <t xml:space="preserve">778 </t>
  </si>
  <si>
    <t>https://www.oreht.ru/modules.php?name=orehtPriceLS&amp;op=Search&amp;page=1&amp;stext=360109</t>
  </si>
  <si>
    <t>Кронштейн для LED/LCD телевизоров Tuarex OLIMP-201 black, 10 шт./уп. (40307)</t>
  </si>
  <si>
    <t>https://www.oreht.ru/modules.php?name=orehtPriceLS&amp;op=Search&amp;page=1&amp;stext=449524</t>
  </si>
  <si>
    <t>Чайник МАТРЁНА MA-006 электрический (1,8 л) стекло бежевый арт.005414</t>
  </si>
  <si>
    <t>https://www.oreht.ru/modules.php?name=orehtPriceLS&amp;op=Search&amp;page=1&amp;stext=372549</t>
  </si>
  <si>
    <t>Кронштейн "Holder" - LCD-T3626-B</t>
  </si>
  <si>
    <t xml:space="preserve">780 </t>
  </si>
  <si>
    <t>https://www.oreht.ru/modules.php?name=orehtPriceLS&amp;op=Search&amp;page=1&amp;stext=306740</t>
  </si>
  <si>
    <t>Проводной телефон teXet TX-214 черный</t>
  </si>
  <si>
    <t>https://www.oreht.ru/modules.php?name=orehtPriceLS&amp;op=Search&amp;page=1&amp;stext=372137</t>
  </si>
  <si>
    <t>Вентилятор настольный Centek CT-5003 BLUE, 20Вт, диам.16см, метал. решетка, клипса</t>
  </si>
  <si>
    <t xml:space="preserve">787 </t>
  </si>
  <si>
    <t>https://www.oreht.ru/modules.php?name=orehtPriceLS&amp;op=Search&amp;page=1&amp;stext=420022</t>
  </si>
  <si>
    <t>Тепловентилятор Engy EN-526 арт.007693</t>
  </si>
  <si>
    <t>https://www.oreht.ru/modules.php?name=orehtPriceLS&amp;op=Search&amp;page=1&amp;stext=452042</t>
  </si>
  <si>
    <t>Ручной миксер Blackton Bt MX321 Белый</t>
  </si>
  <si>
    <t xml:space="preserve">788 </t>
  </si>
  <si>
    <t>https://www.oreht.ru/modules.php?name=orehtPriceLS&amp;op=Search&amp;page=1&amp;stext=452041</t>
  </si>
  <si>
    <t>Ручной миксер Blackton Bt MX321 Черный</t>
  </si>
  <si>
    <t>https://www.oreht.ru/modules.php?name=orehtPriceLS&amp;op=Search&amp;page=1&amp;stext=313556</t>
  </si>
  <si>
    <t>Антенна комнатная ДМВ+МВ активная Эфир SE-878 усы 80см кабель 1м, с рег.</t>
  </si>
  <si>
    <t xml:space="preserve">749 </t>
  </si>
  <si>
    <t>https://www.oreht.ru/modules.php?name=orehtPriceLS&amp;op=Search&amp;page=1&amp;stext=461815</t>
  </si>
  <si>
    <t>SC-HC63C60 Машинка для стрижки волос (черный с синим)</t>
  </si>
  <si>
    <t>https://www.oreht.ru/modules.php?name=orehtPriceLS&amp;op=Search&amp;page=1&amp;stext=432463</t>
  </si>
  <si>
    <t>Вентилятор настольный Centek CT-5003 GRAY (серый) &lt;20 Вт&gt; диам: 19 см, металическая решётка, клипса</t>
  </si>
  <si>
    <t xml:space="preserve">794 </t>
  </si>
  <si>
    <t>https://www.oreht.ru/modules.php?name=orehtPriceLS&amp;op=Search&amp;page=1&amp;stext=384403</t>
  </si>
  <si>
    <t>Антенна комнатная DVB-T2 и ДМВ+МВ активная Сигнал SAI-823B, черная, кабель 3м</t>
  </si>
  <si>
    <t xml:space="preserve">797 </t>
  </si>
  <si>
    <t>https://www.oreht.ru/modules.php?name=orehtPriceLS&amp;op=Search&amp;page=1&amp;stext=355102</t>
  </si>
  <si>
    <t>Часы-будильник с РАДИО MYSTERY MCR-23 black&amp;red</t>
  </si>
  <si>
    <t xml:space="preserve">798 </t>
  </si>
  <si>
    <t>https://www.oreht.ru/modules.php?name=orehtPriceLS&amp;op=Search&amp;page=1&amp;stext=238772</t>
  </si>
  <si>
    <t>Антенна HARPER ADVB-2969</t>
  </si>
  <si>
    <t xml:space="preserve">801 </t>
  </si>
  <si>
    <t>https://www.oreht.ru/modules.php?name=orehtPriceLS&amp;op=Search&amp;page=1&amp;stext=374201</t>
  </si>
  <si>
    <t>Антенна наружная ДМВ+МВ Дельта Н 311-01 б/к (компл.арт 17248 - 2 шт)</t>
  </si>
  <si>
    <t xml:space="preserve">802 </t>
  </si>
  <si>
    <t>https://www.oreht.ru/modules.php?name=orehtPriceLS&amp;op=Search&amp;page=1&amp;stext=449200</t>
  </si>
  <si>
    <t>Миксер Galaxy LINE GL 2224 мощность 400 Вт, 5 скоростей + режим «ТУРБО»,</t>
  </si>
  <si>
    <t>https://www.oreht.ru/modules.php?name=orehtPriceLS&amp;op=Search&amp;page=1&amp;stext=440091</t>
  </si>
  <si>
    <t>Миксер электрический LIRA LR 0307 (мощность 300Вт)</t>
  </si>
  <si>
    <t>https://www.oreht.ru/modules.php?name=orehtPriceLS&amp;op=Search&amp;page=1&amp;stext=404145</t>
  </si>
  <si>
    <t>Чайник Blackton Bt KT2314S Сталь-Черный</t>
  </si>
  <si>
    <t xml:space="preserve">809 </t>
  </si>
  <si>
    <t>https://www.oreht.ru/modules.php?name=orehtPriceLS&amp;op=Search&amp;page=1&amp;stext=276593</t>
  </si>
  <si>
    <t>Кронштейн "Holder" - LCD-F4614-B</t>
  </si>
  <si>
    <t>https://www.oreht.ru/modules.php?name=orehtPriceLS&amp;op=Search&amp;page=1&amp;stext=452684</t>
  </si>
  <si>
    <t>SC-HS60505 Щипцы для завивки TITANIUM</t>
  </si>
  <si>
    <t xml:space="preserve">816 </t>
  </si>
  <si>
    <t>https://www.oreht.ru/modules.php?name=orehtPriceLS&amp;op=Search&amp;page=1&amp;stext=347345</t>
  </si>
  <si>
    <t>Миксер Великие Реки "Яуза-1" белый с красным</t>
  </si>
  <si>
    <t>https://www.oreht.ru/modules.php?name=orehtPriceLS&amp;op=Search&amp;page=1&amp;stext=452050</t>
  </si>
  <si>
    <t>Ручной блендер BQ-HB401P Белый</t>
  </si>
  <si>
    <t>https://www.oreht.ru/modules.php?name=orehtPriceLS&amp;op=Search&amp;page=1&amp;stext=417910</t>
  </si>
  <si>
    <t>Миксер Galaxy LINE GL 2217</t>
  </si>
  <si>
    <t xml:space="preserve">821 </t>
  </si>
  <si>
    <t>https://www.oreht.ru/modules.php?name=orehtPriceLS&amp;op=Search&amp;page=1&amp;stext=124949</t>
  </si>
  <si>
    <t>Кронштейн "Holder" - LCDS5037 (металлик)</t>
  </si>
  <si>
    <t xml:space="preserve">824 </t>
  </si>
  <si>
    <t>https://www.oreht.ru/modules.php?name=orehtPriceLS&amp;op=Search&amp;page=1&amp;stext=450116</t>
  </si>
  <si>
    <t>Утюг Матрёна МА-050 зеленый (2300Вт, пар, спрей, пар.удар, самооч., керам. подошва) арт.007197</t>
  </si>
  <si>
    <t>https://www.oreht.ru/modules.php?name=orehtPriceLS&amp;op=Search&amp;page=1&amp;stext=420396</t>
  </si>
  <si>
    <t>Радиоприемник "Эфир-07", FM 64-108МГц, бат. 2*R20, 220V, 6 мм шайба</t>
  </si>
  <si>
    <t xml:space="preserve">825 </t>
  </si>
  <si>
    <t>https://www.oreht.ru/modules.php?name=orehtPriceLS&amp;op=Search&amp;page=1&amp;stext=365441</t>
  </si>
  <si>
    <t>Бритва электрическая DELTA LUX DL-0727 черный, 3Вт., аккум. 2,4В</t>
  </si>
  <si>
    <t xml:space="preserve">826 </t>
  </si>
  <si>
    <t>https://www.oreht.ru/modules.php?name=orehtPriceLS&amp;op=Search&amp;page=1&amp;stext=457109</t>
  </si>
  <si>
    <t>Миксер jvc JK-MX115</t>
  </si>
  <si>
    <t>https://www.oreht.ru/modules.php?name=orehtPriceLS&amp;op=Search&amp;page=1&amp;stext=124939</t>
  </si>
  <si>
    <t>Кронштейн "Holder" - LCDS5010 (металлик)</t>
  </si>
  <si>
    <t xml:space="preserve">831 </t>
  </si>
  <si>
    <t>https://www.oreht.ru/modules.php?name=orehtPriceLS&amp;op=Search&amp;page=1&amp;stext=358891</t>
  </si>
  <si>
    <t>Чайник (стекло) econ ECO-1845KE</t>
  </si>
  <si>
    <t>https://www.oreht.ru/modules.php?name=orehtPriceLS&amp;op=Search&amp;page=1&amp;stext=384104</t>
  </si>
  <si>
    <t>Чайник (стекло) econ ECO-1846KE</t>
  </si>
  <si>
    <t>https://www.oreht.ru/modules.php?name=orehtPriceLS&amp;op=Search&amp;page=1&amp;stext=380981</t>
  </si>
  <si>
    <t>Чайник (стекло) econ ECO-1847KE</t>
  </si>
  <si>
    <t>https://www.oreht.ru/modules.php?name=orehtPriceLS&amp;op=Search&amp;page=1&amp;stext=365608</t>
  </si>
  <si>
    <t>Плитка электрическая econ ECO-211HP</t>
  </si>
  <si>
    <t>https://www.oreht.ru/modules.php?name=orehtPriceLS&amp;op=Search&amp;page=1&amp;stext=333754</t>
  </si>
  <si>
    <t>Плитка электрическая econ ECO-210HP</t>
  </si>
  <si>
    <t>https://www.oreht.ru/modules.php?name=orehtPriceLS&amp;op=Search&amp;page=1&amp;stext=449209</t>
  </si>
  <si>
    <t>Набор для стрижки Galaxy GL 4155 , лезвия из японской нержавеющей стали,</t>
  </si>
  <si>
    <t xml:space="preserve">834 </t>
  </si>
  <si>
    <t>https://www.oreht.ru/modules.php?name=orehtPriceLS&amp;op=Search&amp;page=1&amp;stext=389703</t>
  </si>
  <si>
    <t>SC-HM40S15 Миксер (белый с зеленым)</t>
  </si>
  <si>
    <t>https://www.oreht.ru/modules.php?name=orehtPriceLS&amp;op=Search&amp;page=1&amp;stext=332197</t>
  </si>
  <si>
    <t>Набор для стрижки Vitek VT-2573</t>
  </si>
  <si>
    <t xml:space="preserve">841 </t>
  </si>
  <si>
    <t>https://www.oreht.ru/modules.php?name=orehtPriceLS&amp;op=Search&amp;page=1&amp;stext=421016</t>
  </si>
  <si>
    <t>Кофемолка BQ CG1001 Coffee</t>
  </si>
  <si>
    <t>https://www.oreht.ru/modules.php?name=orehtPriceLS&amp;op=Search&amp;page=1&amp;stext=451696</t>
  </si>
  <si>
    <t>Миксер Galaxy LINE GL 2225 мощность 400 Вт, 5 скоростей + режим «ТУРБО»,</t>
  </si>
  <si>
    <t xml:space="preserve">850 </t>
  </si>
  <si>
    <t>https://www.oreht.ru/modules.php?name=orehtPriceLS&amp;op=Search&amp;page=1&amp;stext=201034</t>
  </si>
  <si>
    <t>Набор для стрижки Vitek VT-2516</t>
  </si>
  <si>
    <t xml:space="preserve">853 </t>
  </si>
  <si>
    <t>https://www.oreht.ru/modules.php?name=orehtPriceLS&amp;op=Search&amp;page=1&amp;stext=410787</t>
  </si>
  <si>
    <t>Чайник (стекло) SUPRA KES-1851G</t>
  </si>
  <si>
    <t>https://www.oreht.ru/modules.php?name=orehtPriceLS&amp;op=Search&amp;page=1&amp;stext=340642</t>
  </si>
  <si>
    <t>SC-HC63C70 Машинка для стрижки волос (сапфировый)</t>
  </si>
  <si>
    <t xml:space="preserve">855 </t>
  </si>
  <si>
    <t>https://www.oreht.ru/modules.php?name=orehtPriceLS&amp;op=Search&amp;page=1&amp;stext=375007</t>
  </si>
  <si>
    <t>Антенна телевизионная комнатная с усилителем МВ+ДМВ UVR-AV1000N</t>
  </si>
  <si>
    <t xml:space="preserve">863 </t>
  </si>
  <si>
    <t>https://www.oreht.ru/modules.php?name=orehtPriceLS&amp;op=Search&amp;page=1&amp;stext=389915</t>
  </si>
  <si>
    <t>Бритва Centek CT-2166 (хром/черн) ротор, 3 плав.головки, аккумулятор+работа от сети, триммер</t>
  </si>
  <si>
    <t xml:space="preserve">864 </t>
  </si>
  <si>
    <t>https://www.oreht.ru/modules.php?name=orehtPriceLS&amp;op=Search&amp;page=1&amp;stext=449489</t>
  </si>
  <si>
    <t>Фен-щетка econ ECO-BH02B</t>
  </si>
  <si>
    <t xml:space="preserve">870 </t>
  </si>
  <si>
    <t>https://www.oreht.ru/modules.php?name=orehtPriceLS&amp;op=Search&amp;page=1&amp;stext=457107</t>
  </si>
  <si>
    <t>Утюг econ ECO-BI2401</t>
  </si>
  <si>
    <t>https://www.oreht.ru/modules.php?name=orehtPriceLS&amp;op=Search&amp;page=1&amp;stext=374202</t>
  </si>
  <si>
    <t>Радиоприемник «Эфир-10», FM 64-108МГц, бат. 2*R20, акб 900mA/h, USB/SD/microSD, светод.фон, дискосв</t>
  </si>
  <si>
    <t xml:space="preserve">848 </t>
  </si>
  <si>
    <t>https://www.oreht.ru/modules.php?name=orehtPriceLS&amp;op=Search&amp;page=1&amp;stext=457110</t>
  </si>
  <si>
    <t>Миксер econ ECO-114MX</t>
  </si>
  <si>
    <t xml:space="preserve">875 </t>
  </si>
  <si>
    <t>https://www.oreht.ru/modules.php?name=orehtPriceLS&amp;op=Search&amp;page=1&amp;stext=453147</t>
  </si>
  <si>
    <t>TFH S20SMX Тепловентилятор настольный Timberk (2,0 кВт., с/т), белый</t>
  </si>
  <si>
    <t xml:space="preserve">876 </t>
  </si>
  <si>
    <t>https://www.oreht.ru/modules.php?name=orehtPriceLS&amp;op=Search&amp;page=1&amp;stext=124932</t>
  </si>
  <si>
    <t>Кронштейн "Holder" - LCD-F2608-B</t>
  </si>
  <si>
    <t xml:space="preserve">877 </t>
  </si>
  <si>
    <t>https://www.oreht.ru/modules.php?name=orehtPriceLS&amp;op=Search&amp;page=1&amp;stext=360093</t>
  </si>
  <si>
    <t>Кронштейн для LED/LCD телевизоров Kromax FLAT-1 new black, 10 шт./уп. (26007)</t>
  </si>
  <si>
    <t xml:space="preserve">878 </t>
  </si>
  <si>
    <t>https://www.oreht.ru/modules.php?name=orehtPriceLS&amp;op=Search&amp;page=1&amp;stext=417063</t>
  </si>
  <si>
    <t>Радиоприемник "Сигнал РП-226ВТ", FM 76-108МГц, акб 1100mA/h, USB/microSD, дисплей</t>
  </si>
  <si>
    <t xml:space="preserve">744 </t>
  </si>
  <si>
    <t>https://www.oreht.ru/modules.php?name=orehtPriceLS&amp;op=Search&amp;page=1&amp;stext=230811</t>
  </si>
  <si>
    <t>Кофеварка ВАСИЛИСА КВ2-600, черный, 600мл</t>
  </si>
  <si>
    <t xml:space="preserve">884 </t>
  </si>
  <si>
    <t>https://www.oreht.ru/modules.php?name=orehtPriceLS&amp;op=Search&amp;page=1&amp;stext=452152</t>
  </si>
  <si>
    <t>Приемник цифровой эфирный CADENA CDT-1712 (TC)</t>
  </si>
  <si>
    <t>https://www.oreht.ru/modules.php?name=orehtPriceLS&amp;op=Search&amp;page=1&amp;stext=339468</t>
  </si>
  <si>
    <t>Обогреватель кварцевый Engy QH-1500S арт.020279</t>
  </si>
  <si>
    <t>https://www.oreht.ru/modules.php?name=orehtPriceLS&amp;op=Search&amp;page=1&amp;stext=401995</t>
  </si>
  <si>
    <t>Приемник цифровой эфирный CADENA CDT-1793</t>
  </si>
  <si>
    <t xml:space="preserve">887 </t>
  </si>
  <si>
    <t>https://www.oreht.ru/modules.php?name=orehtPriceLS&amp;op=Search&amp;page=1&amp;stext=367096</t>
  </si>
  <si>
    <t>Кронштейн для LED/LCD телевизоров Arm media STEEL-4 black, 10 шт./уп. (10218)</t>
  </si>
  <si>
    <t xml:space="preserve">888 </t>
  </si>
  <si>
    <t>https://www.oreht.ru/modules.php?name=orehtPriceLS&amp;op=Search&amp;page=1&amp;stext=230809</t>
  </si>
  <si>
    <t>Кофеварка ВАСИЛИСА КВ1-600, черный с красным, 600мл</t>
  </si>
  <si>
    <t>https://www.oreht.ru/modules.php?name=orehtPriceLS&amp;op=Search&amp;page=1&amp;stext=314836</t>
  </si>
  <si>
    <t>Кронштейн Frame 20 "Трон"</t>
  </si>
  <si>
    <t xml:space="preserve">889 </t>
  </si>
  <si>
    <t>https://www.oreht.ru/modules.php?name=orehtPriceLS&amp;op=Search&amp;page=1&amp;stext=135348</t>
  </si>
  <si>
    <t>Электрощипцы Vitek VT-1347 CL</t>
  </si>
  <si>
    <t xml:space="preserve">890 </t>
  </si>
  <si>
    <t>https://www.oreht.ru/modules.php?name=orehtPriceLS&amp;op=Search&amp;page=1&amp;stext=416293</t>
  </si>
  <si>
    <t>Наклонно-поворотный подвес для телевизоров HARPER TVFW-42</t>
  </si>
  <si>
    <t xml:space="preserve">892 </t>
  </si>
  <si>
    <t>https://www.oreht.ru/modules.php?name=orehtPriceLS&amp;op=Search&amp;page=1&amp;stext=299114</t>
  </si>
  <si>
    <t>Выпрямитель Vitek VT-2320</t>
  </si>
  <si>
    <t>https://www.oreht.ru/modules.php?name=orehtPriceLS&amp;op=Search&amp;page=1&amp;stext=184497</t>
  </si>
  <si>
    <t>Электрощипцы Vitek VT-2508</t>
  </si>
  <si>
    <t xml:space="preserve">894 </t>
  </si>
  <si>
    <t>https://www.oreht.ru/modules.php?name=orehtPriceLS&amp;op=Search&amp;page=1&amp;stext=230818</t>
  </si>
  <si>
    <t>Утюг ЯРОМИР ЯР-001 черный (6), 1400 Вт, подошва из алюминия</t>
  </si>
  <si>
    <t>https://www.oreht.ru/modules.php?name=orehtPriceLS&amp;op=Search&amp;page=1&amp;stext=224757</t>
  </si>
  <si>
    <t>Утюг ЯРОМИР ЯР-003 белый (6), 1400 Вт, подошва из алюминия</t>
  </si>
  <si>
    <t xml:space="preserve">896 </t>
  </si>
  <si>
    <t>https://www.oreht.ru/modules.php?name=orehtPriceLS&amp;op=Search&amp;page=1&amp;stext=402030</t>
  </si>
  <si>
    <t>Кофеварка DELTA LUX DL-8161 черная, 600 Вт., 600мл, (6 чашек), антипролив</t>
  </si>
  <si>
    <t>https://www.oreht.ru/modules.php?name=orehtPriceLS&amp;op=Search&amp;page=1&amp;stext=375005</t>
  </si>
  <si>
    <t>Антенна телевизионная комнатная с усилителем МВ+ДМВ AV-958</t>
  </si>
  <si>
    <t xml:space="preserve">899 </t>
  </si>
  <si>
    <t>https://www.oreht.ru/modules.php?name=orehtPriceLS&amp;op=Search&amp;page=1&amp;stext=404144</t>
  </si>
  <si>
    <t>Чайник Blackton Bt KT1825G Черный-Синий</t>
  </si>
  <si>
    <t>https://www.oreht.ru/modules.php?name=orehtPriceLS&amp;op=Search&amp;page=1&amp;stext=365408</t>
  </si>
  <si>
    <t>Кофемолка Galaxy GL 0904</t>
  </si>
  <si>
    <t xml:space="preserve">885 </t>
  </si>
  <si>
    <t>https://www.oreht.ru/modules.php?name=orehtPriceLS&amp;op=Search&amp;page=1&amp;stext=434533</t>
  </si>
  <si>
    <t>Кофемолка электрическая Galaxy LINE GL 0909 (16шт) мощность 200 Вт, вместимость контейнера 45 г, кон</t>
  </si>
  <si>
    <t>https://www.oreht.ru/modules.php?name=orehtPriceLS&amp;op=Search&amp;page=1&amp;stext=390701</t>
  </si>
  <si>
    <t>Чоппер Centek CT-1390 White, 300Вт, стакан 350мл, импульсый режим работы</t>
  </si>
  <si>
    <t xml:space="preserve">901 </t>
  </si>
  <si>
    <t>https://www.oreht.ru/modules.php?name=orehtPriceLS&amp;op=Search&amp;page=1&amp;stext=460972</t>
  </si>
  <si>
    <t>Galaxy LINE GL 4324 (12шт) Фен для волос профессиональный 2200 Вт, 2 скорости, 3 температурных режим</t>
  </si>
  <si>
    <t>https://www.oreht.ru/modules.php?name=orehtPriceLS&amp;op=Search&amp;page=1&amp;stext=427848</t>
  </si>
  <si>
    <t>Кофемолка econ ECO-1511CG</t>
  </si>
  <si>
    <t xml:space="preserve">902 </t>
  </si>
  <si>
    <t>https://www.oreht.ru/modules.php?name=orehtPriceLS&amp;op=Search&amp;page=1&amp;stext=421025</t>
  </si>
  <si>
    <t>Соковыжималка BQ J1731 Белый</t>
  </si>
  <si>
    <t xml:space="preserve">903 </t>
  </si>
  <si>
    <t>https://www.oreht.ru/modules.php?name=orehtPriceLS&amp;op=Search&amp;page=1&amp;stext=394861</t>
  </si>
  <si>
    <t>Колонки Xiaomi Mi Акустика портативная Compact Bluetooth Speaker 2 (X22320)</t>
  </si>
  <si>
    <t xml:space="preserve">905 </t>
  </si>
  <si>
    <t>https://www.oreht.ru/modules.php?name=orehtPriceLS&amp;op=Search&amp;page=1&amp;stext=358013</t>
  </si>
  <si>
    <t>Блендер (1 предмет) econ ECO-132HB</t>
  </si>
  <si>
    <t>https://www.oreht.ru/modules.php?name=orehtPriceLS&amp;op=Search&amp;page=1&amp;stext=358889</t>
  </si>
  <si>
    <t>Блендер (набор) econ ECO-201HB</t>
  </si>
  <si>
    <t xml:space="preserve">908 </t>
  </si>
  <si>
    <t>https://www.oreht.ru/modules.php?name=orehtPriceLS&amp;op=Search&amp;page=1&amp;stext=230778</t>
  </si>
  <si>
    <t>Утюг ВАСИЛИСА У2-2000 белый с зеленым (10), 2000 Вт, антипригарное покрытие</t>
  </si>
  <si>
    <t>https://www.oreht.ru/modules.php?name=orehtPriceLS&amp;op=Search&amp;page=1&amp;stext=400223</t>
  </si>
  <si>
    <t>Кофемолка Centek CT-1350 Beige, 75г,специи,орехи,кофе,система защитной блокировки,пластик</t>
  </si>
  <si>
    <t xml:space="preserve">907 </t>
  </si>
  <si>
    <t>https://www.oreht.ru/modules.php?name=orehtPriceLS&amp;op=Search&amp;page=1&amp;stext=429266</t>
  </si>
  <si>
    <t>SC-TM11026 Тостер на два ломтика ORANGE MOOD</t>
  </si>
  <si>
    <t xml:space="preserve">950 </t>
  </si>
  <si>
    <t>https://www.oreht.ru/modules.php?name=orehtPriceLS&amp;op=Search&amp;page=1&amp;stext=232406</t>
  </si>
  <si>
    <t>Утюг ВАСИЛИСА У3-2000 белый с сиреневым (10), 2000 Вт, антипригарное покрытие</t>
  </si>
  <si>
    <t xml:space="preserve">914 </t>
  </si>
  <si>
    <t>https://www.oreht.ru/modules.php?name=orehtPriceLS&amp;op=Search&amp;page=1&amp;stext=365523</t>
  </si>
  <si>
    <t>Приемник цифровой эфирный BarTon TH-562</t>
  </si>
  <si>
    <t xml:space="preserve">868 </t>
  </si>
  <si>
    <t>https://www.oreht.ru/modules.php?name=orehtPriceLS&amp;op=Search&amp;page=1&amp;stext=452685</t>
  </si>
  <si>
    <t>SC-HS60T75 Щипцы для волос (коралловый)</t>
  </si>
  <si>
    <t xml:space="preserve">916 </t>
  </si>
  <si>
    <t>https://www.oreht.ru/modules.php?name=orehtPriceLS&amp;op=Search&amp;page=1&amp;stext=458722</t>
  </si>
  <si>
    <t>Кофеварка jvc JK-CF25 black</t>
  </si>
  <si>
    <t xml:space="preserve">919 </t>
  </si>
  <si>
    <t>https://www.oreht.ru/modules.php?name=orehtPriceLS&amp;op=Search&amp;page=1&amp;stext=458723</t>
  </si>
  <si>
    <t>Кофеварка jvc JK-CF25 white</t>
  </si>
  <si>
    <t>https://www.oreht.ru/modules.php?name=orehtPriceLS&amp;op=Search&amp;page=1&amp;stext=429883</t>
  </si>
  <si>
    <t>Антенна комнатная BBK DA20 черный</t>
  </si>
  <si>
    <t xml:space="preserve">920 </t>
  </si>
  <si>
    <t>https://www.oreht.ru/modules.php?name=orehtPriceLS&amp;op=Search&amp;page=1&amp;stext=384402</t>
  </si>
  <si>
    <t>Антенна комнатная DVB-T2 и ДМВ+МВ активная Сигнал SAI-823, белая, кабель 3м</t>
  </si>
  <si>
    <t>https://www.oreht.ru/modules.php?name=orehtPriceLS&amp;op=Search&amp;page=1&amp;stext=452043</t>
  </si>
  <si>
    <t>Ручной блендер BQ-HB400S Black</t>
  </si>
  <si>
    <t xml:space="preserve">921 </t>
  </si>
  <si>
    <t>https://www.oreht.ru/modules.php?name=orehtPriceLS&amp;op=Search&amp;page=1&amp;stext=444455</t>
  </si>
  <si>
    <t>SC-TM11012 Тостер (сталь)</t>
  </si>
  <si>
    <t>https://www.oreht.ru/modules.php?name=orehtPriceLS&amp;op=Search&amp;page=1&amp;stext=450110</t>
  </si>
  <si>
    <t>Утюг ENERGY EN-302 (2200Вт, пар, спрей, пар.удар, самооч., керамическая подошва) арт.270073</t>
  </si>
  <si>
    <t>https://www.oreht.ru/modules.php?name=orehtPriceLS&amp;op=Search&amp;page=1&amp;stext=360121</t>
  </si>
  <si>
    <t>Кронштейн для LED/LCD телевизоров Arm media LCD-413 black, 8 шт./уп. (10186)</t>
  </si>
  <si>
    <t xml:space="preserve">1111 </t>
  </si>
  <si>
    <t>https://www.oreht.ru/modules.php?name=orehtPriceLS&amp;op=Search&amp;page=1&amp;stext=397406</t>
  </si>
  <si>
    <t>Набор для стрижки Centek CT-2133 (Black) 4 насадки, 4 гребня, база с подзарядкой</t>
  </si>
  <si>
    <t xml:space="preserve">1112 </t>
  </si>
  <si>
    <t>https://www.oreht.ru/modules.php?name=orehtPriceLS&amp;op=Search&amp;page=1&amp;stext=381212</t>
  </si>
  <si>
    <t>Чайник Galaxy GL 0554</t>
  </si>
  <si>
    <t>https://www.oreht.ru/modules.php?name=orehtPriceLS&amp;op=Search&amp;page=1&amp;stext=449193</t>
  </si>
  <si>
    <t>Чайник Galaxy LINE GL 0560 ЧЕРНЫЙ (6шт) электрический 2200Вт, объем 1,7 л,</t>
  </si>
  <si>
    <t>https://www.oreht.ru/modules.php?name=orehtPriceLS&amp;op=Search&amp;page=1&amp;stext=448469</t>
  </si>
  <si>
    <t>Утюг Centek CT-2350 BLUE (синий) 2600Вт, КЕРАМИЧЕСКАЯ подошва, ВЫСОКАЯ МОЩНОСТЬ, 300 мл</t>
  </si>
  <si>
    <t>https://www.oreht.ru/modules.php?name=orehtPriceLS&amp;op=Search&amp;page=1&amp;stext=271263</t>
  </si>
  <si>
    <t>Ресивер эфирный цифровой DVB-T2 HD HD-600RU металл, дисплей, Эфир</t>
  </si>
  <si>
    <t>https://www.oreht.ru/modules.php?name=orehtPriceLS&amp;op=Search&amp;page=1&amp;stext=124898</t>
  </si>
  <si>
    <t>Эл. чайник (3 л, г.Москва) ЭЧ3</t>
  </si>
  <si>
    <t xml:space="preserve">1116 </t>
  </si>
  <si>
    <t>https://www.oreht.ru/modules.php?name=orehtPriceLS&amp;op=Search&amp;page=1&amp;stext=273264</t>
  </si>
  <si>
    <t>Чайник DELTA LUX DL-1204B, корпус из жаропр. стекла, черный, 2200Вт, 1,7л</t>
  </si>
  <si>
    <t xml:space="preserve">1119 </t>
  </si>
  <si>
    <t>https://www.oreht.ru/modules.php?name=orehtPriceLS&amp;op=Search&amp;page=1&amp;stext=279721</t>
  </si>
  <si>
    <t>Щипцы PHS 2590KT для моделирования Megapolis Collection (POLARIS), Фиолетовый</t>
  </si>
  <si>
    <t xml:space="preserve">1121 </t>
  </si>
  <si>
    <t>https://www.oreht.ru/modules.php?name=orehtPriceLS&amp;op=Search&amp;page=1&amp;stext=273263</t>
  </si>
  <si>
    <t>Чайник DELTA LUX DL-1204W, корпус из жаропр. стекла, белый, 2200Вт, 1,7л</t>
  </si>
  <si>
    <t>https://www.oreht.ru/modules.php?name=orehtPriceLS&amp;op=Search&amp;page=1&amp;stext=323171</t>
  </si>
  <si>
    <t>Электроплита "ВАСИЛИСА" ВА-903 диск двухконфорочная бежевая</t>
  </si>
  <si>
    <t>https://www.oreht.ru/modules.php?name=orehtPriceLS&amp;op=Search&amp;page=1&amp;stext=225648</t>
  </si>
  <si>
    <t>Утюг электрический LIRA LR 0605 (Покрытие подошвы:нержавеющая сталь, мощ.2400Вт)</t>
  </si>
  <si>
    <t xml:space="preserve">1130 </t>
  </si>
  <si>
    <t>https://www.oreht.ru/modules.php?name=orehtPriceLS&amp;op=Search&amp;page=1&amp;stext=452157</t>
  </si>
  <si>
    <t>Тепловентилятор Maxwell MW-3458</t>
  </si>
  <si>
    <t xml:space="preserve">1131 </t>
  </si>
  <si>
    <t>https://www.oreht.ru/modules.php?name=orehtPriceLS&amp;op=Search&amp;page=1&amp;stext=403226</t>
  </si>
  <si>
    <t>SC-DF111S10 Настольный вентилятор, с аккумулятором (белый с черным)</t>
  </si>
  <si>
    <t xml:space="preserve">1133 </t>
  </si>
  <si>
    <t>https://www.oreht.ru/modules.php?name=orehtPriceLS&amp;op=Search&amp;page=1&amp;stext=397411</t>
  </si>
  <si>
    <t>Плитка электрическая Centek CT-1509 (белая) 2 конфорки ТЭН 140мм, 2000Вт, индикатор работы</t>
  </si>
  <si>
    <t xml:space="preserve">1135 </t>
  </si>
  <si>
    <t>https://www.oreht.ru/modules.php?name=orehtPriceLS&amp;op=Search&amp;page=1&amp;stext=419186</t>
  </si>
  <si>
    <t>Машинка для стрижки Centek CT-2137 чёрный (набор 5в1: микротриммер, бритва,стайлер,триммер для носа)</t>
  </si>
  <si>
    <t>https://www.oreht.ru/modules.php?name=orehtPriceLS&amp;op=Search&amp;page=1&amp;stext=452812</t>
  </si>
  <si>
    <t>Тепловентилятор ТВС-3 Ресанта 67/2/12</t>
  </si>
  <si>
    <t xml:space="preserve">1240 </t>
  </si>
  <si>
    <t>https://www.oreht.ru/modules.php?name=orehtPriceLS&amp;op=Search&amp;page=1&amp;stext=124967</t>
  </si>
  <si>
    <t>Кронштейн "Holder" - LCDS5070 (металлик)</t>
  </si>
  <si>
    <t xml:space="preserve">1141 </t>
  </si>
  <si>
    <t>https://www.oreht.ru/modules.php?name=orehtPriceLS&amp;op=Search&amp;page=1&amp;stext=229829</t>
  </si>
  <si>
    <t>Машинка для стрижки Vitek VT-2568 (BK)</t>
  </si>
  <si>
    <t xml:space="preserve">1144 </t>
  </si>
  <si>
    <t>https://www.oreht.ru/modules.php?name=orehtPriceLS&amp;op=Search&amp;page=1&amp;stext=393243</t>
  </si>
  <si>
    <t>https://www.oreht.ru/modules.php?name=orehtPriceLS&amp;op=Search&amp;page=1&amp;stext=393097</t>
  </si>
  <si>
    <t>Фен Vitek VT-1305</t>
  </si>
  <si>
    <t>https://www.oreht.ru/modules.php?name=orehtPriceLS&amp;op=Search&amp;page=1&amp;stext=442673</t>
  </si>
  <si>
    <t>Выпрямитель Vitek VT-8406</t>
  </si>
  <si>
    <t xml:space="preserve">1150 </t>
  </si>
  <si>
    <t>https://www.oreht.ru/modules.php?name=orehtPriceLS&amp;op=Search&amp;page=1&amp;stext=397409</t>
  </si>
  <si>
    <t>Плитка электрическая Centek CT-1509 (Black) 2 конфорки ТЭН 140мм, 2000Вт, индикатор работы</t>
  </si>
  <si>
    <t xml:space="preserve">1151 </t>
  </si>
  <si>
    <t>https://www.oreht.ru/modules.php?name=orehtPriceLS&amp;op=Search&amp;page=1&amp;stext=417064</t>
  </si>
  <si>
    <t>Ресивер эфирный цифровой DVB-T2/C HD HD-225 метал, дисплей DOLBY DIGITAL, Эфир</t>
  </si>
  <si>
    <t xml:space="preserve">1154 </t>
  </si>
  <si>
    <t>https://www.oreht.ru/modules.php?name=orehtPriceLS&amp;op=Search&amp;page=1&amp;stext=279350</t>
  </si>
  <si>
    <t>Бритва Galaxy GL 4208</t>
  </si>
  <si>
    <t xml:space="preserve">1155 </t>
  </si>
  <si>
    <t>https://www.oreht.ru/modules.php?name=orehtPriceLS&amp;op=Search&amp;page=1&amp;stext=461999</t>
  </si>
  <si>
    <t>Чайник (стекло) jvc JK-KE1520 white</t>
  </si>
  <si>
    <t xml:space="preserve">1156 </t>
  </si>
  <si>
    <t>https://www.oreht.ru/modules.php?name=orehtPriceLS&amp;op=Search&amp;page=1&amp;stext=408668</t>
  </si>
  <si>
    <t>https://www.oreht.ru/modules.php?name=orehtPriceLS&amp;op=Search&amp;page=1&amp;stext=335695</t>
  </si>
  <si>
    <t>Плитка электрическая econ ECO-231HP</t>
  </si>
  <si>
    <t>https://www.oreht.ru/modules.php?name=orehtPriceLS&amp;op=Search&amp;page=1&amp;stext=443208</t>
  </si>
  <si>
    <t>Плитка электрическая econ ECO-232HP</t>
  </si>
  <si>
    <t>https://www.oreht.ru/modules.php?name=orehtPriceLS&amp;op=Search&amp;page=1&amp;stext=419195</t>
  </si>
  <si>
    <t>Чоппер Centek CT-1391 Black (черн) 350Вт, стакан 500 мл, НАСАДКА ДЛЯ СЛИВОК, турбо +импульсный режим</t>
  </si>
  <si>
    <t xml:space="preserve">1157 </t>
  </si>
  <si>
    <t>https://www.oreht.ru/modules.php?name=orehtPriceLS&amp;op=Search&amp;page=1&amp;stext=419196</t>
  </si>
  <si>
    <t>Чоппер Centek CT-1391 Red (красн) 350Вт, стакан 500 мл, НАСАДКА ДЛЯ СЛИВОК, турбо +импульсный режим</t>
  </si>
  <si>
    <t xml:space="preserve">1160 </t>
  </si>
  <si>
    <t>https://www.oreht.ru/modules.php?name=orehtPriceLS&amp;op=Search&amp;page=1&amp;stext=461997</t>
  </si>
  <si>
    <t>Чайник (стекло) jvc JK-KE1510 grey</t>
  </si>
  <si>
    <t xml:space="preserve">1161 </t>
  </si>
  <si>
    <t>https://www.oreht.ru/modules.php?name=orehtPriceLS&amp;op=Search&amp;page=1&amp;stext=434764</t>
  </si>
  <si>
    <t>Машинка д/стрижки волос PHC 2002RB (POLARIS), белый</t>
  </si>
  <si>
    <t xml:space="preserve">1162 </t>
  </si>
  <si>
    <t>https://www.oreht.ru/modules.php?name=orehtPriceLS&amp;op=Search&amp;page=1&amp;stext=416997</t>
  </si>
  <si>
    <t>Чайник BQ KT1707P Белый</t>
  </si>
  <si>
    <t>https://www.oreht.ru/modules.php?name=orehtPriceLS&amp;op=Search&amp;page=1&amp;stext=138567</t>
  </si>
  <si>
    <t>Машинка д/стрижки волос PHC 0714 коричневый "Polaris"</t>
  </si>
  <si>
    <t xml:space="preserve">1168 </t>
  </si>
  <si>
    <t>https://www.oreht.ru/modules.php?name=orehtPriceLS&amp;op=Search&amp;page=1&amp;stext=429284</t>
  </si>
  <si>
    <t>SC-HM40S10 Миксер SILVER LINE</t>
  </si>
  <si>
    <t>https://www.oreht.ru/modules.php?name=orehtPriceLS&amp;op=Search&amp;page=1&amp;stext=273886</t>
  </si>
  <si>
    <t>Радиоприемник "БЗРП РП-306", УКВ 64-108МГц, бат. 4*R20 (не в компл.), 220V, USB, SD, стереозвук</t>
  </si>
  <si>
    <t xml:space="preserve">1169 </t>
  </si>
  <si>
    <t>https://www.oreht.ru/modules.php?name=orehtPriceLS&amp;op=Search&amp;page=1&amp;stext=458908</t>
  </si>
  <si>
    <t>Приемник цифровой эфирный CADENA CDT-2293M</t>
  </si>
  <si>
    <t xml:space="preserve">1177 </t>
  </si>
  <si>
    <t>https://www.oreht.ru/modules.php?name=orehtPriceLS&amp;op=Search&amp;page=1&amp;stext=409573</t>
  </si>
  <si>
    <t>Утюг Centek CT-2345 (красный/чёрный) 2600Вт, керам. подошва, самоочистка,...</t>
  </si>
  <si>
    <t xml:space="preserve">1179 </t>
  </si>
  <si>
    <t>https://www.oreht.ru/modules.php?name=orehtPriceLS&amp;op=Search&amp;page=1&amp;stext=299798</t>
  </si>
  <si>
    <t>Тепловентилятор Engy PTC-305 арт.004400</t>
  </si>
  <si>
    <t xml:space="preserve">1184 </t>
  </si>
  <si>
    <t>https://www.oreht.ru/modules.php?name=orehtPriceLS&amp;op=Search&amp;page=1&amp;stext=397101</t>
  </si>
  <si>
    <t>Автопроигрыватель MP3 Calcell CAR-475U</t>
  </si>
  <si>
    <t xml:space="preserve">1189 </t>
  </si>
  <si>
    <t>https://www.oreht.ru/modules.php?name=orehtPriceLS&amp;op=Search&amp;page=1&amp;stext=419462</t>
  </si>
  <si>
    <t>Щипцы для волос BQ HT4007 Чёрный-Бежевый</t>
  </si>
  <si>
    <t>https://www.oreht.ru/modules.php?name=orehtPriceLS&amp;op=Search&amp;page=1&amp;stext=444300</t>
  </si>
  <si>
    <t>Утюг Centek CT-2344 VIOLET 2400Вт, керамическая подошва, мощный паровой удар, самоочистка, 330мл</t>
  </si>
  <si>
    <t xml:space="preserve">1192 </t>
  </si>
  <si>
    <t>https://www.oreht.ru/modules.php?name=orehtPriceLS&amp;op=Search&amp;page=1&amp;stext=193551</t>
  </si>
  <si>
    <t>Фен Vitek VT-2327</t>
  </si>
  <si>
    <t xml:space="preserve">1190 </t>
  </si>
  <si>
    <t>https://www.oreht.ru/modules.php?name=orehtPriceLS&amp;op=Search&amp;page=1&amp;stext=283415</t>
  </si>
  <si>
    <t>Чайник Maxwell MW-1077 (ST)</t>
  </si>
  <si>
    <t>https://www.oreht.ru/modules.php?name=orehtPriceLS&amp;op=Search&amp;page=1&amp;stext=420023</t>
  </si>
  <si>
    <t>Тепловентилятор Engy PTC-306W арт.005597</t>
  </si>
  <si>
    <t xml:space="preserve">1191 </t>
  </si>
  <si>
    <t>https://www.oreht.ru/modules.php?name=orehtPriceLS&amp;op=Search&amp;page=1&amp;stext=374695</t>
  </si>
  <si>
    <t>SC-EK27G72 Электрический чайник (черный)</t>
  </si>
  <si>
    <t xml:space="preserve">1092 </t>
  </si>
  <si>
    <t>https://www.oreht.ru/modules.php?name=orehtPriceLS&amp;op=Search&amp;page=1&amp;stext=413996</t>
  </si>
  <si>
    <t>Чайник Galaxy GL 0325</t>
  </si>
  <si>
    <t xml:space="preserve">1195 </t>
  </si>
  <si>
    <t>https://www.oreht.ru/modules.php?name=orehtPriceLS&amp;op=Search&amp;page=1&amp;stext=351747</t>
  </si>
  <si>
    <t>Фен Maxwell MW-2024</t>
  </si>
  <si>
    <t>https://www.oreht.ru/modules.php?name=orehtPriceLS&amp;op=Search&amp;page=1&amp;stext=442353</t>
  </si>
  <si>
    <t>Колонка VIKEND Truck B, 5Вт, 1200мАч, IPX6, hands free, сопряжение, AUX, USB, TF (14027)</t>
  </si>
  <si>
    <t xml:space="preserve">1197 </t>
  </si>
  <si>
    <t>https://www.oreht.ru/modules.php?name=orehtPriceLS&amp;op=Search&amp;page=1&amp;stext=442354</t>
  </si>
  <si>
    <t>Колонка VIKEND Truck G, 5Вт, 1200мАч, IPX6, hands free, сопряжение, AUX, USB, TF (14029)</t>
  </si>
  <si>
    <t>https://www.oreht.ru/modules.php?name=orehtPriceLS&amp;op=Search&amp;page=1&amp;stext=372136</t>
  </si>
  <si>
    <t>Вентилятор напольный Centek CT-5004 Beige, 40Вт, (2шт./уп, LED, 43см, 1.25м, лучевая решетка</t>
  </si>
  <si>
    <t xml:space="preserve">1199 </t>
  </si>
  <si>
    <t>https://www.oreht.ru/modules.php?name=orehtPriceLS&amp;op=Search&amp;page=1&amp;stext=375831</t>
  </si>
  <si>
    <t>Бритва Бердск 3368А</t>
  </si>
  <si>
    <t>https://www.oreht.ru/modules.php?name=orehtPriceLS&amp;op=Search&amp;page=1&amp;stext=397093</t>
  </si>
  <si>
    <t>Автоколонки Mystery MJ 535</t>
  </si>
  <si>
    <t xml:space="preserve">1200 </t>
  </si>
  <si>
    <t>https://www.oreht.ru/modules.php?name=orehtPriceLS&amp;op=Search&amp;page=1&amp;stext=419094</t>
  </si>
  <si>
    <t>Тепловентилятор ТВК-EU-1 Eurolux 67/2/6</t>
  </si>
  <si>
    <t>https://www.oreht.ru/modules.php?name=orehtPriceLS&amp;op=Search&amp;page=1&amp;stext=421029</t>
  </si>
  <si>
    <t>Спортивный блендер BQ SB1002 Белый</t>
  </si>
  <si>
    <t>https://www.oreht.ru/modules.php?name=orehtPriceLS&amp;op=Search&amp;page=1&amp;stext=262428</t>
  </si>
  <si>
    <t>Бритва Бердск 3234</t>
  </si>
  <si>
    <t xml:space="preserve">1201 </t>
  </si>
  <si>
    <t>https://www.oreht.ru/modules.php?name=orehtPriceLS&amp;op=Search&amp;page=1&amp;stext=271258</t>
  </si>
  <si>
    <t>Ресивер эфирный цифровой DVB-T2 HD HD-300 металл, дисплей DOLBY DIGITAL, Сигнал</t>
  </si>
  <si>
    <t>https://www.oreht.ru/modules.php?name=orehtPriceLS&amp;op=Search&amp;page=1&amp;stext=107958</t>
  </si>
  <si>
    <t>Эл. бритва "Агидель-22А"</t>
  </si>
  <si>
    <t xml:space="preserve">1202 </t>
  </si>
  <si>
    <t>https://www.oreht.ru/modules.php?name=orehtPriceLS&amp;op=Search&amp;page=1&amp;stext=411560</t>
  </si>
  <si>
    <t>Радиоприемник "БЗРП РП-332", УКВ 87-108МГц,акб 1200mA/h,USB/microSD/AUX/BT,механич.часы,6мм шайба</t>
  </si>
  <si>
    <t xml:space="preserve">1193 </t>
  </si>
  <si>
    <t>https://www.oreht.ru/modules.php?name=orehtPriceLS&amp;op=Search&amp;page=1&amp;stext=374199</t>
  </si>
  <si>
    <t>Радиоприемник «Эфир-13», УКВ 64-108МГц, бат.4*R20, 220V, USB/SD/microSD/AUX, 6 мм шайба</t>
  </si>
  <si>
    <t xml:space="preserve">1207 </t>
  </si>
  <si>
    <t>https://www.oreht.ru/modules.php?name=orehtPriceLS&amp;op=Search&amp;page=1&amp;stext=452686</t>
  </si>
  <si>
    <t>SC-HD70I18 Фен (черный с желтым)</t>
  </si>
  <si>
    <t xml:space="preserve">1208 </t>
  </si>
  <si>
    <t>https://www.oreht.ru/modules.php?name=orehtPriceLS&amp;op=Search&amp;page=1&amp;stext=185401</t>
  </si>
  <si>
    <t>Тепловентилятор керамический KS-15 RP "Оазис" (750/1500 Вт)</t>
  </si>
  <si>
    <t>https://www.oreht.ru/modules.php?name=orehtPriceLS&amp;op=Search&amp;page=1&amp;stext=304673</t>
  </si>
  <si>
    <t>Эл. вафельница "КУБАНЬ-4" (сердечки), 850Вт</t>
  </si>
  <si>
    <t>https://www.oreht.ru/modules.php?name=orehtPriceLS&amp;op=Search&amp;page=1&amp;stext=302720</t>
  </si>
  <si>
    <t>Щипцы PHS 2513K для моделирования POLARIS, Фуксия</t>
  </si>
  <si>
    <t xml:space="preserve">1209 </t>
  </si>
  <si>
    <t>https://www.oreht.ru/modules.php?name=orehtPriceLS&amp;op=Search&amp;page=1&amp;stext=460968</t>
  </si>
  <si>
    <t>Galaxy LINE GL 6290 (4шт) Аккумуляторный пылесос 2 в 1, 60 Вт, объём контейнера 0,4 л, мощность всас</t>
  </si>
  <si>
    <t xml:space="preserve">1215 </t>
  </si>
  <si>
    <t>https://www.oreht.ru/modules.php?name=orehtPriceLS&amp;op=Search&amp;page=1&amp;stext=402026</t>
  </si>
  <si>
    <t>Блендер DELTA DL-7049B черный, 600 Вт., насадка д/смешивания, венчик, измельчитель, чаша 500мл</t>
  </si>
  <si>
    <t xml:space="preserve">1225 </t>
  </si>
  <si>
    <t>https://www.oreht.ru/modules.php?name=orehtPriceLS&amp;op=Search&amp;page=1&amp;stext=133409</t>
  </si>
  <si>
    <t>Эл. вафельница "ПЫШКА-3" (гриль-сосисочница)</t>
  </si>
  <si>
    <t xml:space="preserve">1229 </t>
  </si>
  <si>
    <t>https://www.oreht.ru/modules.php?name=orehtPriceLS&amp;op=Search&amp;page=1&amp;stext=460249</t>
  </si>
  <si>
    <t>Утюг WILLMARK SI-2405CA (2400Вт, кер. под., 320мл, анти-накипь, анти-кап.,очист.,ав/откл., пар удар)</t>
  </si>
  <si>
    <t>https://www.oreht.ru/modules.php?name=orehtPriceLS&amp;op=Search&amp;page=1&amp;stext=432999</t>
  </si>
  <si>
    <t>Вентилятор напольный DELTA DL-003N белый с зеленым (4 шт.)</t>
  </si>
  <si>
    <t xml:space="preserve">1232 </t>
  </si>
  <si>
    <t>https://www.oreht.ru/modules.php?name=orehtPriceLS&amp;op=Search&amp;page=1&amp;stext=433000</t>
  </si>
  <si>
    <t>Вентилятор напольный DELTA DL-003N белый с красным (4 шт.)</t>
  </si>
  <si>
    <t>https://www.oreht.ru/modules.php?name=orehtPriceLS&amp;op=Search&amp;page=1&amp;stext=433001</t>
  </si>
  <si>
    <t>Вентилятор напольный DELTA DL-003N белый с серым (4 шт.)</t>
  </si>
  <si>
    <t>https://www.oreht.ru/modules.php?name=orehtPriceLS&amp;op=Search&amp;page=1&amp;stext=452504</t>
  </si>
  <si>
    <t>Тепловентилятор Engy РТС-320 белый арт.007535</t>
  </si>
  <si>
    <t xml:space="preserve">1237 </t>
  </si>
  <si>
    <t>https://www.oreht.ru/modules.php?name=orehtPriceLS&amp;op=Search&amp;page=1&amp;stext=452505</t>
  </si>
  <si>
    <t>Тепловентилятор Engy РТС-320 черный арт.007536</t>
  </si>
  <si>
    <t>https://www.oreht.ru/modules.php?name=orehtPriceLS&amp;op=Search&amp;page=1&amp;stext=362646</t>
  </si>
  <si>
    <t>SC-EK21S97 Электрический чайник (черный с серым)</t>
  </si>
  <si>
    <t xml:space="preserve">1242 </t>
  </si>
  <si>
    <t>https://www.oreht.ru/modules.php?name=orehtPriceLS&amp;op=Search&amp;page=1&amp;stext=411823</t>
  </si>
  <si>
    <t>https://www.oreht.ru/modules.php?name=orehtPriceLS&amp;op=Search&amp;page=1&amp;stext=337661</t>
  </si>
  <si>
    <t>Фен-щетка для волос LIRA LR 0707 (мощность 1200 Вт, вращение 360гр.)</t>
  </si>
  <si>
    <t xml:space="preserve">1244 </t>
  </si>
  <si>
    <t>https://www.oreht.ru/modules.php?name=orehtPriceLS&amp;op=Search&amp;page=1&amp;stext=342049</t>
  </si>
  <si>
    <t>SC-SI30K44 Электрический утюг (лиловый)</t>
  </si>
  <si>
    <t xml:space="preserve">1245 </t>
  </si>
  <si>
    <t>https://www.oreht.ru/modules.php?name=orehtPriceLS&amp;op=Search&amp;page=1&amp;stext=451170</t>
  </si>
  <si>
    <t>Ручной блендер Blackton Bt HB1030SS Мятно-голубой</t>
  </si>
  <si>
    <t xml:space="preserve">1249 </t>
  </si>
  <si>
    <t>https://www.oreht.ru/modules.php?name=orehtPriceLS&amp;op=Search&amp;page=1&amp;stext=263086</t>
  </si>
  <si>
    <t>Тепловая пушка Ballu BKN-3</t>
  </si>
  <si>
    <t xml:space="preserve">1265 </t>
  </si>
  <si>
    <t>https://www.oreht.ru/modules.php?name=orehtPriceLS&amp;op=Search&amp;page=1&amp;stext=417345</t>
  </si>
  <si>
    <t>Тепловая пушка Ballu BKS-3</t>
  </si>
  <si>
    <t xml:space="preserve">1250 </t>
  </si>
  <si>
    <t>https://www.oreht.ru/modules.php?name=orehtPriceLS&amp;op=Search&amp;page=1&amp;stext=283403</t>
  </si>
  <si>
    <t>Чайник Vitek VT-7031 (W)</t>
  </si>
  <si>
    <t>https://www.oreht.ru/modules.php?name=orehtPriceLS&amp;op=Search&amp;page=1&amp;stext=400157</t>
  </si>
  <si>
    <t>Тостер Mystery MET-2112</t>
  </si>
  <si>
    <t xml:space="preserve">1252 </t>
  </si>
  <si>
    <t>https://www.oreht.ru/modules.php?name=orehtPriceLS&amp;op=Search&amp;page=1&amp;stext=378769</t>
  </si>
  <si>
    <t>Тепловентилятор Engy PTC-318 арт.007531</t>
  </si>
  <si>
    <t xml:space="preserve">1254 </t>
  </si>
  <si>
    <t>https://www.oreht.ru/modules.php?name=orehtPriceLS&amp;op=Search&amp;page=1&amp;stext=312069</t>
  </si>
  <si>
    <t>Антенна для телевизора уличная активная HARPER ADVB-2440</t>
  </si>
  <si>
    <t>https://www.oreht.ru/modules.php?name=orehtPriceLS&amp;op=Search&amp;page=1&amp;stext=438687</t>
  </si>
  <si>
    <t>Измельчитель BQ CH1003 Белый</t>
  </si>
  <si>
    <t>https://www.oreht.ru/modules.php?name=orehtPriceLS&amp;op=Search&amp;page=1&amp;stext=328502</t>
  </si>
  <si>
    <t>Вентилятор MYSTERY MSF-2445</t>
  </si>
  <si>
    <t xml:space="preserve">1260 </t>
  </si>
  <si>
    <t>https://www.oreht.ru/modules.php?name=orehtPriceLS&amp;op=Search&amp;page=1&amp;stext=442350</t>
  </si>
  <si>
    <t>Антенна наружная ДМВ+МВ активная Дельта Н 311А-01 (R) (компл. арт 17248 -2 шт, арт 17251-1 шт)</t>
  </si>
  <si>
    <t xml:space="preserve">1261 </t>
  </si>
  <si>
    <t>https://www.oreht.ru/modules.php?name=orehtPriceLS&amp;op=Search&amp;page=1&amp;stext=255716</t>
  </si>
  <si>
    <t>Кронштейн "Holder" - LCDS5065 (черный глянец)</t>
  </si>
  <si>
    <t>https://www.oreht.ru/modules.php?name=orehtPriceLS&amp;op=Search&amp;page=1&amp;stext=390696</t>
  </si>
  <si>
    <t>Фен Centek CT-2221 Professional, 2200Вт, мощный АС мотор, 5 режимов, упраление сбоку, хол.воздух</t>
  </si>
  <si>
    <t xml:space="preserve">1263 </t>
  </si>
  <si>
    <t>https://www.oreht.ru/modules.php?name=orehtPriceLS&amp;op=Search&amp;page=1&amp;stext=371504</t>
  </si>
  <si>
    <t>Набор для стрижки Vitek VT-2584</t>
  </si>
  <si>
    <t xml:space="preserve">1269 </t>
  </si>
  <si>
    <t>https://www.oreht.ru/modules.php?name=orehtPriceLS&amp;op=Search&amp;page=1&amp;stext=455244</t>
  </si>
  <si>
    <t>Набор для стрижки Galaxy LINE GL 4158 (20шт) , керамическое лезвие, режим турбо,</t>
  </si>
  <si>
    <t xml:space="preserve">1279 </t>
  </si>
  <si>
    <t>https://www.oreht.ru/modules.php?name=orehtPriceLS&amp;op=Search&amp;page=1&amp;stext=268391</t>
  </si>
  <si>
    <t>SC-SI30K23 Электрический утюг (синий)</t>
  </si>
  <si>
    <t xml:space="preserve">1281 </t>
  </si>
  <si>
    <t>https://www.oreht.ru/modules.php?name=orehtPriceLS&amp;op=Search&amp;page=1&amp;stext=445595</t>
  </si>
  <si>
    <t>Электроплитка ENERGY EN-903 (арт.158903)</t>
  </si>
  <si>
    <t xml:space="preserve">1286 </t>
  </si>
  <si>
    <t>https://www.oreht.ru/modules.php?name=orehtPriceLS&amp;op=Search&amp;page=1&amp;stext=415164</t>
  </si>
  <si>
    <t>SC-EK27G91 Электрический чайник (черный)</t>
  </si>
  <si>
    <t xml:space="preserve">1288 </t>
  </si>
  <si>
    <t>https://www.oreht.ru/modules.php?name=orehtPriceLS&amp;op=Search&amp;page=1&amp;stext=138147</t>
  </si>
  <si>
    <t>Кофемолка PCG 0815А POLARIS, Нержавеющая сталь</t>
  </si>
  <si>
    <t xml:space="preserve">1289 </t>
  </si>
  <si>
    <t>https://www.oreht.ru/modules.php?name=orehtPriceLS&amp;op=Search&amp;page=1&amp;stext=350164</t>
  </si>
  <si>
    <t>Портативное аудио MYSTERY MBA-731UB</t>
  </si>
  <si>
    <t xml:space="preserve">1290 </t>
  </si>
  <si>
    <t>https://www.oreht.ru/modules.php?name=orehtPriceLS&amp;op=Search&amp;page=1&amp;stext=333756</t>
  </si>
  <si>
    <t>Блендер (набор) econ ECO-401HB</t>
  </si>
  <si>
    <t xml:space="preserve">1293 </t>
  </si>
  <si>
    <t>https://www.oreht.ru/modules.php?name=orehtPriceLS&amp;op=Search&amp;page=1&amp;stext=420024</t>
  </si>
  <si>
    <t>Тепловентилятор Engy PTC-312 арт.005596</t>
  </si>
  <si>
    <t xml:space="preserve">1300 </t>
  </si>
  <si>
    <t>https://www.oreht.ru/modules.php?name=orehtPriceLS&amp;op=Search&amp;page=1&amp;stext=402020</t>
  </si>
  <si>
    <t>https://www.oreht.ru/modules.php?name=orehtPriceLS&amp;op=Search&amp;page=1&amp;stext=314815</t>
  </si>
  <si>
    <t>Кронштейн LS 51-20 "Трон"</t>
  </si>
  <si>
    <t xml:space="preserve">1305 </t>
  </si>
  <si>
    <t>https://www.oreht.ru/modules.php?name=orehtPriceLS&amp;op=Search&amp;page=1&amp;stext=262429</t>
  </si>
  <si>
    <t>Бритва Бердск 3235</t>
  </si>
  <si>
    <t xml:space="preserve">1320 </t>
  </si>
  <si>
    <t>https://www.oreht.ru/modules.php?name=orehtPriceLS&amp;op=Search&amp;page=1&amp;stext=415161</t>
  </si>
  <si>
    <t>SC-HD70I45 Фен (черный с хромом)</t>
  </si>
  <si>
    <t xml:space="preserve">1322 </t>
  </si>
  <si>
    <t>https://www.oreht.ru/modules.php?name=orehtPriceLS&amp;op=Search&amp;page=1&amp;stext=185609</t>
  </si>
  <si>
    <t>Кронштейн "Holder" - LCD-T2609-B</t>
  </si>
  <si>
    <t xml:space="preserve">1323 </t>
  </si>
  <si>
    <t>https://www.oreht.ru/modules.php?name=orehtPriceLS&amp;op=Search&amp;page=1&amp;stext=230803</t>
  </si>
  <si>
    <t>Вафельница "Венская" ВАСИЛИСА В5-700 бежевая, 700Вт</t>
  </si>
  <si>
    <t xml:space="preserve">1325 </t>
  </si>
  <si>
    <t>https://www.oreht.ru/modules.php?name=orehtPriceLS&amp;op=Search&amp;page=1&amp;stext=384399</t>
  </si>
  <si>
    <t>Кронштейн ЖК наклонно-поворотный 23-55" [59-139см] до 30кг. UM868 [черн] UltraMounts</t>
  </si>
  <si>
    <t xml:space="preserve">1330 </t>
  </si>
  <si>
    <t>https://www.oreht.ru/modules.php?name=orehtPriceLS&amp;op=Search&amp;page=1&amp;stext=396940</t>
  </si>
  <si>
    <t>Утюг Supra IS-2411</t>
  </si>
  <si>
    <t>https://www.oreht.ru/modules.php?name=orehtPriceLS&amp;op=Search&amp;page=1&amp;stext=444261</t>
  </si>
  <si>
    <t>Электрич. проточный водонагреватель ОASIS KP-P (проточный)</t>
  </si>
  <si>
    <t xml:space="preserve">1332 </t>
  </si>
  <si>
    <t>https://www.oreht.ru/modules.php?name=orehtPriceLS&amp;op=Search&amp;page=1&amp;stext=283395</t>
  </si>
  <si>
    <t>Фен Vitek VT-2534 (BK)</t>
  </si>
  <si>
    <t xml:space="preserve">1335 </t>
  </si>
  <si>
    <t>https://www.oreht.ru/modules.php?name=orehtPriceLS&amp;op=Search&amp;page=1&amp;stext=393101</t>
  </si>
  <si>
    <t>Выпрямитель Vitek VT-8286</t>
  </si>
  <si>
    <t xml:space="preserve">1338 </t>
  </si>
  <si>
    <t>https://www.oreht.ru/modules.php?name=orehtPriceLS&amp;op=Search&amp;page=1&amp;stext=442666</t>
  </si>
  <si>
    <t>Миксер VITEK VT-1495</t>
  </si>
  <si>
    <t>https://www.oreht.ru/modules.php?name=orehtPriceLS&amp;op=Search&amp;page=1&amp;stext=434531</t>
  </si>
  <si>
    <t>Кофемолка электрическая Galaxy LINE GL 0902 (24шт) 250 Вт контейнер из нержавеющей стали</t>
  </si>
  <si>
    <t>https://www.oreht.ru/modules.php?name=orehtPriceLS&amp;op=Search&amp;page=1&amp;stext=219386</t>
  </si>
  <si>
    <t>Миксер электрический PHM 3018 Бордо POLARIS</t>
  </si>
  <si>
    <t xml:space="preserve">1344 </t>
  </si>
  <si>
    <t>https://www.oreht.ru/modules.php?name=orehtPriceLS&amp;op=Search&amp;page=1&amp;stext=231204</t>
  </si>
  <si>
    <t>Миксер электрический PHM 3018 Кофе POLARIS</t>
  </si>
  <si>
    <t>https://www.oreht.ru/modules.php?name=orehtPriceLS&amp;op=Search&amp;page=1&amp;stext=434772</t>
  </si>
  <si>
    <t>Щипцы PHS 2405K (POLARIS), серый</t>
  </si>
  <si>
    <t xml:space="preserve">1345 </t>
  </si>
  <si>
    <t>https://www.oreht.ru/modules.php?name=orehtPriceLS&amp;op=Search&amp;page=1&amp;stext=444781</t>
  </si>
  <si>
    <t>Щипцы для моделирования PHS 2511K (POLARIS), Бирюзовый</t>
  </si>
  <si>
    <t>https://www.oreht.ru/modules.php?name=orehtPriceLS&amp;op=Search&amp;page=1&amp;stext=332827</t>
  </si>
  <si>
    <t>Прибор для выпечки PST 0601 (POLARIS), Черный</t>
  </si>
  <si>
    <t>https://www.oreht.ru/modules.php?name=orehtPriceLS&amp;op=Search&amp;page=1&amp;stext=275787</t>
  </si>
  <si>
    <t>Тостер Maxwell MW-1505 (W)</t>
  </si>
  <si>
    <t xml:space="preserve">1350 </t>
  </si>
  <si>
    <t>https://www.oreht.ru/modules.php?name=orehtPriceLS&amp;op=Search&amp;page=1&amp;stext=376526</t>
  </si>
  <si>
    <t>Блендер (набор) SUPRA HBS-837SS</t>
  </si>
  <si>
    <t>https://www.oreht.ru/modules.php?name=orehtPriceLS&amp;op=Search&amp;page=1&amp;stext=339470</t>
  </si>
  <si>
    <t>Пушка тепловая ENGY PTC-2000 арт.015750</t>
  </si>
  <si>
    <t xml:space="preserve">1354 </t>
  </si>
  <si>
    <t>https://www.oreht.ru/modules.php?name=orehtPriceLS&amp;op=Search&amp;page=1&amp;stext=442356</t>
  </si>
  <si>
    <t>Колонка VIKEND Rain B, 4,5Вт, 1200мАч, IPX7, hands free, сопряжение, AUX, USB, TF (14026)</t>
  </si>
  <si>
    <t xml:space="preserve">1358 </t>
  </si>
  <si>
    <t>https://www.oreht.ru/modules.php?name=orehtPriceLS&amp;op=Search&amp;page=1&amp;stext=419182</t>
  </si>
  <si>
    <t>Вафельница Centek CT-1447 800Вт Вафли- венские &lt;226х148.5мм&gt; анти пригарное покрытие, max 220 С</t>
  </si>
  <si>
    <t>https://www.oreht.ru/modules.php?name=orehtPriceLS&amp;op=Search&amp;page=1&amp;stext=435486</t>
  </si>
  <si>
    <t>Щипцы PHSZ 1680KT Dreams (POLARIS)</t>
  </si>
  <si>
    <t xml:space="preserve">1360 </t>
  </si>
  <si>
    <t>https://www.oreht.ru/modules.php?name=orehtPriceLS&amp;op=Search&amp;page=1&amp;stext=267614</t>
  </si>
  <si>
    <t>Блендер DELTA LUX DL-7041B черный, 800Вт., "Турбо", стакан, венчик, измельчитель</t>
  </si>
  <si>
    <t xml:space="preserve">1362 </t>
  </si>
  <si>
    <t>https://www.oreht.ru/modules.php?name=orehtPriceLS&amp;op=Search&amp;page=1&amp;stext=266628</t>
  </si>
  <si>
    <t>Проводной телефон teXet TX-259 черный/серебристый</t>
  </si>
  <si>
    <t xml:space="preserve">1365 </t>
  </si>
  <si>
    <t>https://www.oreht.ru/modules.php?name=orehtPriceLS&amp;op=Search&amp;page=1&amp;stext=405635</t>
  </si>
  <si>
    <t>Плита электрическая Blackton Bt HP206B Черный</t>
  </si>
  <si>
    <t>https://www.oreht.ru/modules.php?name=orehtPriceLS&amp;op=Search&amp;page=1&amp;stext=216659</t>
  </si>
  <si>
    <t>Кронштейн "Holder" - LCD-T2611-B</t>
  </si>
  <si>
    <t xml:space="preserve">1367 </t>
  </si>
  <si>
    <t>https://www.oreht.ru/modules.php?name=orehtPriceLS&amp;op=Search&amp;page=1&amp;stext=124966</t>
  </si>
  <si>
    <t>Кронштейн "Holder" - LCDS5066 (черный глянец)</t>
  </si>
  <si>
    <t xml:space="preserve">1372 </t>
  </si>
  <si>
    <t>https://www.oreht.ru/modules.php?name=orehtPriceLS&amp;op=Search&amp;page=1&amp;stext=446851</t>
  </si>
  <si>
    <t>Электрический чайник teXet TSK-01 цвет чёрный</t>
  </si>
  <si>
    <t xml:space="preserve">1374 </t>
  </si>
  <si>
    <t>https://www.oreht.ru/modules.php?name=orehtPriceLS&amp;op=Search&amp;page=1&amp;stext=170866</t>
  </si>
  <si>
    <t>SC-DF111S01 Настольный вентилятор (белый)</t>
  </si>
  <si>
    <t xml:space="preserve">1375 </t>
  </si>
  <si>
    <t>https://www.oreht.ru/modules.php?name=orehtPriceLS&amp;op=Search&amp;page=1&amp;stext=278834</t>
  </si>
  <si>
    <t>Проводной телефон Panasonic KX-TS2350RUT</t>
  </si>
  <si>
    <t xml:space="preserve">1376 </t>
  </si>
  <si>
    <t>https://www.oreht.ru/modules.php?name=orehtPriceLS&amp;op=Search&amp;page=1&amp;stext=237180</t>
  </si>
  <si>
    <t>Проводной телефон Panasonic KX-TS2350RUW</t>
  </si>
  <si>
    <t>https://www.oreht.ru/modules.php?name=orehtPriceLS&amp;op=Search&amp;page=1&amp;stext=217106</t>
  </si>
  <si>
    <t>Щипцы PHS 3214K для моделирования Фуксия POLARIS</t>
  </si>
  <si>
    <t xml:space="preserve">1378 </t>
  </si>
  <si>
    <t>https://www.oreht.ru/modules.php?name=orehtPriceLS&amp;op=Search&amp;page=1&amp;stext=452054</t>
  </si>
  <si>
    <t>Чайник BQ KT1824S Золотой</t>
  </si>
  <si>
    <t xml:space="preserve">1535 </t>
  </si>
  <si>
    <t>https://www.oreht.ru/modules.php?name=orehtPriceLS&amp;op=Search&amp;page=1&amp;stext=432680</t>
  </si>
  <si>
    <t>Автопроигрыватель MP3 MYSTERY MAR-282U</t>
  </si>
  <si>
    <t xml:space="preserve">1385 </t>
  </si>
  <si>
    <t>https://www.oreht.ru/modules.php?name=orehtPriceLS&amp;op=Search&amp;page=1&amp;stext=285993</t>
  </si>
  <si>
    <t>Фен-щетка Vitek VT-8235</t>
  </si>
  <si>
    <t xml:space="preserve">1386 </t>
  </si>
  <si>
    <t>https://www.oreht.ru/modules.php?name=orehtPriceLS&amp;op=Search&amp;page=1&amp;stext=452687</t>
  </si>
  <si>
    <t>SC-MS95005 Маникюрный набор (синий)</t>
  </si>
  <si>
    <t>https://www.oreht.ru/modules.php?name=orehtPriceLS&amp;op=Search&amp;page=1&amp;stext=458366</t>
  </si>
  <si>
    <t>SC-HB42F06 Погружной блендер (белый)</t>
  </si>
  <si>
    <t xml:space="preserve">1389 </t>
  </si>
  <si>
    <t>https://www.oreht.ru/modules.php?name=orehtPriceLS&amp;op=Search&amp;page=1&amp;stext=314473</t>
  </si>
  <si>
    <t>SC-HB42F47 Кухонный процессор-блендер (черный)</t>
  </si>
  <si>
    <t xml:space="preserve">1390 </t>
  </si>
  <si>
    <t>https://www.oreht.ru/modules.php?name=orehtPriceLS&amp;op=Search&amp;page=1&amp;stext=365974</t>
  </si>
  <si>
    <t>Сэндвичница Vitek VT-7147</t>
  </si>
  <si>
    <t>https://www.oreht.ru/modules.php?name=orehtPriceLS&amp;op=Search&amp;page=1&amp;stext=408673</t>
  </si>
  <si>
    <t>Чайник Vitek VT-1174</t>
  </si>
  <si>
    <t xml:space="preserve">1391 </t>
  </si>
  <si>
    <t>https://www.oreht.ru/modules.php?name=orehtPriceLS&amp;op=Search&amp;page=1&amp;stext=459389</t>
  </si>
  <si>
    <t>Чайник (пластик диск) jvc JK-KE1722</t>
  </si>
  <si>
    <t xml:space="preserve">1392 </t>
  </si>
  <si>
    <t>https://www.oreht.ru/modules.php?name=orehtPriceLS&amp;op=Search&amp;page=1&amp;stext=282996</t>
  </si>
  <si>
    <t>Чайник Vitek VT-7061</t>
  </si>
  <si>
    <t>https://www.oreht.ru/modules.php?name=orehtPriceLS&amp;op=Search&amp;page=1&amp;stext=218131</t>
  </si>
  <si>
    <t>Эл. щипцы "Ладомир A76"</t>
  </si>
  <si>
    <t xml:space="preserve">1399 </t>
  </si>
  <si>
    <t>https://www.oreht.ru/modules.php?name=orehtPriceLS&amp;op=Search&amp;page=1&amp;stext=178820</t>
  </si>
  <si>
    <t>Чайник Vitek VT-7006</t>
  </si>
  <si>
    <t xml:space="preserve">1400 </t>
  </si>
  <si>
    <t>https://www.oreht.ru/modules.php?name=orehtPriceLS&amp;op=Search&amp;page=1&amp;stext=397106</t>
  </si>
  <si>
    <t>Автопроигрыватель MP3 Mystery MAR-242U</t>
  </si>
  <si>
    <t xml:space="preserve">1402 </t>
  </si>
  <si>
    <t>https://www.oreht.ru/modules.php?name=orehtPriceLS&amp;op=Search&amp;page=1&amp;stext=319193</t>
  </si>
  <si>
    <t>Щипцы PHS 2512KT Dreams Collection для моделирования (POLARIS), Маренго/розовый</t>
  </si>
  <si>
    <t>https://www.oreht.ru/modules.php?name=orehtPriceLS&amp;op=Search&amp;page=1&amp;stext=427635</t>
  </si>
  <si>
    <t>Плита электрическая Blackton Bt HP217W Белый</t>
  </si>
  <si>
    <t xml:space="preserve">1407 </t>
  </si>
  <si>
    <t>https://www.oreht.ru/modules.php?name=orehtPriceLS&amp;op=Search&amp;page=1&amp;stext=358164</t>
  </si>
  <si>
    <t>Радиоприемник "БЗРП РП-304", УКВ 64-108 МГц, бат 4*R20, 220V, USB/SD, 2 динамика, моно</t>
  </si>
  <si>
    <t xml:space="preserve">1408 </t>
  </si>
  <si>
    <t>https://www.oreht.ru/modules.php?name=orehtPriceLS&amp;op=Search&amp;page=1&amp;stext=386041</t>
  </si>
  <si>
    <t>Трекер активности Xiaomi Mi Smart Band 4C HMSH01GE (MGW4067RU)</t>
  </si>
  <si>
    <t xml:space="preserve">1410 </t>
  </si>
  <si>
    <t>https://www.oreht.ru/modules.php?name=orehtPriceLS&amp;op=Search&amp;page=1&amp;stext=319068</t>
  </si>
  <si>
    <t>Кронштейн "Holder" - LCD-F6608-B</t>
  </si>
  <si>
    <t>https://www.oreht.ru/modules.php?name=orehtPriceLS&amp;op=Search&amp;page=1&amp;stext=390697</t>
  </si>
  <si>
    <t>Фен Centek CT-2225 Professional, 2400Вт, проф. управление, 5 режимов, 2 концентратора</t>
  </si>
  <si>
    <t xml:space="preserve">1412 </t>
  </si>
  <si>
    <t>https://www.oreht.ru/modules.php?name=orehtPriceLS&amp;op=Search&amp;page=1&amp;stext=402035</t>
  </si>
  <si>
    <t>Миксер DELTA LUX DE-7901C белый с серым, 400Вт., 5 скоростей, "Турбо", самовращ.чаша</t>
  </si>
  <si>
    <t>https://www.oreht.ru/modules.php?name=orehtPriceLS&amp;op=Search&amp;page=1&amp;stext=389929</t>
  </si>
  <si>
    <t>Набор для стрижки Centek CT-2131 (черн) 3 в 1+стрижка+Бритва+Триммер для носа</t>
  </si>
  <si>
    <t xml:space="preserve">1415 </t>
  </si>
  <si>
    <t>https://www.oreht.ru/modules.php?name=orehtPriceLS&amp;op=Search&amp;page=1&amp;stext=285207</t>
  </si>
  <si>
    <t>Измельчитель Mystery MMC-1404</t>
  </si>
  <si>
    <t>https://www.oreht.ru/modules.php?name=orehtPriceLS&amp;op=Search&amp;page=1&amp;stext=122714</t>
  </si>
  <si>
    <t>Радиатор масляный ENGY EN-1707 (7 секц.) арт. 015094</t>
  </si>
  <si>
    <t xml:space="preserve">1416 </t>
  </si>
  <si>
    <t>https://www.oreht.ru/modules.php?name=orehtPriceLS&amp;op=Search&amp;page=1&amp;stext=452497</t>
  </si>
  <si>
    <t>Прибор для выпечки jvc JK-MB026</t>
  </si>
  <si>
    <t xml:space="preserve">1420 </t>
  </si>
  <si>
    <t>https://www.oreht.ru/modules.php?name=orehtPriceLS&amp;op=Search&amp;page=1&amp;stext=457106</t>
  </si>
  <si>
    <t>Утюг econ ECO-BI2404</t>
  </si>
  <si>
    <t>https://www.oreht.ru/modules.php?name=orehtPriceLS&amp;op=Search&amp;page=1&amp;stext=457105</t>
  </si>
  <si>
    <t>Утюг econ ECO-BI2405</t>
  </si>
  <si>
    <t>https://www.oreht.ru/modules.php?name=orehtPriceLS&amp;op=Search&amp;page=1&amp;stext=446762</t>
  </si>
  <si>
    <t>Утюг econ ECO-BI2406</t>
  </si>
  <si>
    <t>https://www.oreht.ru/modules.php?name=orehtPriceLS&amp;op=Search&amp;page=1&amp;stext=458368</t>
  </si>
  <si>
    <t>SC-EK27G95 Электрический чайник SILVER LINE</t>
  </si>
  <si>
    <t xml:space="preserve">1421 </t>
  </si>
  <si>
    <t>https://www.oreht.ru/modules.php?name=orehtPriceLS&amp;op=Search&amp;page=1&amp;stext=449273</t>
  </si>
  <si>
    <t>SC-CM33018 Кофеварка (черный)</t>
  </si>
  <si>
    <t xml:space="preserve">1425 </t>
  </si>
  <si>
    <t>https://www.oreht.ru/modules.php?name=orehtPriceLS&amp;op=Search&amp;page=1&amp;stext=419132</t>
  </si>
  <si>
    <t>Тепловентилятор электрический PATRIOT PTQ 2S, 2.0 кВт, 220В, терморегулятор, керамический нагревател</t>
  </si>
  <si>
    <t xml:space="preserve">1427 </t>
  </si>
  <si>
    <t>https://www.oreht.ru/modules.php?name=orehtPriceLS&amp;op=Search&amp;page=1&amp;stext=262426</t>
  </si>
  <si>
    <t>Бритва Бердск 3231</t>
  </si>
  <si>
    <t xml:space="preserve">1433 </t>
  </si>
  <si>
    <t>https://www.oreht.ru/modules.php?name=orehtPriceLS&amp;op=Search&amp;page=1&amp;stext=449275</t>
  </si>
  <si>
    <t>SC-HB42F39 Кухонный процессор-блендер (черный)</t>
  </si>
  <si>
    <t xml:space="preserve">1434 </t>
  </si>
  <si>
    <t>https://www.oreht.ru/modules.php?name=orehtPriceLS&amp;op=Search&amp;page=1&amp;stext=432458</t>
  </si>
  <si>
    <t>z.Вентилятор напольный Centek CT-5025 40Вт, 1.25м, 43см, 3 скорости, автоповорот, подсветка</t>
  </si>
  <si>
    <t xml:space="preserve">1435 </t>
  </si>
  <si>
    <t>https://www.oreht.ru/modules.php?name=orehtPriceLS&amp;op=Search&amp;page=1&amp;stext=292161</t>
  </si>
  <si>
    <t>Бритва Бердск 8</t>
  </si>
  <si>
    <t>https://www.oreht.ru/modules.php?name=orehtPriceLS&amp;op=Search&amp;page=1&amp;stext=378316</t>
  </si>
  <si>
    <t>Машинка д/стрижки волос PHC 0401RB Flex Motion "Polaris", Голубой металлик</t>
  </si>
  <si>
    <t xml:space="preserve">1366 </t>
  </si>
  <si>
    <t>https://www.oreht.ru/modules.php?name=orehtPriceLS&amp;op=Search&amp;page=1&amp;stext=435471</t>
  </si>
  <si>
    <t>Кофемолка PCG 2014 электрич. (POLARIS), Черный</t>
  </si>
  <si>
    <t xml:space="preserve">1441 </t>
  </si>
  <si>
    <t>https://www.oreht.ru/modules.php?name=orehtPriceLS&amp;op=Search&amp;page=1&amp;stext=442672</t>
  </si>
  <si>
    <t>Выпрямитель Safari Vitek VT-8405</t>
  </si>
  <si>
    <t xml:space="preserve">1442 </t>
  </si>
  <si>
    <t>https://www.oreht.ru/modules.php?name=orehtPriceLS&amp;op=Search&amp;page=1&amp;stext=397104</t>
  </si>
  <si>
    <t>Автопроигрыватель MP3 Mystery MAR-212U</t>
  </si>
  <si>
    <t xml:space="preserve">1448 </t>
  </si>
  <si>
    <t>https://www.oreht.ru/modules.php?name=orehtPriceLS&amp;op=Search&amp;page=1&amp;stext=397105</t>
  </si>
  <si>
    <t>Автопроигрыватель MP3 Mystery MAR-222U</t>
  </si>
  <si>
    <t>https://www.oreht.ru/modules.php?name=orehtPriceLS&amp;op=Search&amp;page=1&amp;stext=290379</t>
  </si>
  <si>
    <t>Утюг Vitek VT-8308</t>
  </si>
  <si>
    <t>https://www.oreht.ru/modules.php?name=orehtPriceLS&amp;op=Search&amp;page=1&amp;stext=442177</t>
  </si>
  <si>
    <t>Утюг Centek CT-2313 RED 2600Вт керамическая подошва, 350мл, паровой удар, самоочистка, капля-стоп</t>
  </si>
  <si>
    <t xml:space="preserve">1453 </t>
  </si>
  <si>
    <t>https://www.oreht.ru/modules.php?name=orehtPriceLS&amp;op=Search&amp;page=1&amp;stext=346856</t>
  </si>
  <si>
    <t>Барабан к кормоизмельчителю ручному</t>
  </si>
  <si>
    <t xml:space="preserve">1456 </t>
  </si>
  <si>
    <t>https://www.oreht.ru/modules.php?name=orehtPriceLS&amp;op=Search&amp;page=1&amp;stext=422142</t>
  </si>
  <si>
    <t>Тепловентилятор электрический PATRIOT PTR 3S, 2.0 кВт, 220В, терморегулятор, керамический нагревател</t>
  </si>
  <si>
    <t xml:space="preserve">1457 </t>
  </si>
  <si>
    <t>https://www.oreht.ru/modules.php?name=orehtPriceLS&amp;op=Search&amp;page=1&amp;stext=423349</t>
  </si>
  <si>
    <t>Миксер электрический PHM 7019 электрич., (POLARIS), Слоновая кость</t>
  </si>
  <si>
    <t>https://www.oreht.ru/modules.php?name=orehtPriceLS&amp;op=Search&amp;page=1&amp;stext=306325</t>
  </si>
  <si>
    <t>Эл. чайник PWK 1756C Moon "Polaris", Белый</t>
  </si>
  <si>
    <t>https://www.oreht.ru/modules.php?name=orehtPriceLS&amp;op=Search&amp;page=1&amp;stext=387425</t>
  </si>
  <si>
    <t>Фен PHD 2090ACi Tourmaline PROF (POLARIS), Графит/розовое золото</t>
  </si>
  <si>
    <t xml:space="preserve">1459 </t>
  </si>
  <si>
    <t>https://www.oreht.ru/modules.php?name=orehtPriceLS&amp;op=Search&amp;page=1&amp;stext=435469</t>
  </si>
  <si>
    <t>Кофемолка PCG 2014 электрич. (POLARIS), Белый</t>
  </si>
  <si>
    <t xml:space="preserve">1464 </t>
  </si>
  <si>
    <t>https://www.oreht.ru/modules.php?name=orehtPriceLS&amp;op=Search&amp;page=1&amp;stext=435470</t>
  </si>
  <si>
    <t>Кофемолка PCG 2014 электрич. (POLARIS), Коричневый</t>
  </si>
  <si>
    <t xml:space="preserve">1468 </t>
  </si>
  <si>
    <t>https://www.oreht.ru/modules.php?name=orehtPriceLS&amp;op=Search&amp;page=1&amp;stext=107957</t>
  </si>
  <si>
    <t>Эл. бритва "Агидель-21"</t>
  </si>
  <si>
    <t xml:space="preserve">1469 </t>
  </si>
  <si>
    <t>https://www.oreht.ru/modules.php?name=orehtPriceLS&amp;op=Search&amp;page=1&amp;stext=458851</t>
  </si>
  <si>
    <t>Электрическая зубная щетка DR.BEI BET-C01 Sonic Electric Toothbrush белая</t>
  </si>
  <si>
    <t xml:space="preserve">1471 </t>
  </si>
  <si>
    <t>https://www.oreht.ru/modules.php?name=orehtPriceLS&amp;op=Search&amp;page=1&amp;stext=458853</t>
  </si>
  <si>
    <t>Электрическая зубная щетка DR.BEI DR.BEI C1 Sonic Electric Toothbrush розовая</t>
  </si>
  <si>
    <t>https://www.oreht.ru/modules.php?name=orehtPriceLS&amp;op=Search&amp;page=1&amp;stext=460965</t>
  </si>
  <si>
    <t>Galaxy LINE GL 8011 (12шт) Увлажнитель воздуха ультразвуковой ,35 Вт, съемный резервуар для воды объ</t>
  </si>
  <si>
    <t xml:space="preserve">1472 </t>
  </si>
  <si>
    <t>https://www.oreht.ru/modules.php?name=orehtPriceLS&amp;op=Search&amp;page=1&amp;stext=438610</t>
  </si>
  <si>
    <t>Плита элек. WILLMARK НS-215Т (2 спир конф.*145 mm/1000Вт.,150*1500Вт, корп из нерж стали, черный)</t>
  </si>
  <si>
    <t>https://www.oreht.ru/modules.php?name=orehtPriceLS&amp;op=Search&amp;page=1&amp;stext=327641</t>
  </si>
  <si>
    <t>Кронштейн "Holder" - LCD-5519-B</t>
  </si>
  <si>
    <t xml:space="preserve">1481 </t>
  </si>
  <si>
    <t>https://www.oreht.ru/modules.php?name=orehtPriceLS&amp;op=Search&amp;page=1&amp;stext=358017</t>
  </si>
  <si>
    <t>Блендер (набор) econ ECO-431HB</t>
  </si>
  <si>
    <t xml:space="preserve">1486 </t>
  </si>
  <si>
    <t>https://www.oreht.ru/modules.php?name=orehtPriceLS&amp;op=Search&amp;page=1&amp;stext=295125</t>
  </si>
  <si>
    <t>Фен Vitek VT-8212</t>
  </si>
  <si>
    <t xml:space="preserve">1490 </t>
  </si>
  <si>
    <t>https://www.oreht.ru/modules.php?name=orehtPriceLS&amp;op=Search&amp;page=1&amp;stext=432683</t>
  </si>
  <si>
    <t>Автопроигрыватель MP3 MYSTERY MAR-288UC</t>
  </si>
  <si>
    <t xml:space="preserve">1492 </t>
  </si>
  <si>
    <t>https://www.oreht.ru/modules.php?name=orehtPriceLS&amp;op=Search&amp;page=1&amp;stext=411911</t>
  </si>
  <si>
    <t>Портативное Аудио SUPRA BTS-655</t>
  </si>
  <si>
    <t xml:space="preserve">1491 </t>
  </si>
  <si>
    <t>https://www.oreht.ru/modules.php?name=orehtPriceLS&amp;op=Search&amp;page=1&amp;stext=283416</t>
  </si>
  <si>
    <t>Блендер погружной Maxwell MW-1172 (W)</t>
  </si>
  <si>
    <t xml:space="preserve">1499 </t>
  </si>
  <si>
    <t>https://www.oreht.ru/modules.php?name=orehtPriceLS&amp;op=Search&amp;page=1&amp;stext=212298</t>
  </si>
  <si>
    <t>Утюг Maxwell MW-3047 (BN)</t>
  </si>
  <si>
    <t xml:space="preserve">1501 </t>
  </si>
  <si>
    <t>https://www.oreht.ru/modules.php?name=orehtPriceLS&amp;op=Search&amp;page=1&amp;stext=262427</t>
  </si>
  <si>
    <t>Бритва Бердск 3232</t>
  </si>
  <si>
    <t xml:space="preserve">1502 </t>
  </si>
  <si>
    <t>https://www.oreht.ru/modules.php?name=orehtPriceLS&amp;op=Search&amp;page=1&amp;stext=449194</t>
  </si>
  <si>
    <t>Блендер стационарный Galaxy GL 2154 450 Вт,</t>
  </si>
  <si>
    <t>https://www.oreht.ru/modules.php?name=orehtPriceLS&amp;op=Search&amp;page=1&amp;stext=360108</t>
  </si>
  <si>
    <t>Кронштейн для LED/LCD телевизоров Kromax TECHNO-1 grey, 12 шт./уп. (20062)</t>
  </si>
  <si>
    <t xml:space="preserve">1504 </t>
  </si>
  <si>
    <t>https://www.oreht.ru/modules.php?name=orehtPriceLS&amp;op=Search&amp;page=1&amp;stext=424548</t>
  </si>
  <si>
    <t>Озонатор SYO05 "Аксион"</t>
  </si>
  <si>
    <t xml:space="preserve">1505 </t>
  </si>
  <si>
    <t>https://www.oreht.ru/modules.php?name=orehtPriceLS&amp;op=Search&amp;page=1&amp;stext=377845</t>
  </si>
  <si>
    <t>Кронштейн для LED/LCD телевизоров Kromax ATLANTIS-15 white, 5 шт./уп. (20222)</t>
  </si>
  <si>
    <t xml:space="preserve">1506 </t>
  </si>
  <si>
    <t>https://www.oreht.ru/modules.php?name=orehtPriceLS&amp;op=Search&amp;page=1&amp;stext=393099</t>
  </si>
  <si>
    <t>Чайник Vitek VT-7057</t>
  </si>
  <si>
    <t xml:space="preserve">1507 </t>
  </si>
  <si>
    <t>https://www.oreht.ru/modules.php?name=orehtPriceLS&amp;op=Search&amp;page=1&amp;stext=381722</t>
  </si>
  <si>
    <t>Блендер DELTA LUX DL-7039B красный, 800Вт., регул.скорости "Турбо", стакан, венчик, измельчитель</t>
  </si>
  <si>
    <t xml:space="preserve">1509 </t>
  </si>
  <si>
    <t>https://www.oreht.ru/modules.php?name=orehtPriceLS&amp;op=Search&amp;page=1&amp;stext=442630</t>
  </si>
  <si>
    <t>Сушилка для овощей и фруктов "DELTA" DL-6890, 250Вт., обьем 8л, 5 секций (белая с серым)</t>
  </si>
  <si>
    <t xml:space="preserve">1513 </t>
  </si>
  <si>
    <t>https://www.oreht.ru/modules.php?name=orehtPriceLS&amp;op=Search&amp;page=1&amp;stext=460964</t>
  </si>
  <si>
    <t>Galaxy LINE GL 2121 СЕРЫЙ (8шт) Блендерный набор 800Вт, мотор с низким уровнем шума , четырехлопастн</t>
  </si>
  <si>
    <t xml:space="preserve">1516 </t>
  </si>
  <si>
    <t>https://www.oreht.ru/modules.php?name=orehtPriceLS&amp;op=Search&amp;page=1&amp;stext=380723</t>
  </si>
  <si>
    <t>SC-HM40B03 Миксер с чашей (белый)</t>
  </si>
  <si>
    <t xml:space="preserve">1522 </t>
  </si>
  <si>
    <t>https://www.oreht.ru/modules.php?name=orehtPriceLS&amp;op=Search&amp;page=1&amp;stext=378361</t>
  </si>
  <si>
    <t>Блендер DELTA LUX DL-7039B черный, 800Вт., регул.скорости "Турбо", стакан, венчик, измельчитель</t>
  </si>
  <si>
    <t xml:space="preserve">1518 </t>
  </si>
  <si>
    <t>https://www.oreht.ru/modules.php?name=orehtPriceLS&amp;op=Search&amp;page=1&amp;stext=334059</t>
  </si>
  <si>
    <t>Кронштейн "Holder" - LCD-T4925-B</t>
  </si>
  <si>
    <t xml:space="preserve">1524 </t>
  </si>
  <si>
    <t>https://www.oreht.ru/modules.php?name=orehtPriceLS&amp;op=Search&amp;page=1&amp;stext=285194</t>
  </si>
  <si>
    <t>Портативное аудио MYSTERY MBA-613UB Black/Red</t>
  </si>
  <si>
    <t xml:space="preserve">1526 </t>
  </si>
  <si>
    <t>https://www.oreht.ru/modules.php?name=orehtPriceLS&amp;op=Search&amp;page=1&amp;stext=442099</t>
  </si>
  <si>
    <t>Утюг Maxwell MW-3007</t>
  </si>
  <si>
    <t>https://www.oreht.ru/modules.php?name=orehtPriceLS&amp;op=Search&amp;page=1&amp;stext=307430</t>
  </si>
  <si>
    <t>Чайник Galaxy GL 0307 Белый</t>
  </si>
  <si>
    <t xml:space="preserve">1534 </t>
  </si>
  <si>
    <t>https://www.oreht.ru/modules.php?name=orehtPriceLS&amp;op=Search&amp;page=1&amp;stext=421026</t>
  </si>
  <si>
    <t>Чайник BQ KT1824S Черный Графит</t>
  </si>
  <si>
    <t>https://www.oreht.ru/modules.php?name=orehtPriceLS&amp;op=Search&amp;page=1&amp;stext=300142</t>
  </si>
  <si>
    <t>Фен Vitek VT-8211 (BN)</t>
  </si>
  <si>
    <t xml:space="preserve">1536 </t>
  </si>
  <si>
    <t>https://www.oreht.ru/modules.php?name=orehtPriceLS&amp;op=Search&amp;page=1&amp;stext=360103</t>
  </si>
  <si>
    <t>Кронштейн для LED/LCD телевизоров Kromax STAR-44 grey, 6 шт./уп. (20162)</t>
  </si>
  <si>
    <t xml:space="preserve">1538 </t>
  </si>
  <si>
    <t>https://www.oreht.ru/modules.php?name=orehtPriceLS&amp;op=Search&amp;page=1&amp;stext=375453</t>
  </si>
  <si>
    <t>Фен econ ECO-BH222D</t>
  </si>
  <si>
    <t>https://www.oreht.ru/modules.php?name=orehtPriceLS&amp;op=Search&amp;page=1&amp;stext=290378</t>
  </si>
  <si>
    <t>Утюг Vitek VT-8307</t>
  </si>
  <si>
    <t xml:space="preserve">1542 </t>
  </si>
  <si>
    <t>https://www.oreht.ru/modules.php?name=orehtPriceLS&amp;op=Search&amp;page=1&amp;stext=435289</t>
  </si>
  <si>
    <t>Чайники (стекло)/SUPRA KES-1871G</t>
  </si>
  <si>
    <t xml:space="preserve">1545 </t>
  </si>
  <si>
    <t>https://www.oreht.ru/modules.php?name=orehtPriceLS&amp;op=Search&amp;page=1&amp;stext=442899</t>
  </si>
  <si>
    <t>Блендерный набор Vitek VT-8534</t>
  </si>
  <si>
    <t xml:space="preserve">1550 </t>
  </si>
  <si>
    <t>https://www.oreht.ru/modules.php?name=orehtPriceLS&amp;op=Search&amp;page=1&amp;stext=446852</t>
  </si>
  <si>
    <t>Электрический чайник teXet TSK-01S цвет чёрный</t>
  </si>
  <si>
    <t>https://www.oreht.ru/modules.php?name=orehtPriceLS&amp;op=Search&amp;page=1&amp;stext=455441</t>
  </si>
  <si>
    <t>Утюг Centek CT-2346 (красный) 3000Вт, МОЩНЫЙ ПАРОВОЙ УДАР, керамическая подошва, самоочистка, 380мл</t>
  </si>
  <si>
    <t xml:space="preserve">1652 </t>
  </si>
  <si>
    <t>https://www.oreht.ru/modules.php?name=orehtPriceLS&amp;op=Search&amp;page=1&amp;stext=419535</t>
  </si>
  <si>
    <t>T-CH1.2-A11 Инфракрасный обогреватель Timberk (1,2 кВт.), серый</t>
  </si>
  <si>
    <t xml:space="preserve">1554 </t>
  </si>
  <si>
    <t>https://www.oreht.ru/modules.php?name=orehtPriceLS&amp;op=Search&amp;page=1&amp;stext=446462</t>
  </si>
  <si>
    <t>Планшет графический Xiaomi Mi LCD Writing Tablet 13.5 (BHR4245GL)</t>
  </si>
  <si>
    <t xml:space="preserve">1556 </t>
  </si>
  <si>
    <t>https://www.oreht.ru/modules.php?name=orehtPriceLS&amp;op=Search&amp;page=1&amp;stext=397401</t>
  </si>
  <si>
    <t>Блендер Centek CT-1336 (белый/серый) 800Вт DC мотор, стальная насадка, стакан 600мл, чоппер, венчик</t>
  </si>
  <si>
    <t xml:space="preserve">1585 </t>
  </si>
  <si>
    <t>https://www.oreht.ru/modules.php?name=orehtPriceLS&amp;op=Search&amp;page=1&amp;stext=452496</t>
  </si>
  <si>
    <t>Прибор для выпечки jvc JK-MB025</t>
  </si>
  <si>
    <t xml:space="preserve">1568 </t>
  </si>
  <si>
    <t>https://www.oreht.ru/modules.php?name=orehtPriceLS&amp;op=Search&amp;page=1&amp;stext=444999</t>
  </si>
  <si>
    <t>Сушилка для овощей и фруктов Великие Реки ВР-5</t>
  </si>
  <si>
    <t>https://www.oreht.ru/modules.php?name=orehtPriceLS&amp;op=Search&amp;page=1&amp;stext=435484</t>
  </si>
  <si>
    <t>Щипцы PHSS 2098TTi Tourmaline PROF (POLARIS), Графитовый/золотой</t>
  </si>
  <si>
    <t xml:space="preserve">1569 </t>
  </si>
  <si>
    <t>https://www.oreht.ru/modules.php?name=orehtPriceLS&amp;op=Search&amp;page=1&amp;stext=419142</t>
  </si>
  <si>
    <t>Блендер Centek CT-1348 (Бежевый) 600Вт</t>
  </si>
  <si>
    <t>https://www.oreht.ru/modules.php?name=orehtPriceLS&amp;op=Search&amp;page=1&amp;stext=328503</t>
  </si>
  <si>
    <t>Вентилятор MYSTERY MSF-2446</t>
  </si>
  <si>
    <t xml:space="preserve">1574 </t>
  </si>
  <si>
    <t>https://www.oreht.ru/modules.php?name=orehtPriceLS&amp;op=Search&amp;page=1&amp;stext=262434</t>
  </si>
  <si>
    <t>Бритва Бердск 9М</t>
  </si>
  <si>
    <t xml:space="preserve">1575 </t>
  </si>
  <si>
    <t>https://www.oreht.ru/modules.php?name=orehtPriceLS&amp;op=Search&amp;page=1&amp;stext=444806</t>
  </si>
  <si>
    <t>Фен PHD 2290Ti Tourmaline PROF (POLARIS), Графитовый/золотой</t>
  </si>
  <si>
    <t xml:space="preserve">1625 </t>
  </si>
  <si>
    <t>https://www.oreht.ru/modules.php?name=orehtPriceLS&amp;op=Search&amp;page=1&amp;stext=297301</t>
  </si>
  <si>
    <t>Утюг Galaxy GL 6109</t>
  </si>
  <si>
    <t xml:space="preserve">1579,5 </t>
  </si>
  <si>
    <t>https://www.oreht.ru/modules.php?name=orehtPriceLS&amp;op=Search&amp;page=1&amp;stext=450247</t>
  </si>
  <si>
    <t>SC-EK27G99 Электрический чайник (красный)</t>
  </si>
  <si>
    <t>https://www.oreht.ru/modules.php?name=orehtPriceLS&amp;op=Search&amp;page=1&amp;stext=274899</t>
  </si>
  <si>
    <t>Бритва Бердск 3114</t>
  </si>
  <si>
    <t xml:space="preserve">1582 </t>
  </si>
  <si>
    <t>https://www.oreht.ru/modules.php?name=orehtPriceLS&amp;op=Search&amp;page=1&amp;stext=434763</t>
  </si>
  <si>
    <t>Машинка д/стрижки волос PHC 0501R Flex Motion (POLARIS), серебряный</t>
  </si>
  <si>
    <t xml:space="preserve">1583 </t>
  </si>
  <si>
    <t>https://www.oreht.ru/modules.php?name=orehtPriceLS&amp;op=Search&amp;page=1&amp;stext=397404</t>
  </si>
  <si>
    <t>Блендер Centek CT-1347 Black 800Вт, турбо режим, DC мотор , стакан 600мл+мерн стакан 600мл</t>
  </si>
  <si>
    <t>https://www.oreht.ru/modules.php?name=orehtPriceLS&amp;op=Search&amp;page=1&amp;stext=273398</t>
  </si>
  <si>
    <t>Бритва Бердск 9</t>
  </si>
  <si>
    <t xml:space="preserve">1586 </t>
  </si>
  <si>
    <t>https://www.oreht.ru/modules.php?name=orehtPriceLS&amp;op=Search&amp;page=1&amp;stext=389597</t>
  </si>
  <si>
    <t>SC-EK27G97 Электрический чайник (шоколад)</t>
  </si>
  <si>
    <t xml:space="preserve">1388 </t>
  </si>
  <si>
    <t>https://www.oreht.ru/modules.php?name=orehtPriceLS&amp;op=Search&amp;page=1&amp;stext=444998</t>
  </si>
  <si>
    <t>Чайник Vitek VT-7040</t>
  </si>
  <si>
    <t xml:space="preserve">1589 </t>
  </si>
  <si>
    <t>https://www.oreht.ru/modules.php?name=orehtPriceLS&amp;op=Search&amp;page=1&amp;stext=191808</t>
  </si>
  <si>
    <t>Кронштейн "Holder" - LCD-T6606-B</t>
  </si>
  <si>
    <t xml:space="preserve">1591 </t>
  </si>
  <si>
    <t>https://www.oreht.ru/modules.php?name=orehtPriceLS&amp;op=Search&amp;page=1&amp;stext=262430</t>
  </si>
  <si>
    <t>Бритва Бердск 3340М</t>
  </si>
  <si>
    <t>https://www.oreht.ru/modules.php?name=orehtPriceLS&amp;op=Search&amp;page=1&amp;stext=365371</t>
  </si>
  <si>
    <t>Электрическая бритва Vitek VT-8263</t>
  </si>
  <si>
    <t xml:space="preserve">1593 </t>
  </si>
  <si>
    <t>https://www.oreht.ru/modules.php?name=orehtPriceLS&amp;op=Search&amp;page=1&amp;stext=275791</t>
  </si>
  <si>
    <t>Электрическая бритва Vitek VT-8267 (BN)</t>
  </si>
  <si>
    <t>https://www.oreht.ru/modules.php?name=orehtPriceLS&amp;op=Search&amp;page=1&amp;stext=451710</t>
  </si>
  <si>
    <t>Пушка тепловая ENGY PTC - 2000R арт.015752</t>
  </si>
  <si>
    <t>https://www.oreht.ru/modules.php?name=orehtPriceLS&amp;op=Search&amp;page=1&amp;stext=430691</t>
  </si>
  <si>
    <t>Утюг Maxwell MW-3006</t>
  </si>
  <si>
    <t>https://www.oreht.ru/modules.php?name=orehtPriceLS&amp;op=Search&amp;page=1&amp;stext=328552</t>
  </si>
  <si>
    <t>Портативное аудио MYSTERY MBA-737UB</t>
  </si>
  <si>
    <t xml:space="preserve">1594 </t>
  </si>
  <si>
    <t>https://www.oreht.ru/modules.php?name=orehtPriceLS&amp;op=Search&amp;page=1&amp;stext=289600</t>
  </si>
  <si>
    <t>Электроводонагреватель ЭВБО-55 ЭлБЭТ (душ) (с руч.рег.t)</t>
  </si>
  <si>
    <t xml:space="preserve">1595 </t>
  </si>
  <si>
    <t>https://www.oreht.ru/modules.php?name=orehtPriceLS&amp;op=Search&amp;page=1&amp;stext=303900</t>
  </si>
  <si>
    <t>Тепловентилятор Mystery MСH-1024</t>
  </si>
  <si>
    <t>https://www.oreht.ru/modules.php?name=orehtPriceLS&amp;op=Search&amp;page=1&amp;stext=451699</t>
  </si>
  <si>
    <t>Фен Galaxy LINE GL 4333</t>
  </si>
  <si>
    <t xml:space="preserve">1603 </t>
  </si>
  <si>
    <t>https://www.oreht.ru/modules.php?name=orehtPriceLS&amp;op=Search&amp;page=1&amp;stext=462207</t>
  </si>
  <si>
    <t>Бритва Бердск 3342</t>
  </si>
  <si>
    <t xml:space="preserve">1607 </t>
  </si>
  <si>
    <t>https://www.oreht.ru/modules.php?name=orehtPriceLS&amp;op=Search&amp;page=1&amp;stext=459388</t>
  </si>
  <si>
    <t>Тостер jvc JK-TS722</t>
  </si>
  <si>
    <t>https://www.oreht.ru/modules.php?name=orehtPriceLS&amp;op=Search&amp;page=1&amp;stext=285197</t>
  </si>
  <si>
    <t>Портативное аудио MYSTERY MBA-733UB</t>
  </si>
  <si>
    <t xml:space="preserve">1612 </t>
  </si>
  <si>
    <t>https://www.oreht.ru/modules.php?name=orehtPriceLS&amp;op=Search&amp;page=1&amp;stext=384390</t>
  </si>
  <si>
    <t>Радиоприемник "Сигнал РП-233BT", УКВ64-108МГц,СВ,КВ,бат.2*R20,220V,BT/USB/TF/AUX, 6 мм шайба</t>
  </si>
  <si>
    <t xml:space="preserve">1613 </t>
  </si>
  <si>
    <t>https://www.oreht.ru/modules.php?name=orehtPriceLS&amp;op=Search&amp;page=1&amp;stext=408671</t>
  </si>
  <si>
    <t>Утюг Maxwell MW-3058</t>
  </si>
  <si>
    <t>https://www.oreht.ru/modules.php?name=orehtPriceLS&amp;op=Search&amp;page=1&amp;stext=107956</t>
  </si>
  <si>
    <t>Эл. бритва "Агидель-16АС"</t>
  </si>
  <si>
    <t xml:space="preserve">1618 </t>
  </si>
  <si>
    <t>https://www.oreht.ru/modules.php?name=orehtPriceLS&amp;op=Search&amp;page=1&amp;stext=381728</t>
  </si>
  <si>
    <t>Блендер DELTA LUX DE-7004B черный, 1000Вт., регул.скорости, "Турбо", стакан, венчик, измельчитель</t>
  </si>
  <si>
    <t xml:space="preserve">1621 </t>
  </si>
  <si>
    <t>https://www.oreht.ru/modules.php?name=orehtPriceLS&amp;op=Search&amp;page=1&amp;stext=419192</t>
  </si>
  <si>
    <t>Тостер Centek СТ-1432 WHITE 850Вт, 7 ур. прожарки, 2 тоста, поддон, стоп, подогрев, разморозка</t>
  </si>
  <si>
    <t xml:space="preserve">1622 </t>
  </si>
  <si>
    <t>https://www.oreht.ru/modules.php?name=orehtPriceLS&amp;op=Search&amp;page=1&amp;stext=419183</t>
  </si>
  <si>
    <t>Вафельница Centek CT-1449 1000Вт Вафли- венские, 5 сердец , анти пригар покрытие, 220 С</t>
  </si>
  <si>
    <t xml:space="preserve">1631 </t>
  </si>
  <si>
    <t>https://www.oreht.ru/modules.php?name=orehtPriceLS&amp;op=Search&amp;page=1&amp;stext=159918</t>
  </si>
  <si>
    <t>Эл. бритва "Агидель-17АС"</t>
  </si>
  <si>
    <t xml:space="preserve">1632 </t>
  </si>
  <si>
    <t>https://www.oreht.ru/modules.php?name=orehtPriceLS&amp;op=Search&amp;page=1&amp;stext=417900</t>
  </si>
  <si>
    <t>H-FH1.5-F11MC Тепловентилятор настольный Hyundai (1.5 кВт., м/к), серебряный</t>
  </si>
  <si>
    <t>https://www.oreht.ru/modules.php?name=orehtPriceLS&amp;op=Search&amp;page=1&amp;stext=129918</t>
  </si>
  <si>
    <t>Комплект предохранительных колпачков (100 шт.)</t>
  </si>
  <si>
    <t xml:space="preserve">1648 </t>
  </si>
  <si>
    <t>https://www.oreht.ru/modules.php?name=orehtPriceLS&amp;op=Search&amp;page=1&amp;stext=458717</t>
  </si>
  <si>
    <t>Пылесос вертикальный econ ECO-1041VC</t>
  </si>
  <si>
    <t xml:space="preserve">1651 </t>
  </si>
  <si>
    <t>https://www.oreht.ru/modules.php?name=orehtPriceLS&amp;op=Search&amp;page=1&amp;stext=237182</t>
  </si>
  <si>
    <t>Проводной телефон Panasonic KX-TS2352RUB</t>
  </si>
  <si>
    <t>https://www.oreht.ru/modules.php?name=orehtPriceLS&amp;op=Search&amp;page=1&amp;stext=449279</t>
  </si>
  <si>
    <t>SC-HB42F56 Кухонный процессор-блендер (черный с серебром)</t>
  </si>
  <si>
    <t xml:space="preserve">1665 </t>
  </si>
  <si>
    <t>https://www.oreht.ru/modules.php?name=orehtPriceLS&amp;op=Search&amp;page=1&amp;stext=458367</t>
  </si>
  <si>
    <t>SC-TM11032 Тостер на два ломтика (белый)</t>
  </si>
  <si>
    <t xml:space="preserve">1666 </t>
  </si>
  <si>
    <t>https://www.oreht.ru/modules.php?name=orehtPriceLS&amp;op=Search&amp;page=1&amp;stext=107960</t>
  </si>
  <si>
    <t>Эл. бритва "Агидель-3С"</t>
  </si>
  <si>
    <t xml:space="preserve">1677 </t>
  </si>
  <si>
    <t>https://www.oreht.ru/modules.php?name=orehtPriceLS&amp;op=Search&amp;page=1&amp;stext=463145</t>
  </si>
  <si>
    <t>Тостер jvc JK-TS624</t>
  </si>
  <si>
    <t xml:space="preserve">1678 </t>
  </si>
  <si>
    <t>https://www.oreht.ru/modules.php?name=orehtPriceLS&amp;op=Search&amp;page=1&amp;stext=432803</t>
  </si>
  <si>
    <t>SC-EK27G94 Электрический чайник (сталь)</t>
  </si>
  <si>
    <t>https://www.oreht.ru/modules.php?name=orehtPriceLS&amp;op=Search&amp;page=1&amp;stext=407640</t>
  </si>
  <si>
    <t>Электрощипцы Vitek VT-2521</t>
  </si>
  <si>
    <t xml:space="preserve">1680 </t>
  </si>
  <si>
    <t>https://www.oreht.ru/modules.php?name=orehtPriceLS&amp;op=Search&amp;page=1&amp;stext=301333</t>
  </si>
  <si>
    <t>Чайник электрический PWK 1751CA Матовый "Polaris"</t>
  </si>
  <si>
    <t>https://www.oreht.ru/modules.php?name=orehtPriceLS&amp;op=Search&amp;page=1&amp;stext=119298</t>
  </si>
  <si>
    <t>Электроплита "МЕЧТА-111Т" (аналог 20)</t>
  </si>
  <si>
    <t xml:space="preserve">1681 </t>
  </si>
  <si>
    <t>https://www.oreht.ru/modules.php?name=orehtPriceLS&amp;op=Search&amp;page=1&amp;stext=342072</t>
  </si>
  <si>
    <t>Портативное аудио MYSTERY MBA-739UB blue</t>
  </si>
  <si>
    <t xml:space="preserve">1682 </t>
  </si>
  <si>
    <t>https://www.oreht.ru/modules.php?name=orehtPriceLS&amp;op=Search&amp;page=1&amp;stext=442623</t>
  </si>
  <si>
    <t>Вентилятор напольный Ballu BFF-806 grey</t>
  </si>
  <si>
    <t xml:space="preserve">1690 </t>
  </si>
  <si>
    <t>https://www.oreht.ru/modules.php?name=orehtPriceLS&amp;op=Search&amp;page=1&amp;stext=213244</t>
  </si>
  <si>
    <t>Чайник Vitek VT-7033</t>
  </si>
  <si>
    <t xml:space="preserve">1691 </t>
  </si>
  <si>
    <t>https://www.oreht.ru/modules.php?name=orehtPriceLS&amp;op=Search&amp;page=1&amp;stext=390286</t>
  </si>
  <si>
    <t>Блендер настольный Maxwell MW-1176</t>
  </si>
  <si>
    <t xml:space="preserve">1698 </t>
  </si>
  <si>
    <t>https://www.oreht.ru/modules.php?name=orehtPriceLS&amp;op=Search&amp;page=1&amp;stext=336755</t>
  </si>
  <si>
    <t>Бритва Бердск 3365АC</t>
  </si>
  <si>
    <t>https://www.oreht.ru/modules.php?name=orehtPriceLS&amp;op=Search&amp;page=1&amp;stext=449497</t>
  </si>
  <si>
    <t>Блендер (набор) National NK-HB1227</t>
  </si>
  <si>
    <t xml:space="preserve">1706 </t>
  </si>
  <si>
    <t>https://www.oreht.ru/modules.php?name=orehtPriceLS&amp;op=Search&amp;page=1&amp;stext=424524</t>
  </si>
  <si>
    <t>Автопроигрыватели MP3 MYSTERY MAR-464BT</t>
  </si>
  <si>
    <t>https://www.oreht.ru/modules.php?name=orehtPriceLS&amp;op=Search&amp;page=1&amp;stext=135357</t>
  </si>
  <si>
    <t>Утюг Vitek VT-1201</t>
  </si>
  <si>
    <t>https://www.oreht.ru/modules.php?name=orehtPriceLS&amp;op=Search&amp;page=1&amp;stext=213236</t>
  </si>
  <si>
    <t>Утюг Vitek VT-1246</t>
  </si>
  <si>
    <t xml:space="preserve">1711 </t>
  </si>
  <si>
    <t>https://www.oreht.ru/modules.php?name=orehtPriceLS&amp;op=Search&amp;page=1&amp;stext=335098</t>
  </si>
  <si>
    <t>SC-WM11901 Вафельница (сталь с черным)</t>
  </si>
  <si>
    <t xml:space="preserve">1713 </t>
  </si>
  <si>
    <t>https://www.oreht.ru/modules.php?name=orehtPriceLS&amp;op=Search&amp;page=1&amp;stext=445585</t>
  </si>
  <si>
    <t>Кофемолка "Аксион" КМ-22 (черная/дымчатая) пр-во Россия</t>
  </si>
  <si>
    <t xml:space="preserve">1719 </t>
  </si>
  <si>
    <t>https://www.oreht.ru/modules.php?name=orehtPriceLS&amp;op=Search&amp;page=1&amp;stext=365706</t>
  </si>
  <si>
    <t>Поттер OPTIMA AP-303R (3,0л, 3 сп. налива воды, 800W)</t>
  </si>
  <si>
    <t>https://www.oreht.ru/modules.php?name=orehtPriceLS&amp;op=Search&amp;page=1&amp;stext=297307</t>
  </si>
  <si>
    <t>Утюг Galaxy GL 6118</t>
  </si>
  <si>
    <t xml:space="preserve">1722,2 </t>
  </si>
  <si>
    <t>https://www.oreht.ru/modules.php?name=orehtPriceLS&amp;op=Search&amp;page=1&amp;stext=453528</t>
  </si>
  <si>
    <t>Триммер для бороды Rowenta TN2300F1</t>
  </si>
  <si>
    <t xml:space="preserve">1724 </t>
  </si>
  <si>
    <t>https://www.oreht.ru/modules.php?name=orehtPriceLS&amp;op=Search&amp;page=1&amp;stext=304659</t>
  </si>
  <si>
    <t>Тепловентилятор ПАРМА ТВК-3000 (220 В, 1,5/3,0 кВт, керамика, цилиндр)</t>
  </si>
  <si>
    <t>https://www.oreht.ru/modules.php?name=orehtPriceLS&amp;op=Search&amp;page=1&amp;stext=301298</t>
  </si>
  <si>
    <t>Миксер электрический PHM 5009A Черный POLARIS</t>
  </si>
  <si>
    <t xml:space="preserve">1737 </t>
  </si>
  <si>
    <t>https://www.oreht.ru/modules.php?name=orehtPriceLS&amp;op=Search&amp;page=1&amp;stext=462206</t>
  </si>
  <si>
    <t>Бритва Бердск 3341</t>
  </si>
  <si>
    <t xml:space="preserve">1738 </t>
  </si>
  <si>
    <t>https://www.oreht.ru/modules.php?name=orehtPriceLS&amp;op=Search&amp;page=1&amp;stext=91821</t>
  </si>
  <si>
    <t>Тепловентилятор ТВК-1 (1,8кВт)</t>
  </si>
  <si>
    <t xml:space="preserve">1850 </t>
  </si>
  <si>
    <t>https://www.oreht.ru/modules.php?name=orehtPriceLS&amp;op=Search&amp;page=1&amp;stext=264605</t>
  </si>
  <si>
    <t>Кофеварка VITEK VT-1528 BK</t>
  </si>
  <si>
    <t xml:space="preserve">1742 </t>
  </si>
  <si>
    <t>https://www.oreht.ru/modules.php?name=orehtPriceLS&amp;op=Search&amp;page=1&amp;stext=386893</t>
  </si>
  <si>
    <t>Чайник Vitek VT-7053</t>
  </si>
  <si>
    <t>https://www.oreht.ru/modules.php?name=orehtPriceLS&amp;op=Search&amp;page=1&amp;stext=406621</t>
  </si>
  <si>
    <t>Вентилятор напольный Centek CT-5015 Gray, 40Вт, (LED, 43см, 1.25м, 3 скорости, автоповорот)</t>
  </si>
  <si>
    <t xml:space="preserve">1743 </t>
  </si>
  <si>
    <t>https://www.oreht.ru/modules.php?name=orehtPriceLS&amp;op=Search&amp;page=1&amp;stext=325151</t>
  </si>
  <si>
    <t>Чайник Vitek VT-7007</t>
  </si>
  <si>
    <t xml:space="preserve">1746 </t>
  </si>
  <si>
    <t>https://www.oreht.ru/modules.php?name=orehtPriceLS&amp;op=Search&amp;page=1&amp;stext=458724</t>
  </si>
  <si>
    <t>Кофеварка jvc JK-CF27</t>
  </si>
  <si>
    <t>https://www.oreht.ru/modules.php?name=orehtPriceLS&amp;op=Search&amp;page=1&amp;stext=112773</t>
  </si>
  <si>
    <t>SC-HB42F05 Блендер</t>
  </si>
  <si>
    <t>https://www.oreht.ru/modules.php?name=orehtPriceLS&amp;op=Search&amp;page=1&amp;stext=407955</t>
  </si>
  <si>
    <t>Минисистема SUPRA SBM-330</t>
  </si>
  <si>
    <t xml:space="preserve">1756 </t>
  </si>
  <si>
    <t>https://www.oreht.ru/modules.php?name=orehtPriceLS&amp;op=Search&amp;page=1&amp;stext=385686</t>
  </si>
  <si>
    <t>SC-HS60699 Щипцы для волос (розовый)</t>
  </si>
  <si>
    <t>https://www.oreht.ru/modules.php?name=orehtPriceLS&amp;op=Search&amp;page=1&amp;stext=445000</t>
  </si>
  <si>
    <t>Сушилка для овощей и фруктов "Мастерица" EFD-0501M белая</t>
  </si>
  <si>
    <t xml:space="preserve">1762 </t>
  </si>
  <si>
    <t>https://www.oreht.ru/modules.php?name=orehtPriceLS&amp;op=Search&amp;page=1&amp;stext=432687</t>
  </si>
  <si>
    <t>Автопроигрыватели MP3 MYSTERY MAR-878UC</t>
  </si>
  <si>
    <t xml:space="preserve">1763 </t>
  </si>
  <si>
    <t>https://www.oreht.ru/modules.php?name=orehtPriceLS&amp;op=Search&amp;page=1&amp;stext=397107</t>
  </si>
  <si>
    <t>Автопроигрыватель MP3 Mystery MAR-414BT</t>
  </si>
  <si>
    <t>https://www.oreht.ru/modules.php?name=orehtPriceLS&amp;op=Search&amp;page=1&amp;stext=428704</t>
  </si>
  <si>
    <t>Чайник электрический Нева-7, стекло (2,0л.) Великие Реки</t>
  </si>
  <si>
    <t xml:space="preserve">1764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</si>
</sst>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??_-;_-@"/>
    <numFmt numFmtId="165" formatCode="0.0"/>
  </numFmts>
  <fonts count="7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8"/>
      <color rgb="FF000000"/>
      <name val="Arial"/>
      <family val="2"/>
      <charset val="204"/>
    </font>
    <font>
      <sz val="11"/>
      <name val="Calibri"/>
      <family val="2"/>
      <charset val="204"/>
    </font>
    <font>
      <sz val="10"/>
      <color rgb="FF000000"/>
      <name val="Arial"/>
      <family val="2"/>
      <charset val="204"/>
    </font>
    <font>
      <sz val="11"/>
      <color theme="1"/>
      <name val="Calibri"/>
      <family val="2"/>
      <charset val="204"/>
    </font>
    <font>
      <sz val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fill" vertical="distributed"/>
    </xf>
    <xf numFmtId="0" fontId="1" fillId="0" borderId="0" xfId="1" applyAlignment="1">
      <alignment horizontal="fill" vertical="distributed"/>
    </xf>
    <xf numFmtId="0" fontId="0" fillId="0" borderId="0" xfId="0" applyNumberFormat="1"/>
    <xf numFmtId="49" fontId="0" fillId="0" borderId="0" xfId="0" applyNumberFormat="1"/>
    <xf numFmtId="0" fontId="4" fillId="0" borderId="1" xfId="0" applyFont="1" applyFill="1" applyBorder="1" applyAlignment="1">
      <alignment horizontal="center" vertical="center" wrapText="1"/>
    </xf>
    <xf numFmtId="1" fontId="0" fillId="0" borderId="1" xfId="0" applyNumberFormat="1" applyBorder="1"/>
    <xf numFmtId="0" fontId="4" fillId="0" borderId="1" xfId="0" applyFont="1" applyBorder="1"/>
    <xf numFmtId="10" fontId="4" fillId="0" borderId="1" xfId="0" applyNumberFormat="1" applyFont="1" applyBorder="1"/>
    <xf numFmtId="0" fontId="4" fillId="0" borderId="1" xfId="0" applyFont="1" applyBorder="1" applyAlignment="1">
      <alignment wrapText="1"/>
    </xf>
    <xf numFmtId="0" fontId="0" fillId="0" borderId="1" xfId="0" applyBorder="1"/>
    <xf numFmtId="9" fontId="4" fillId="0" borderId="1" xfId="0" applyNumberFormat="1" applyFont="1" applyBorder="1" applyAlignment="1">
      <alignment horizontal="center" vertical="center" wrapText="1"/>
    </xf>
    <xf numFmtId="9" fontId="4" fillId="2" borderId="1" xfId="0" applyNumberFormat="1" applyFont="1" applyFill="1" applyBorder="1"/>
    <xf numFmtId="10" fontId="4" fillId="2" borderId="1" xfId="0" applyNumberFormat="1" applyFont="1" applyFill="1" applyBorder="1"/>
    <xf numFmtId="164" fontId="5" fillId="2" borderId="1" xfId="0" applyNumberFormat="1" applyFont="1" applyFill="1" applyBorder="1"/>
    <xf numFmtId="0" fontId="4" fillId="0" borderId="1" xfId="0" applyFont="1" applyBorder="1" applyAlignment="1">
      <alignment horizontal="center" vertical="center" wrapText="1"/>
    </xf>
    <xf numFmtId="10" fontId="4" fillId="0" borderId="1" xfId="0" applyNumberFormat="1" applyFont="1" applyBorder="1" applyAlignment="1">
      <alignment horizontal="center" vertical="center" wrapText="1"/>
    </xf>
    <xf numFmtId="9" fontId="4" fillId="0" borderId="1" xfId="0" applyNumberFormat="1" applyFont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9" fontId="4" fillId="0" borderId="1" xfId="0" applyNumberFormat="1" applyFont="1" applyBorder="1" applyAlignment="1">
      <alignment wrapText="1"/>
    </xf>
    <xf numFmtId="9" fontId="0" fillId="0" borderId="1" xfId="0" applyNumberFormat="1" applyBorder="1"/>
    <xf numFmtId="9" fontId="4" fillId="0" borderId="1" xfId="0" applyNumberFormat="1" applyFont="1" applyFill="1" applyBorder="1" applyAlignment="1">
      <alignment horizontal="center" vertical="center" wrapText="1"/>
    </xf>
    <xf numFmtId="9" fontId="0" fillId="0" borderId="0" xfId="0" applyNumberFormat="1"/>
    <xf numFmtId="165" fontId="0" fillId="0" borderId="0" xfId="0" applyNumberFormat="1"/>
    <xf numFmtId="165" fontId="4" fillId="0" borderId="1" xfId="0" applyNumberFormat="1" applyFont="1" applyBorder="1" applyAlignment="1">
      <alignment vertical="center" wrapText="1"/>
    </xf>
    <xf numFmtId="165" fontId="4" fillId="0" borderId="1" xfId="0" applyNumberFormat="1" applyFont="1" applyBorder="1"/>
    <xf numFmtId="165" fontId="4" fillId="2" borderId="1" xfId="0" applyNumberFormat="1" applyFont="1" applyFill="1" applyBorder="1"/>
    <xf numFmtId="165" fontId="4" fillId="0" borderId="1" xfId="0" applyNumberFormat="1" applyFont="1" applyBorder="1" applyAlignment="1">
      <alignment horizontal="center" vertical="center" wrapText="1"/>
    </xf>
    <xf numFmtId="165" fontId="5" fillId="0" borderId="1" xfId="0" applyNumberFormat="1" applyFont="1" applyBorder="1"/>
    <xf numFmtId="165" fontId="4" fillId="3" borderId="1" xfId="0" applyNumberFormat="1" applyFont="1" applyFill="1" applyBorder="1" applyAlignment="1">
      <alignment horizontal="center" vertical="center" wrapText="1"/>
    </xf>
    <xf numFmtId="165" fontId="4" fillId="0" borderId="1" xfId="0" applyNumberFormat="1" applyFont="1" applyBorder="1" applyAlignment="1">
      <alignment wrapText="1"/>
    </xf>
    <xf numFmtId="165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0" fontId="0" fillId="0" borderId="0" xfId="0" applyAlignment="1">
      <alignment horizontal="center" vertical="distributed"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9" fontId="4" fillId="0" borderId="1" xfId="0" applyNumberFormat="1" applyFont="1" applyBorder="1" applyAlignment="1">
      <alignment horizontal="center"/>
    </xf>
    <xf numFmtId="0" fontId="3" fillId="0" borderId="1" xfId="0" applyFont="1" applyBorder="1"/>
    <xf numFmtId="9" fontId="4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2">
    <cellStyle name="Гиперссылка" xfId="1" builtinId="8"/>
    <cellStyle name="Обычный" xfId="0" builtinId="0"/>
  </cellStyles>
  <dxfs count="5">
    <dxf>
      <alignment horizontal="fill" vertical="distributed" textRotation="0" wrapText="0" indent="0" justifyLastLine="0" shrinkToFit="0" readingOrder="0"/>
    </dxf>
    <dxf>
      <alignment horizontal="fill" vertical="distributed" textRotation="0" wrapText="0" indent="0" justifyLastLine="0" shrinkToFit="0" readingOrder="0"/>
    </dxf>
    <dxf>
      <numFmt numFmtId="30" formatCode="@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000-000000000000}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Код" tableColumnId="1"/>
      <queryTableField id="2" name="Поиск Рехт" tableColumnId="2"/>
      <queryTableField id="3" name="Ссылка" tableColumnId="3"/>
      <queryTableField id="4" name="Наименование" tableColumnId="4"/>
      <queryTableField id="5" name="Цена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1_2" displayName="Таблица1_2" ref="I3:M2561" tableType="queryTable" totalsRowShown="0" headerRowDxfId="4">
  <autoFilter ref="I3:M2561" xr:uid="{DA81BBB1-2477-4A62-BDFC-AE052D3241C3}">
    <filterColumn colId="4">
      <filters blank="1"/>
    </filterColumn>
  </autoFilter>
  <tableColumns count="5">
    <tableColumn id="1" xr3:uid="{A0A91E1C-1919-4598-AAC1-BA11972AA292}" uniqueName="1" name="Код" queryTableFieldId="1"/>
    <tableColumn id="2" xr3:uid="{12858F89-41EC-4521-8FF8-FB045B60DABD}" uniqueName="2" name="Поиск Рехт" queryTableFieldId="2"/>
    <tableColumn id="3" xr3:uid="{0452CB97-6F58-464E-9DDC-6E477FADB1B9}" uniqueName="3" name="Ссылка" queryTableFieldId="3"/>
    <tableColumn id="4" xr3:uid="{B28948C5-FACD-4BBD-AEA7-D8C10F0EB464}" uniqueName="4" name="Наименование" queryTableFieldId="4"/>
    <tableColumn id="5" xr3:uid="{E4904770-EAB2-46C8-9CCC-D7D7DAC55908}" uniqueName="5" name="Цена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Таблица1" displayName="Таблица1" ref="E3:G2561" totalsRowShown="0" headerRowDxfId="3">
  <tableColumns count="3">
    <tableColumn id="1" xr3:uid="{00000000-0010-0000-0100-000001000000}" name="Код" dataDxfId="2"/>
    <tableColumn id="2" xr3:uid="{00000000-0010-0000-0100-000002000000}" name="Поиск Рехт" dataDxfId="1" dataCellStyle="Гиперссылка"/>
    <tableColumn id="3" xr3:uid="{00000000-0010-0000-0100-000003000000}" name="Ссылка" dataDxfId="0" dataCellStyle="Гиперссылка">
      <calculatedColumnFormula>HYPERLINK(F4&amp;E4)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oreht.ru/modules.php?name=orehtPriceLS&amp;op=Search&amp;page=1&amp;stext=" TargetMode="External"/><Relationship Id="rId2" Type="http://schemas.openxmlformats.org/officeDocument/2006/relationships/hyperlink" Target="https://www.oreht.ru/modules.php?name=orehtPriceLS&amp;op=Search&amp;page=1&amp;stext=" TargetMode="External"/><Relationship Id="rId1" Type="http://schemas.openxmlformats.org/officeDocument/2006/relationships/hyperlink" Target="https://www.oreht.ru/modules.php?name=orehtPriceLS&amp;op=Search&amp;page=1&amp;stext=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E2561"/>
  <sheetViews>
    <sheetView tabSelected="1" zoomScale="90" zoomScaleNormal="90" workbookViewId="0">
      <selection activeCell="M211" sqref="M211"/>
    </sheetView>
  </sheetViews>
  <sheetFormatPr defaultRowHeight="15" x14ac:dyDescent="0.25"/>
  <cols>
    <col min="1" max="4" width="10.7109375" style="24" customWidth="1"/>
    <col min="5" max="5" width="7.42578125" style="4" bestFit="1" customWidth="1"/>
    <col min="6" max="6" width="18.42578125" style="1" customWidth="1"/>
    <col min="7" max="7" width="16.7109375" style="1" customWidth="1"/>
    <col min="8" max="8" width="9.140625" hidden="1" customWidth="1"/>
    <col min="9" max="9" width="7" hidden="1" customWidth="1"/>
    <col min="10" max="10" width="78.5703125" hidden="1" customWidth="1"/>
    <col min="11" max="12" width="81.140625" hidden="1" customWidth="1"/>
    <col min="13" max="13" width="7.5703125" bestFit="1" customWidth="1"/>
    <col min="15" max="15" width="9.140625" style="24"/>
    <col min="17" max="17" width="10.42578125" style="24" bestFit="1" customWidth="1"/>
    <col min="19" max="19" width="10.140625" customWidth="1"/>
    <col min="23" max="23" width="10.42578125" style="24" bestFit="1" customWidth="1"/>
    <col min="26" max="26" width="11" style="24" customWidth="1"/>
    <col min="27" max="27" width="10.140625" style="24" bestFit="1" customWidth="1"/>
    <col min="31" max="31" width="9.140625" style="23"/>
  </cols>
  <sheetData>
    <row r="1" spans="1:31" ht="15" customHeight="1" x14ac:dyDescent="0.25">
      <c r="O1" s="40" t="s">
        <v>6</v>
      </c>
      <c r="P1" s="40"/>
      <c r="Q1" s="26"/>
      <c r="R1" s="8"/>
      <c r="S1" s="7"/>
      <c r="T1" s="39">
        <v>1</v>
      </c>
      <c r="U1" s="39"/>
      <c r="V1" s="7"/>
      <c r="W1" s="29"/>
      <c r="X1" s="37">
        <f>1-(100*(1-X2)*(1-Y2))/100</f>
        <v>0.30000000000000004</v>
      </c>
      <c r="Y1" s="38"/>
      <c r="Z1" s="31"/>
      <c r="AA1" s="31"/>
      <c r="AB1" s="9"/>
      <c r="AC1" s="9"/>
      <c r="AD1" s="10"/>
      <c r="AE1" s="21"/>
    </row>
    <row r="2" spans="1:31" ht="15" customHeight="1" x14ac:dyDescent="0.25">
      <c r="O2" s="25"/>
      <c r="P2" s="11"/>
      <c r="Q2" s="27"/>
      <c r="R2" s="13"/>
      <c r="S2" s="12"/>
      <c r="T2" s="12"/>
      <c r="U2" s="14"/>
      <c r="V2" s="12">
        <v>7.0000000000000007E-2</v>
      </c>
      <c r="W2" s="29"/>
      <c r="X2" s="12">
        <v>0.3</v>
      </c>
      <c r="Y2" s="12">
        <v>0</v>
      </c>
      <c r="Z2" s="31"/>
      <c r="AA2" s="31"/>
      <c r="AB2" s="9"/>
      <c r="AC2" s="9"/>
      <c r="AD2" s="10"/>
      <c r="AE2" s="21"/>
    </row>
    <row r="3" spans="1:31" ht="63.75" x14ac:dyDescent="0.25">
      <c r="A3" s="32" t="s">
        <v>25</v>
      </c>
      <c r="B3" s="32" t="s">
        <v>21</v>
      </c>
      <c r="C3" s="32" t="s">
        <v>22</v>
      </c>
      <c r="D3" s="32" t="s">
        <v>26</v>
      </c>
      <c r="E3" s="33" t="s">
        <v>0</v>
      </c>
      <c r="F3" s="34" t="s">
        <v>1</v>
      </c>
      <c r="G3" s="34" t="s">
        <v>3</v>
      </c>
      <c r="H3" s="35"/>
      <c r="I3" s="36" t="s">
        <v>0</v>
      </c>
      <c r="J3" s="36" t="s">
        <v>1</v>
      </c>
      <c r="K3" s="36" t="s">
        <v>3</v>
      </c>
      <c r="L3" s="36" t="s">
        <v>4</v>
      </c>
      <c r="M3" s="36" t="s">
        <v>5</v>
      </c>
      <c r="N3" s="35"/>
      <c r="O3" s="28" t="s">
        <v>7</v>
      </c>
      <c r="P3" s="11" t="s">
        <v>8</v>
      </c>
      <c r="Q3" s="28" t="s">
        <v>8</v>
      </c>
      <c r="R3" s="16" t="s">
        <v>9</v>
      </c>
      <c r="S3" s="15" t="s">
        <v>10</v>
      </c>
      <c r="T3" s="15" t="s">
        <v>11</v>
      </c>
      <c r="U3" s="15" t="s">
        <v>12</v>
      </c>
      <c r="V3" s="15" t="s">
        <v>13</v>
      </c>
      <c r="W3" s="30" t="s">
        <v>14</v>
      </c>
      <c r="X3" s="15" t="s">
        <v>15</v>
      </c>
      <c r="Y3" s="15" t="s">
        <v>16</v>
      </c>
      <c r="Z3" s="28" t="s">
        <v>17</v>
      </c>
      <c r="AA3" s="30" t="s">
        <v>18</v>
      </c>
      <c r="AB3" s="15" t="s">
        <v>19</v>
      </c>
      <c r="AC3" s="15" t="s">
        <v>20</v>
      </c>
      <c r="AD3" s="5" t="s">
        <v>23</v>
      </c>
      <c r="AE3" s="22" t="s">
        <v>24</v>
      </c>
    </row>
    <row r="4" spans="1:31" hidden="1" x14ac:dyDescent="0.25">
      <c r="A4" s="24">
        <f ca="1">IF(W4*0.05&gt;=250,250,IF(W4*0.05&gt;=20,IF(W4*0.05&lt;20,20,W4*0.05),20))</f>
        <v>20</v>
      </c>
      <c r="B4" s="24">
        <v>12</v>
      </c>
      <c r="C4" s="24">
        <v>45</v>
      </c>
      <c r="D4" s="24">
        <v>35</v>
      </c>
      <c r="E4">
        <v>269777</v>
      </c>
      <c r="F4" s="2" t="s">
        <v>2</v>
      </c>
      <c r="G4" s="2" t="str">
        <f t="shared" ref="G4" si="0">HYPERLINK(F4&amp;E4)</f>
        <v>https://www.oreht.ru/modules.php?name=orehtPriceLS&amp;op=Search&amp;page=1&amp;stext=269777</v>
      </c>
      <c r="I4" s="3">
        <v>269777</v>
      </c>
      <c r="J4" s="3" t="s">
        <v>2</v>
      </c>
      <c r="K4" s="3" t="s">
        <v>28</v>
      </c>
      <c r="L4" s="3" t="s">
        <v>29</v>
      </c>
      <c r="M4" s="3" t="s">
        <v>30</v>
      </c>
      <c r="O4" s="26" t="str">
        <f>Таблица1_2[[#This Row],[Цена]]</f>
        <v xml:space="preserve">18,6 </v>
      </c>
      <c r="P4" s="17">
        <v>0.37</v>
      </c>
      <c r="Q4" s="26">
        <f t="shared" ref="Q4" si="1">O4*P4</f>
        <v>6.8820000000000006</v>
      </c>
      <c r="R4" s="8">
        <f t="shared" ref="R4" si="2">B4/100</f>
        <v>0.12</v>
      </c>
      <c r="S4" s="18">
        <f t="shared" ref="S4" ca="1" si="3">W4*R4</f>
        <v>18.399120234604109</v>
      </c>
      <c r="T4" s="18">
        <f t="shared" ref="T4" ca="1" si="4">C4+D4+A4</f>
        <v>100</v>
      </c>
      <c r="U4" s="18">
        <f t="shared" ref="U4" ca="1" si="5">(T4+33)/$T$1-33</f>
        <v>100</v>
      </c>
      <c r="V4" s="18">
        <f t="shared" ref="V4" ca="1" si="6">W4*$V$2</f>
        <v>10.732820136852396</v>
      </c>
      <c r="W4" s="29">
        <f t="shared" ref="W4" ca="1" si="7">(O4+Q4+U4)/(1-R4)/(1-$V$2)</f>
        <v>153.32600195503423</v>
      </c>
      <c r="X4" s="19">
        <f t="shared" ref="X4" ca="1" si="8">Z4*$X$2</f>
        <v>65.71114369501467</v>
      </c>
      <c r="Y4" s="19">
        <f t="shared" ref="Y4" ca="1" si="9">(Z4-X4)*$Y$2</f>
        <v>0</v>
      </c>
      <c r="Z4" s="31">
        <f t="shared" ref="Z4" ca="1" si="10">W4/(1-$X$2)/(1-$Y$2)</f>
        <v>219.0371456500489</v>
      </c>
      <c r="AA4" s="31">
        <f t="shared" ref="AA4" ca="1" si="11">ROUNDUP(Z4,-2)-10</f>
        <v>290</v>
      </c>
      <c r="AB4" s="20">
        <f ca="1">W4/O4</f>
        <v>8.2433334384427006</v>
      </c>
      <c r="AC4" s="20">
        <f t="shared" ref="AC4" ca="1" si="12">Q4/W4</f>
        <v>4.4884754785546932E-2</v>
      </c>
      <c r="AD4" s="6">
        <f t="shared" ref="AD4" ca="1" si="13">W4-V4-U4-S4-O4</f>
        <v>5.5940615835777372</v>
      </c>
      <c r="AE4" s="21">
        <f t="shared" ref="AE4" ca="1" si="14">AD4/O4</f>
        <v>0.30075599911708262</v>
      </c>
    </row>
    <row r="5" spans="1:31" hidden="1" x14ac:dyDescent="0.25">
      <c r="A5" s="24">
        <f t="shared" ref="A5:A68" ca="1" si="15">IF(W5*0.05&gt;=250,250,IF(W5*0.05&gt;=20,IF(W5*0.05&lt;20,20,W5*0.05),20))</f>
        <v>20</v>
      </c>
      <c r="B5" s="24">
        <v>10</v>
      </c>
      <c r="C5" s="24">
        <v>79</v>
      </c>
      <c r="D5" s="24">
        <v>35</v>
      </c>
      <c r="E5">
        <v>415052</v>
      </c>
      <c r="F5" s="2" t="s">
        <v>2</v>
      </c>
      <c r="G5" s="2" t="str">
        <f t="shared" ref="G5:G67" si="16">HYPERLINK(F5&amp;E5)</f>
        <v>https://www.oreht.ru/modules.php?name=orehtPriceLS&amp;op=Search&amp;page=1&amp;stext=415052</v>
      </c>
      <c r="I5">
        <v>415052</v>
      </c>
      <c r="J5" t="s">
        <v>2</v>
      </c>
      <c r="K5" t="s">
        <v>31</v>
      </c>
      <c r="L5" t="s">
        <v>32</v>
      </c>
      <c r="M5" s="3" t="s">
        <v>33</v>
      </c>
      <c r="O5" s="26" t="str">
        <f>Таблица1_2[[#This Row],[Цена]]</f>
        <v xml:space="preserve">20,6 </v>
      </c>
      <c r="P5" s="17">
        <v>0.36</v>
      </c>
      <c r="Q5" s="26">
        <f t="shared" ref="Q5:Q68" si="17">O5*P5</f>
        <v>7.4160000000000004</v>
      </c>
      <c r="R5" s="8">
        <f t="shared" ref="R5:R68" si="18">B5/100</f>
        <v>0.1</v>
      </c>
      <c r="S5" s="18">
        <f t="shared" ref="S5:S68" ca="1" si="19">W5*R5</f>
        <v>19.356750298685782</v>
      </c>
      <c r="T5" s="18">
        <f t="shared" ref="T5:T68" ca="1" si="20">C5+D5+A5</f>
        <v>134</v>
      </c>
      <c r="U5" s="18">
        <f t="shared" ref="U5:U68" ca="1" si="21">(T5+33)/$T$1-33</f>
        <v>134</v>
      </c>
      <c r="V5" s="18">
        <f t="shared" ref="V5:V68" ca="1" si="22">W5*$V$2</f>
        <v>13.549725209080048</v>
      </c>
      <c r="W5" s="29">
        <f t="shared" ref="W5:W68" ca="1" si="23">(O5+Q5+U5)/(1-R5)/(1-$V$2)</f>
        <v>193.56750298685782</v>
      </c>
      <c r="X5" s="19">
        <f t="shared" ref="X5:X68" ca="1" si="24">Z5*$X$2</f>
        <v>82.957501280081914</v>
      </c>
      <c r="Y5" s="19">
        <f t="shared" ref="Y5:Y68" ca="1" si="25">(Z5-X5)*$Y$2</f>
        <v>0</v>
      </c>
      <c r="Z5" s="31">
        <f t="shared" ref="Z5:Z68" ca="1" si="26">W5/(1-$X$2)/(1-$Y$2)</f>
        <v>276.52500426693973</v>
      </c>
      <c r="AA5" s="31">
        <f t="shared" ref="AA5:AA68" ca="1" si="27">ROUNDUP(Z5,-2)-10</f>
        <v>290</v>
      </c>
      <c r="AB5" s="20">
        <f t="shared" ref="AB5:AB68" ca="1" si="28">W5/O5</f>
        <v>9.3964807275173694</v>
      </c>
      <c r="AC5" s="20">
        <f t="shared" ref="AC5:AC68" ca="1" si="29">Q5/W5</f>
        <v>3.8312216077424452E-2</v>
      </c>
      <c r="AD5" s="6">
        <f t="shared" ref="AD5:AD68" ca="1" si="30">W5-V5-U5-S5-O5</f>
        <v>6.0610274790919973</v>
      </c>
      <c r="AE5" s="21">
        <f t="shared" ref="AE5:AE68" ca="1" si="31">AD5/O5</f>
        <v>0.29422463490737849</v>
      </c>
    </row>
    <row r="6" spans="1:31" hidden="1" x14ac:dyDescent="0.25">
      <c r="A6" s="24" t="e">
        <f t="shared" ca="1" si="15"/>
        <v>#VALUE!</v>
      </c>
      <c r="B6" s="24">
        <v>12</v>
      </c>
      <c r="C6" s="24">
        <v>41</v>
      </c>
      <c r="D6" s="24">
        <v>35</v>
      </c>
      <c r="E6">
        <v>205950</v>
      </c>
      <c r="F6" s="2" t="s">
        <v>2</v>
      </c>
      <c r="G6" s="2" t="str">
        <f t="shared" si="16"/>
        <v>https://www.oreht.ru/modules.php?name=orehtPriceLS&amp;op=Search&amp;page=1&amp;stext=205950</v>
      </c>
      <c r="I6">
        <v>205950</v>
      </c>
      <c r="J6" t="s">
        <v>2</v>
      </c>
      <c r="K6" t="s">
        <v>34</v>
      </c>
      <c r="L6" t="s">
        <v>35</v>
      </c>
      <c r="M6" s="3">
        <v>20</v>
      </c>
      <c r="O6" s="26">
        <f>Таблица1_2[[#This Row],[Цена]]</f>
        <v>20</v>
      </c>
      <c r="P6" s="17">
        <v>0.36</v>
      </c>
      <c r="Q6" s="26">
        <f t="shared" si="17"/>
        <v>7.1999999999999993</v>
      </c>
      <c r="R6" s="8">
        <f t="shared" si="18"/>
        <v>0.12</v>
      </c>
      <c r="S6" s="18" t="e">
        <f t="shared" ca="1" si="19"/>
        <v>#VALUE!</v>
      </c>
      <c r="T6" s="18" t="e">
        <f t="shared" ca="1" si="20"/>
        <v>#VALUE!</v>
      </c>
      <c r="U6" s="18" t="e">
        <f t="shared" ca="1" si="21"/>
        <v>#VALUE!</v>
      </c>
      <c r="V6" s="18" t="e">
        <f t="shared" ca="1" si="22"/>
        <v>#VALUE!</v>
      </c>
      <c r="W6" s="29" t="e">
        <f t="shared" ca="1" si="23"/>
        <v>#VALUE!</v>
      </c>
      <c r="X6" s="19" t="e">
        <f t="shared" ca="1" si="24"/>
        <v>#VALUE!</v>
      </c>
      <c r="Y6" s="19" t="e">
        <f t="shared" ca="1" si="25"/>
        <v>#VALUE!</v>
      </c>
      <c r="Z6" s="31" t="e">
        <f t="shared" ca="1" si="26"/>
        <v>#VALUE!</v>
      </c>
      <c r="AA6" s="31" t="e">
        <f t="shared" ca="1" si="27"/>
        <v>#VALUE!</v>
      </c>
      <c r="AB6" s="20" t="e">
        <f t="shared" ca="1" si="28"/>
        <v>#VALUE!</v>
      </c>
      <c r="AC6" s="20" t="e">
        <f t="shared" ca="1" si="29"/>
        <v>#VALUE!</v>
      </c>
      <c r="AD6" s="6" t="e">
        <f t="shared" ca="1" si="30"/>
        <v>#VALUE!</v>
      </c>
      <c r="AE6" s="21" t="e">
        <f t="shared" ca="1" si="31"/>
        <v>#VALUE!</v>
      </c>
    </row>
    <row r="7" spans="1:31" hidden="1" x14ac:dyDescent="0.25">
      <c r="A7" s="24">
        <f t="shared" ca="1" si="15"/>
        <v>20</v>
      </c>
      <c r="B7" s="24">
        <v>12</v>
      </c>
      <c r="C7" s="24">
        <v>41</v>
      </c>
      <c r="D7" s="24">
        <v>35</v>
      </c>
      <c r="E7">
        <v>294505</v>
      </c>
      <c r="F7" s="2" t="s">
        <v>2</v>
      </c>
      <c r="G7" s="2" t="str">
        <f t="shared" si="16"/>
        <v>https://www.oreht.ru/modules.php?name=orehtPriceLS&amp;op=Search&amp;page=1&amp;stext=294505</v>
      </c>
      <c r="I7">
        <v>294505</v>
      </c>
      <c r="J7" t="s">
        <v>2</v>
      </c>
      <c r="K7" t="s">
        <v>36</v>
      </c>
      <c r="L7" t="s">
        <v>37</v>
      </c>
      <c r="M7" t="s">
        <v>38</v>
      </c>
      <c r="O7" s="26" t="str">
        <f>Таблица1_2[[#This Row],[Цена]]</f>
        <v xml:space="preserve">21,7 </v>
      </c>
      <c r="P7" s="17">
        <v>0.36</v>
      </c>
      <c r="Q7" s="26">
        <f t="shared" si="17"/>
        <v>7.8119999999999994</v>
      </c>
      <c r="R7" s="8">
        <f t="shared" si="18"/>
        <v>0.12</v>
      </c>
      <c r="S7" s="18">
        <f t="shared" ca="1" si="19"/>
        <v>18.403519061583577</v>
      </c>
      <c r="T7" s="18">
        <f t="shared" ca="1" si="20"/>
        <v>96</v>
      </c>
      <c r="U7" s="18">
        <f t="shared" ca="1" si="21"/>
        <v>96</v>
      </c>
      <c r="V7" s="18">
        <f t="shared" ca="1" si="22"/>
        <v>10.73538611925709</v>
      </c>
      <c r="W7" s="29">
        <f t="shared" ca="1" si="23"/>
        <v>153.36265884652983</v>
      </c>
      <c r="X7" s="19">
        <f t="shared" ca="1" si="24"/>
        <v>65.726853791369919</v>
      </c>
      <c r="Y7" s="19">
        <f t="shared" ca="1" si="25"/>
        <v>0</v>
      </c>
      <c r="Z7" s="31">
        <f t="shared" ca="1" si="26"/>
        <v>219.08951263789976</v>
      </c>
      <c r="AA7" s="31">
        <f t="shared" ca="1" si="27"/>
        <v>290</v>
      </c>
      <c r="AB7" s="20">
        <f t="shared" ca="1" si="28"/>
        <v>7.0674036334806374</v>
      </c>
      <c r="AC7" s="20">
        <f t="shared" ca="1" si="29"/>
        <v>5.0938084007903617E-2</v>
      </c>
      <c r="AD7" s="6">
        <f t="shared" ca="1" si="30"/>
        <v>6.5237536656891493</v>
      </c>
      <c r="AE7" s="21">
        <f t="shared" ca="1" si="31"/>
        <v>0.30063380947876267</v>
      </c>
    </row>
    <row r="8" spans="1:31" hidden="1" x14ac:dyDescent="0.25">
      <c r="A8" s="24">
        <f t="shared" ca="1" si="15"/>
        <v>20</v>
      </c>
      <c r="B8" s="24">
        <v>12</v>
      </c>
      <c r="C8" s="24">
        <v>43</v>
      </c>
      <c r="D8" s="24">
        <v>35</v>
      </c>
      <c r="E8">
        <v>118003</v>
      </c>
      <c r="F8" s="2" t="s">
        <v>2</v>
      </c>
      <c r="G8" s="2" t="str">
        <f t="shared" si="16"/>
        <v>https://www.oreht.ru/modules.php?name=orehtPriceLS&amp;op=Search&amp;page=1&amp;stext=118003</v>
      </c>
      <c r="I8">
        <v>118003</v>
      </c>
      <c r="J8" t="s">
        <v>2</v>
      </c>
      <c r="K8" t="s">
        <v>39</v>
      </c>
      <c r="L8" t="s">
        <v>40</v>
      </c>
      <c r="M8" t="s">
        <v>38</v>
      </c>
      <c r="O8" s="26" t="str">
        <f>Таблица1_2[[#This Row],[Цена]]</f>
        <v xml:space="preserve">21,7 </v>
      </c>
      <c r="P8" s="17">
        <v>0.36</v>
      </c>
      <c r="Q8" s="26">
        <f t="shared" si="17"/>
        <v>7.8119999999999994</v>
      </c>
      <c r="R8" s="8">
        <f t="shared" si="18"/>
        <v>0.12</v>
      </c>
      <c r="S8" s="18">
        <f t="shared" ca="1" si="19"/>
        <v>18.696774193548386</v>
      </c>
      <c r="T8" s="18">
        <f t="shared" ca="1" si="20"/>
        <v>98</v>
      </c>
      <c r="U8" s="18">
        <f t="shared" ca="1" si="21"/>
        <v>98</v>
      </c>
      <c r="V8" s="18">
        <f t="shared" ca="1" si="22"/>
        <v>10.906451612903227</v>
      </c>
      <c r="W8" s="29">
        <f t="shared" ca="1" si="23"/>
        <v>155.80645161290323</v>
      </c>
      <c r="X8" s="19">
        <f t="shared" ca="1" si="24"/>
        <v>66.774193548387103</v>
      </c>
      <c r="Y8" s="19">
        <f t="shared" ca="1" si="25"/>
        <v>0</v>
      </c>
      <c r="Z8" s="31">
        <f t="shared" ca="1" si="26"/>
        <v>222.58064516129033</v>
      </c>
      <c r="AA8" s="31">
        <f t="shared" ca="1" si="27"/>
        <v>290</v>
      </c>
      <c r="AB8" s="20">
        <f t="shared" ca="1" si="28"/>
        <v>7.1800208116545274</v>
      </c>
      <c r="AC8" s="20">
        <f t="shared" ca="1" si="29"/>
        <v>5.0139130434782603E-2</v>
      </c>
      <c r="AD8" s="6">
        <f t="shared" ca="1" si="30"/>
        <v>6.5032258064516206</v>
      </c>
      <c r="AE8" s="21">
        <f t="shared" ca="1" si="31"/>
        <v>0.29968782518210235</v>
      </c>
    </row>
    <row r="9" spans="1:31" hidden="1" x14ac:dyDescent="0.25">
      <c r="A9" s="24">
        <f t="shared" ca="1" si="15"/>
        <v>20</v>
      </c>
      <c r="B9" s="24">
        <v>10</v>
      </c>
      <c r="C9" s="24">
        <v>40</v>
      </c>
      <c r="D9" s="24">
        <v>35</v>
      </c>
      <c r="E9">
        <v>321564</v>
      </c>
      <c r="F9" s="2" t="s">
        <v>2</v>
      </c>
      <c r="G9" s="2" t="str">
        <f t="shared" si="16"/>
        <v>https://www.oreht.ru/modules.php?name=orehtPriceLS&amp;op=Search&amp;page=1&amp;stext=321564</v>
      </c>
      <c r="I9">
        <v>321564</v>
      </c>
      <c r="J9" t="s">
        <v>2</v>
      </c>
      <c r="K9" t="s">
        <v>41</v>
      </c>
      <c r="L9" t="s">
        <v>42</v>
      </c>
      <c r="M9" t="s">
        <v>43</v>
      </c>
      <c r="O9" s="26" t="str">
        <f>Таблица1_2[[#This Row],[Цена]]</f>
        <v xml:space="preserve">23,2 </v>
      </c>
      <c r="P9" s="17">
        <v>0.36</v>
      </c>
      <c r="Q9" s="26">
        <f t="shared" si="17"/>
        <v>8.3520000000000003</v>
      </c>
      <c r="R9" s="8">
        <f t="shared" si="18"/>
        <v>0.1</v>
      </c>
      <c r="S9" s="18">
        <f t="shared" ca="1" si="19"/>
        <v>15.119713261648744</v>
      </c>
      <c r="T9" s="18">
        <f t="shared" ca="1" si="20"/>
        <v>95</v>
      </c>
      <c r="U9" s="18">
        <f t="shared" ca="1" si="21"/>
        <v>95</v>
      </c>
      <c r="V9" s="18">
        <f t="shared" ca="1" si="22"/>
        <v>10.583799283154121</v>
      </c>
      <c r="W9" s="29">
        <f t="shared" ca="1" si="23"/>
        <v>151.19713261648744</v>
      </c>
      <c r="X9" s="19">
        <f t="shared" ca="1" si="24"/>
        <v>64.798771121351763</v>
      </c>
      <c r="Y9" s="19">
        <f t="shared" ca="1" si="25"/>
        <v>0</v>
      </c>
      <c r="Z9" s="31">
        <f t="shared" ca="1" si="26"/>
        <v>215.9959037378392</v>
      </c>
      <c r="AA9" s="31">
        <f t="shared" ca="1" si="27"/>
        <v>290</v>
      </c>
      <c r="AB9" s="20">
        <f t="shared" ca="1" si="28"/>
        <v>6.5171177851934239</v>
      </c>
      <c r="AC9" s="20">
        <f t="shared" ca="1" si="29"/>
        <v>5.5239142802958476E-2</v>
      </c>
      <c r="AD9" s="6">
        <f t="shared" ca="1" si="30"/>
        <v>7.2936200716845718</v>
      </c>
      <c r="AE9" s="21">
        <f t="shared" ca="1" si="31"/>
        <v>0.31438017550364533</v>
      </c>
    </row>
    <row r="10" spans="1:31" hidden="1" x14ac:dyDescent="0.25">
      <c r="A10" s="24">
        <f t="shared" ca="1" si="15"/>
        <v>20</v>
      </c>
      <c r="B10" s="24">
        <v>12</v>
      </c>
      <c r="C10" s="24">
        <v>41</v>
      </c>
      <c r="D10" s="24">
        <v>35</v>
      </c>
      <c r="E10">
        <v>160094</v>
      </c>
      <c r="F10" s="2" t="s">
        <v>2</v>
      </c>
      <c r="G10" s="2" t="str">
        <f t="shared" si="16"/>
        <v>https://www.oreht.ru/modules.php?name=orehtPriceLS&amp;op=Search&amp;page=1&amp;stext=160094</v>
      </c>
      <c r="I10">
        <v>160094</v>
      </c>
      <c r="J10" t="s">
        <v>2</v>
      </c>
      <c r="K10" t="s">
        <v>44</v>
      </c>
      <c r="L10" t="s">
        <v>45</v>
      </c>
      <c r="M10" t="s">
        <v>46</v>
      </c>
      <c r="O10" s="26" t="str">
        <f>Таблица1_2[[#This Row],[Цена]]</f>
        <v xml:space="preserve">24,2 </v>
      </c>
      <c r="P10" s="17">
        <v>0.36</v>
      </c>
      <c r="Q10" s="26">
        <f t="shared" si="17"/>
        <v>8.7119999999999997</v>
      </c>
      <c r="R10" s="8">
        <f t="shared" si="18"/>
        <v>0.12</v>
      </c>
      <c r="S10" s="18">
        <f t="shared" ca="1" si="19"/>
        <v>18.902052785923754</v>
      </c>
      <c r="T10" s="18">
        <f t="shared" ca="1" si="20"/>
        <v>96</v>
      </c>
      <c r="U10" s="18">
        <f t="shared" ca="1" si="21"/>
        <v>96</v>
      </c>
      <c r="V10" s="18">
        <f t="shared" ca="1" si="22"/>
        <v>11.026197458455526</v>
      </c>
      <c r="W10" s="29">
        <f t="shared" ca="1" si="23"/>
        <v>157.51710654936463</v>
      </c>
      <c r="X10" s="19">
        <f t="shared" ca="1" si="24"/>
        <v>67.507331378299128</v>
      </c>
      <c r="Y10" s="19">
        <f t="shared" ca="1" si="25"/>
        <v>0</v>
      </c>
      <c r="Z10" s="31">
        <f t="shared" ca="1" si="26"/>
        <v>225.02443792766377</v>
      </c>
      <c r="AA10" s="31">
        <f t="shared" ca="1" si="27"/>
        <v>290</v>
      </c>
      <c r="AB10" s="20">
        <f t="shared" ca="1" si="28"/>
        <v>6.508971345015067</v>
      </c>
      <c r="AC10" s="20">
        <f t="shared" ca="1" si="29"/>
        <v>5.5308278515576514E-2</v>
      </c>
      <c r="AD10" s="6">
        <f t="shared" ca="1" si="30"/>
        <v>7.388856304985346</v>
      </c>
      <c r="AE10" s="21">
        <f t="shared" ca="1" si="31"/>
        <v>0.30532464070187382</v>
      </c>
    </row>
    <row r="11" spans="1:31" hidden="1" x14ac:dyDescent="0.25">
      <c r="A11" s="24">
        <f t="shared" ca="1" si="15"/>
        <v>20</v>
      </c>
      <c r="B11" s="24">
        <v>12</v>
      </c>
      <c r="C11" s="24">
        <v>41</v>
      </c>
      <c r="D11" s="24">
        <v>35</v>
      </c>
      <c r="E11">
        <v>160095</v>
      </c>
      <c r="F11" s="2" t="s">
        <v>2</v>
      </c>
      <c r="G11" s="2" t="str">
        <f t="shared" si="16"/>
        <v>https://www.oreht.ru/modules.php?name=orehtPriceLS&amp;op=Search&amp;page=1&amp;stext=160095</v>
      </c>
      <c r="I11">
        <v>160095</v>
      </c>
      <c r="J11" t="s">
        <v>2</v>
      </c>
      <c r="K11" t="s">
        <v>47</v>
      </c>
      <c r="L11" t="s">
        <v>48</v>
      </c>
      <c r="M11" t="s">
        <v>49</v>
      </c>
      <c r="O11" s="26" t="str">
        <f>Таблица1_2[[#This Row],[Цена]]</f>
        <v xml:space="preserve">25,1 </v>
      </c>
      <c r="P11" s="17">
        <v>0.36</v>
      </c>
      <c r="Q11" s="26">
        <f t="shared" si="17"/>
        <v>9.0359999999999996</v>
      </c>
      <c r="R11" s="8">
        <f t="shared" si="18"/>
        <v>0.12</v>
      </c>
      <c r="S11" s="18">
        <f t="shared" ca="1" si="19"/>
        <v>19.081524926686217</v>
      </c>
      <c r="T11" s="18">
        <f t="shared" ca="1" si="20"/>
        <v>96</v>
      </c>
      <c r="U11" s="18">
        <f t="shared" ca="1" si="21"/>
        <v>96</v>
      </c>
      <c r="V11" s="18">
        <f t="shared" ca="1" si="22"/>
        <v>11.130889540566962</v>
      </c>
      <c r="W11" s="29">
        <f t="shared" ca="1" si="23"/>
        <v>159.01270772238516</v>
      </c>
      <c r="X11" s="19">
        <f t="shared" ca="1" si="24"/>
        <v>68.148303309593643</v>
      </c>
      <c r="Y11" s="19">
        <f t="shared" ca="1" si="25"/>
        <v>0</v>
      </c>
      <c r="Z11" s="31">
        <f t="shared" ca="1" si="26"/>
        <v>227.1610110319788</v>
      </c>
      <c r="AA11" s="31">
        <f t="shared" ca="1" si="27"/>
        <v>290</v>
      </c>
      <c r="AB11" s="20">
        <f t="shared" ca="1" si="28"/>
        <v>6.3351676383420381</v>
      </c>
      <c r="AC11" s="20">
        <f t="shared" ca="1" si="29"/>
        <v>5.6825647015430004E-2</v>
      </c>
      <c r="AD11" s="6">
        <f t="shared" ca="1" si="30"/>
        <v>7.7002932551319887</v>
      </c>
      <c r="AE11" s="21">
        <f t="shared" ca="1" si="31"/>
        <v>0.30678459183792783</v>
      </c>
    </row>
    <row r="12" spans="1:31" hidden="1" x14ac:dyDescent="0.25">
      <c r="A12" s="24">
        <f t="shared" ca="1" si="15"/>
        <v>20</v>
      </c>
      <c r="B12" s="24">
        <v>12</v>
      </c>
      <c r="C12" s="24">
        <v>40</v>
      </c>
      <c r="D12" s="24">
        <v>35</v>
      </c>
      <c r="E12">
        <v>154456</v>
      </c>
      <c r="F12" s="2" t="s">
        <v>2</v>
      </c>
      <c r="G12" s="2" t="str">
        <f t="shared" si="16"/>
        <v>https://www.oreht.ru/modules.php?name=orehtPriceLS&amp;op=Search&amp;page=1&amp;stext=154456</v>
      </c>
      <c r="I12">
        <v>154456</v>
      </c>
      <c r="J12" t="s">
        <v>2</v>
      </c>
      <c r="K12" t="s">
        <v>50</v>
      </c>
      <c r="L12" t="s">
        <v>51</v>
      </c>
      <c r="M12" t="s">
        <v>52</v>
      </c>
      <c r="O12" s="26" t="str">
        <f>Таблица1_2[[#This Row],[Цена]]</f>
        <v xml:space="preserve">25,2 </v>
      </c>
      <c r="P12" s="17">
        <v>0.36</v>
      </c>
      <c r="Q12" s="26">
        <f t="shared" si="17"/>
        <v>9.0719999999999992</v>
      </c>
      <c r="R12" s="8">
        <f t="shared" si="18"/>
        <v>0.12</v>
      </c>
      <c r="S12" s="18">
        <f t="shared" ca="1" si="19"/>
        <v>18.954838709677418</v>
      </c>
      <c r="T12" s="18">
        <f t="shared" ca="1" si="20"/>
        <v>95</v>
      </c>
      <c r="U12" s="18">
        <f t="shared" ca="1" si="21"/>
        <v>95</v>
      </c>
      <c r="V12" s="18">
        <f t="shared" ca="1" si="22"/>
        <v>11.056989247311828</v>
      </c>
      <c r="W12" s="29">
        <f t="shared" ca="1" si="23"/>
        <v>157.95698924731181</v>
      </c>
      <c r="X12" s="19">
        <f t="shared" ca="1" si="24"/>
        <v>67.695852534562206</v>
      </c>
      <c r="Y12" s="19">
        <f t="shared" ca="1" si="25"/>
        <v>0</v>
      </c>
      <c r="Z12" s="31">
        <f t="shared" ca="1" si="26"/>
        <v>225.65284178187403</v>
      </c>
      <c r="AA12" s="31">
        <f t="shared" ca="1" si="27"/>
        <v>290</v>
      </c>
      <c r="AB12" s="20">
        <f t="shared" ca="1" si="28"/>
        <v>6.2681344939409449</v>
      </c>
      <c r="AC12" s="20">
        <f t="shared" ca="1" si="29"/>
        <v>5.7433356024506471E-2</v>
      </c>
      <c r="AD12" s="6">
        <f t="shared" ca="1" si="30"/>
        <v>7.7451612903225602</v>
      </c>
      <c r="AE12" s="21">
        <f t="shared" ca="1" si="31"/>
        <v>0.30734767025089527</v>
      </c>
    </row>
    <row r="13" spans="1:31" hidden="1" x14ac:dyDescent="0.25">
      <c r="A13" s="24">
        <f t="shared" ca="1" si="15"/>
        <v>20</v>
      </c>
      <c r="B13" s="24">
        <v>12</v>
      </c>
      <c r="C13" s="24">
        <v>43</v>
      </c>
      <c r="D13" s="24">
        <v>35</v>
      </c>
      <c r="E13">
        <v>299957</v>
      </c>
      <c r="F13" s="2" t="s">
        <v>2</v>
      </c>
      <c r="G13" s="2" t="str">
        <f t="shared" si="16"/>
        <v>https://www.oreht.ru/modules.php?name=orehtPriceLS&amp;op=Search&amp;page=1&amp;stext=299957</v>
      </c>
      <c r="I13">
        <v>299957</v>
      </c>
      <c r="J13" t="s">
        <v>2</v>
      </c>
      <c r="K13" t="s">
        <v>53</v>
      </c>
      <c r="L13" t="s">
        <v>54</v>
      </c>
      <c r="M13" t="s">
        <v>55</v>
      </c>
      <c r="O13" s="26" t="str">
        <f>Таблица1_2[[#This Row],[Цена]]</f>
        <v xml:space="preserve">25,4 </v>
      </c>
      <c r="P13" s="17">
        <v>0.36</v>
      </c>
      <c r="Q13" s="26">
        <f t="shared" si="17"/>
        <v>9.1439999999999984</v>
      </c>
      <c r="R13" s="8">
        <f t="shared" si="18"/>
        <v>0.12</v>
      </c>
      <c r="S13" s="18">
        <f t="shared" ca="1" si="19"/>
        <v>19.434604105571847</v>
      </c>
      <c r="T13" s="18">
        <f t="shared" ca="1" si="20"/>
        <v>98</v>
      </c>
      <c r="U13" s="18">
        <f t="shared" ca="1" si="21"/>
        <v>98</v>
      </c>
      <c r="V13" s="18">
        <f t="shared" ca="1" si="22"/>
        <v>11.33685239491691</v>
      </c>
      <c r="W13" s="29">
        <f t="shared" ca="1" si="23"/>
        <v>161.95503421309871</v>
      </c>
      <c r="X13" s="19">
        <f t="shared" ca="1" si="24"/>
        <v>69.4093003770423</v>
      </c>
      <c r="Y13" s="19">
        <f t="shared" ca="1" si="25"/>
        <v>0</v>
      </c>
      <c r="Z13" s="31">
        <f t="shared" ca="1" si="26"/>
        <v>231.36433459014103</v>
      </c>
      <c r="AA13" s="31">
        <f t="shared" ca="1" si="27"/>
        <v>290</v>
      </c>
      <c r="AB13" s="20">
        <f t="shared" ca="1" si="28"/>
        <v>6.3761824493345953</v>
      </c>
      <c r="AC13" s="20">
        <f t="shared" ca="1" si="29"/>
        <v>5.6460115886045381E-2</v>
      </c>
      <c r="AD13" s="6">
        <f t="shared" ca="1" si="30"/>
        <v>7.7835777126099472</v>
      </c>
      <c r="AE13" s="21">
        <f t="shared" ca="1" si="31"/>
        <v>0.30644006742558849</v>
      </c>
    </row>
    <row r="14" spans="1:31" hidden="1" x14ac:dyDescent="0.25">
      <c r="A14" s="24">
        <f t="shared" ca="1" si="15"/>
        <v>20</v>
      </c>
      <c r="B14" s="24">
        <v>12</v>
      </c>
      <c r="C14" s="24">
        <v>40</v>
      </c>
      <c r="D14" s="24">
        <v>35</v>
      </c>
      <c r="E14">
        <v>368962</v>
      </c>
      <c r="F14" s="2" t="s">
        <v>2</v>
      </c>
      <c r="G14" s="2" t="str">
        <f t="shared" si="16"/>
        <v>https://www.oreht.ru/modules.php?name=orehtPriceLS&amp;op=Search&amp;page=1&amp;stext=368962</v>
      </c>
      <c r="I14">
        <v>368962</v>
      </c>
      <c r="J14" t="s">
        <v>2</v>
      </c>
      <c r="K14" t="s">
        <v>56</v>
      </c>
      <c r="L14" t="s">
        <v>57</v>
      </c>
      <c r="M14" t="s">
        <v>58</v>
      </c>
      <c r="O14" s="26" t="str">
        <f>Таблица1_2[[#This Row],[Цена]]</f>
        <v xml:space="preserve">39,2 </v>
      </c>
      <c r="P14" s="17">
        <v>0.36</v>
      </c>
      <c r="Q14" s="26">
        <f t="shared" si="17"/>
        <v>14.112</v>
      </c>
      <c r="R14" s="8">
        <f t="shared" si="18"/>
        <v>0.12</v>
      </c>
      <c r="S14" s="18">
        <f t="shared" ca="1" si="19"/>
        <v>21.746627565982408</v>
      </c>
      <c r="T14" s="18">
        <f t="shared" ca="1" si="20"/>
        <v>95</v>
      </c>
      <c r="U14" s="18">
        <f t="shared" ca="1" si="21"/>
        <v>95</v>
      </c>
      <c r="V14" s="18">
        <f t="shared" ca="1" si="22"/>
        <v>12.685532746823073</v>
      </c>
      <c r="W14" s="29">
        <f t="shared" ca="1" si="23"/>
        <v>181.22189638318673</v>
      </c>
      <c r="X14" s="19">
        <f t="shared" ca="1" si="24"/>
        <v>77.666527021365752</v>
      </c>
      <c r="Y14" s="19">
        <f t="shared" ca="1" si="25"/>
        <v>0</v>
      </c>
      <c r="Z14" s="31">
        <f t="shared" ca="1" si="26"/>
        <v>258.8884234045525</v>
      </c>
      <c r="AA14" s="31">
        <f t="shared" ca="1" si="27"/>
        <v>290</v>
      </c>
      <c r="AB14" s="20">
        <f t="shared" ca="1" si="28"/>
        <v>4.6230075607955792</v>
      </c>
      <c r="AC14" s="20">
        <f t="shared" ca="1" si="29"/>
        <v>7.7871384648578665E-2</v>
      </c>
      <c r="AD14" s="6">
        <f t="shared" ca="1" si="30"/>
        <v>12.58973607038125</v>
      </c>
      <c r="AE14" s="21">
        <f t="shared" ca="1" si="31"/>
        <v>0.32116673648931754</v>
      </c>
    </row>
    <row r="15" spans="1:31" hidden="1" x14ac:dyDescent="0.25">
      <c r="A15" s="24">
        <f t="shared" ca="1" si="15"/>
        <v>20</v>
      </c>
      <c r="B15" s="24">
        <v>12</v>
      </c>
      <c r="C15" s="24">
        <v>67</v>
      </c>
      <c r="D15" s="24">
        <v>35</v>
      </c>
      <c r="E15">
        <v>117941</v>
      </c>
      <c r="F15" s="2" t="s">
        <v>2</v>
      </c>
      <c r="G15" s="2" t="str">
        <f t="shared" si="16"/>
        <v>https://www.oreht.ru/modules.php?name=orehtPriceLS&amp;op=Search&amp;page=1&amp;stext=117941</v>
      </c>
      <c r="I15">
        <v>117941</v>
      </c>
      <c r="J15" t="s">
        <v>2</v>
      </c>
      <c r="K15" t="s">
        <v>59</v>
      </c>
      <c r="L15" t="s">
        <v>60</v>
      </c>
      <c r="M15" t="s">
        <v>61</v>
      </c>
      <c r="O15" s="26" t="str">
        <f>Таблица1_2[[#This Row],[Цена]]</f>
        <v xml:space="preserve">25,7 </v>
      </c>
      <c r="P15" s="17">
        <v>0.36</v>
      </c>
      <c r="Q15" s="26">
        <f t="shared" si="17"/>
        <v>9.2519999999999989</v>
      </c>
      <c r="R15" s="8">
        <f t="shared" si="18"/>
        <v>0.12</v>
      </c>
      <c r="S15" s="18">
        <f t="shared" ca="1" si="19"/>
        <v>23.01348973607038</v>
      </c>
      <c r="T15" s="18">
        <f t="shared" ca="1" si="20"/>
        <v>122</v>
      </c>
      <c r="U15" s="18">
        <f t="shared" ca="1" si="21"/>
        <v>122</v>
      </c>
      <c r="V15" s="18">
        <f t="shared" ca="1" si="22"/>
        <v>13.42453567937439</v>
      </c>
      <c r="W15" s="29">
        <f t="shared" ca="1" si="23"/>
        <v>191.77908113391985</v>
      </c>
      <c r="X15" s="19">
        <f t="shared" ca="1" si="24"/>
        <v>82.191034771679938</v>
      </c>
      <c r="Y15" s="19">
        <f t="shared" ca="1" si="25"/>
        <v>0</v>
      </c>
      <c r="Z15" s="31">
        <f t="shared" ca="1" si="26"/>
        <v>273.97011590559981</v>
      </c>
      <c r="AA15" s="31">
        <f t="shared" ca="1" si="27"/>
        <v>290</v>
      </c>
      <c r="AB15" s="20">
        <f t="shared" ca="1" si="28"/>
        <v>7.4622210557945463</v>
      </c>
      <c r="AC15" s="20">
        <f t="shared" ca="1" si="29"/>
        <v>4.8243009327692536E-2</v>
      </c>
      <c r="AD15" s="6">
        <f t="shared" ca="1" si="30"/>
        <v>7.6410557184750623</v>
      </c>
      <c r="AE15" s="21">
        <f t="shared" ca="1" si="31"/>
        <v>0.29731734313132541</v>
      </c>
    </row>
    <row r="16" spans="1:31" hidden="1" x14ac:dyDescent="0.25">
      <c r="A16" s="24">
        <f t="shared" ca="1" si="15"/>
        <v>20</v>
      </c>
      <c r="B16" s="24">
        <v>12</v>
      </c>
      <c r="C16" s="24">
        <v>41</v>
      </c>
      <c r="D16" s="24">
        <v>35</v>
      </c>
      <c r="E16">
        <v>208305</v>
      </c>
      <c r="F16" s="2" t="s">
        <v>2</v>
      </c>
      <c r="G16" s="2" t="str">
        <f t="shared" si="16"/>
        <v>https://www.oreht.ru/modules.php?name=orehtPriceLS&amp;op=Search&amp;page=1&amp;stext=208305</v>
      </c>
      <c r="I16">
        <v>208305</v>
      </c>
      <c r="J16" t="s">
        <v>2</v>
      </c>
      <c r="K16" t="s">
        <v>62</v>
      </c>
      <c r="L16" t="s">
        <v>63</v>
      </c>
      <c r="M16" t="s">
        <v>64</v>
      </c>
      <c r="O16" s="26" t="str">
        <f>Таблица1_2[[#This Row],[Цена]]</f>
        <v xml:space="preserve">26,6 </v>
      </c>
      <c r="P16" s="17">
        <v>0.36</v>
      </c>
      <c r="Q16" s="26">
        <f t="shared" si="17"/>
        <v>9.5760000000000005</v>
      </c>
      <c r="R16" s="8">
        <f t="shared" si="18"/>
        <v>0.12</v>
      </c>
      <c r="S16" s="18">
        <f t="shared" ca="1" si="19"/>
        <v>19.380645161290321</v>
      </c>
      <c r="T16" s="18">
        <f t="shared" ca="1" si="20"/>
        <v>96</v>
      </c>
      <c r="U16" s="18">
        <f t="shared" ca="1" si="21"/>
        <v>96</v>
      </c>
      <c r="V16" s="18">
        <f t="shared" ca="1" si="22"/>
        <v>11.305376344086023</v>
      </c>
      <c r="W16" s="29">
        <f t="shared" ca="1" si="23"/>
        <v>161.50537634408602</v>
      </c>
      <c r="X16" s="19">
        <f t="shared" ca="1" si="24"/>
        <v>69.21658986175116</v>
      </c>
      <c r="Y16" s="19">
        <f t="shared" ca="1" si="25"/>
        <v>0</v>
      </c>
      <c r="Z16" s="31">
        <f t="shared" ca="1" si="26"/>
        <v>230.72196620583719</v>
      </c>
      <c r="AA16" s="31">
        <f t="shared" ca="1" si="27"/>
        <v>290</v>
      </c>
      <c r="AB16" s="20">
        <f t="shared" ca="1" si="28"/>
        <v>6.0716306896272938</v>
      </c>
      <c r="AC16" s="20">
        <f t="shared" ca="1" si="29"/>
        <v>5.9292143808255662E-2</v>
      </c>
      <c r="AD16" s="6">
        <f t="shared" ca="1" si="30"/>
        <v>8.2193548387096698</v>
      </c>
      <c r="AE16" s="21">
        <f t="shared" ca="1" si="31"/>
        <v>0.30899830220713043</v>
      </c>
    </row>
    <row r="17" spans="1:31" hidden="1" x14ac:dyDescent="0.25">
      <c r="A17" s="24">
        <f t="shared" ca="1" si="15"/>
        <v>20</v>
      </c>
      <c r="B17" s="24">
        <v>10</v>
      </c>
      <c r="C17" s="24">
        <v>79</v>
      </c>
      <c r="D17" s="24">
        <v>35</v>
      </c>
      <c r="E17">
        <v>313798</v>
      </c>
      <c r="F17" s="2" t="s">
        <v>2</v>
      </c>
      <c r="G17" s="2" t="str">
        <f t="shared" si="16"/>
        <v>https://www.oreht.ru/modules.php?name=orehtPriceLS&amp;op=Search&amp;page=1&amp;stext=313798</v>
      </c>
      <c r="I17">
        <v>313798</v>
      </c>
      <c r="J17" t="s">
        <v>2</v>
      </c>
      <c r="K17" t="s">
        <v>65</v>
      </c>
      <c r="L17" t="s">
        <v>650</v>
      </c>
      <c r="M17" t="s">
        <v>651</v>
      </c>
      <c r="O17" s="26" t="str">
        <f>Таблица1_2[[#This Row],[Цена]]</f>
        <v xml:space="preserve">27,2 </v>
      </c>
      <c r="P17" s="17">
        <v>0.36</v>
      </c>
      <c r="Q17" s="26">
        <f t="shared" si="17"/>
        <v>9.7919999999999998</v>
      </c>
      <c r="R17" s="8">
        <f t="shared" si="18"/>
        <v>0.1</v>
      </c>
      <c r="S17" s="18">
        <f t="shared" ca="1" si="19"/>
        <v>20.429151732377541</v>
      </c>
      <c r="T17" s="18">
        <f t="shared" ca="1" si="20"/>
        <v>134</v>
      </c>
      <c r="U17" s="18">
        <f t="shared" ca="1" si="21"/>
        <v>134</v>
      </c>
      <c r="V17" s="18">
        <f t="shared" ca="1" si="22"/>
        <v>14.30040621266428</v>
      </c>
      <c r="W17" s="29">
        <f t="shared" ca="1" si="23"/>
        <v>204.29151732377539</v>
      </c>
      <c r="X17" s="19">
        <f t="shared" ca="1" si="24"/>
        <v>87.553507424475171</v>
      </c>
      <c r="Y17" s="19">
        <f t="shared" ca="1" si="25"/>
        <v>0</v>
      </c>
      <c r="Z17" s="31">
        <f t="shared" ca="1" si="26"/>
        <v>291.84502474825058</v>
      </c>
      <c r="AA17" s="31">
        <f t="shared" ca="1" si="27"/>
        <v>290</v>
      </c>
      <c r="AB17" s="20">
        <f t="shared" ca="1" si="28"/>
        <v>7.5107175486682136</v>
      </c>
      <c r="AC17" s="20">
        <f t="shared" ca="1" si="29"/>
        <v>4.7931505567511926E-2</v>
      </c>
      <c r="AD17" s="6">
        <f t="shared" ca="1" si="30"/>
        <v>8.3619593787335695</v>
      </c>
      <c r="AE17" s="21">
        <f t="shared" ca="1" si="31"/>
        <v>0.30742497715932243</v>
      </c>
    </row>
    <row r="18" spans="1:31" hidden="1" x14ac:dyDescent="0.25">
      <c r="A18" s="24">
        <f t="shared" ca="1" si="15"/>
        <v>20</v>
      </c>
      <c r="B18" s="24">
        <v>12</v>
      </c>
      <c r="C18" s="24">
        <v>67</v>
      </c>
      <c r="D18" s="24">
        <v>35</v>
      </c>
      <c r="E18">
        <v>160098</v>
      </c>
      <c r="F18" s="2" t="s">
        <v>2</v>
      </c>
      <c r="G18" s="2" t="str">
        <f t="shared" si="16"/>
        <v>https://www.oreht.ru/modules.php?name=orehtPriceLS&amp;op=Search&amp;page=1&amp;stext=160098</v>
      </c>
      <c r="I18">
        <v>160098</v>
      </c>
      <c r="J18" t="s">
        <v>2</v>
      </c>
      <c r="K18" t="s">
        <v>66</v>
      </c>
      <c r="L18" t="s">
        <v>652</v>
      </c>
      <c r="M18" t="s">
        <v>653</v>
      </c>
      <c r="O18" s="26" t="str">
        <f>Таблица1_2[[#This Row],[Цена]]</f>
        <v xml:space="preserve">27,3 </v>
      </c>
      <c r="P18" s="17">
        <v>0.37</v>
      </c>
      <c r="Q18" s="26">
        <f t="shared" si="17"/>
        <v>10.101000000000001</v>
      </c>
      <c r="R18" s="8">
        <f t="shared" si="18"/>
        <v>0.12</v>
      </c>
      <c r="S18" s="18">
        <f t="shared" ca="1" si="19"/>
        <v>23.372580645161293</v>
      </c>
      <c r="T18" s="18">
        <f t="shared" ca="1" si="20"/>
        <v>122</v>
      </c>
      <c r="U18" s="18">
        <f t="shared" ca="1" si="21"/>
        <v>122</v>
      </c>
      <c r="V18" s="18">
        <f t="shared" ca="1" si="22"/>
        <v>13.63400537634409</v>
      </c>
      <c r="W18" s="29">
        <f t="shared" ca="1" si="23"/>
        <v>194.77150537634412</v>
      </c>
      <c r="X18" s="19">
        <f t="shared" ca="1" si="24"/>
        <v>83.473502304147473</v>
      </c>
      <c r="Y18" s="19">
        <f t="shared" ca="1" si="25"/>
        <v>0</v>
      </c>
      <c r="Z18" s="31">
        <f t="shared" ca="1" si="26"/>
        <v>278.2450076804916</v>
      </c>
      <c r="AA18" s="31">
        <f t="shared" ca="1" si="27"/>
        <v>290</v>
      </c>
      <c r="AB18" s="20">
        <f t="shared" ca="1" si="28"/>
        <v>7.1344873764228618</v>
      </c>
      <c r="AC18" s="20">
        <f t="shared" ca="1" si="29"/>
        <v>5.1860768753019107E-2</v>
      </c>
      <c r="AD18" s="6">
        <f t="shared" ca="1" si="30"/>
        <v>8.4649193548387522</v>
      </c>
      <c r="AE18" s="21">
        <f t="shared" ca="1" si="31"/>
        <v>0.31007030603804953</v>
      </c>
    </row>
    <row r="19" spans="1:31" hidden="1" x14ac:dyDescent="0.25">
      <c r="A19" s="24" t="e">
        <f t="shared" ca="1" si="15"/>
        <v>#VALUE!</v>
      </c>
      <c r="B19" s="24">
        <v>12</v>
      </c>
      <c r="C19" s="24">
        <v>41</v>
      </c>
      <c r="D19" s="24">
        <v>35</v>
      </c>
      <c r="E19">
        <v>275109</v>
      </c>
      <c r="F19" s="2" t="s">
        <v>2</v>
      </c>
      <c r="G19" s="2" t="str">
        <f t="shared" si="16"/>
        <v>https://www.oreht.ru/modules.php?name=orehtPriceLS&amp;op=Search&amp;page=1&amp;stext=275109</v>
      </c>
      <c r="I19">
        <v>275109</v>
      </c>
      <c r="J19" t="s">
        <v>2</v>
      </c>
      <c r="K19" t="s">
        <v>67</v>
      </c>
      <c r="L19" t="s">
        <v>654</v>
      </c>
      <c r="M19">
        <v>28</v>
      </c>
      <c r="O19" s="26">
        <f>Таблица1_2[[#This Row],[Цена]]</f>
        <v>28</v>
      </c>
      <c r="P19" s="17">
        <v>0.36</v>
      </c>
      <c r="Q19" s="26">
        <f t="shared" si="17"/>
        <v>10.08</v>
      </c>
      <c r="R19" s="8">
        <f t="shared" si="18"/>
        <v>0.12</v>
      </c>
      <c r="S19" s="18" t="e">
        <f t="shared" ca="1" si="19"/>
        <v>#VALUE!</v>
      </c>
      <c r="T19" s="18" t="e">
        <f t="shared" ca="1" si="20"/>
        <v>#VALUE!</v>
      </c>
      <c r="U19" s="18" t="e">
        <f t="shared" ca="1" si="21"/>
        <v>#VALUE!</v>
      </c>
      <c r="V19" s="18" t="e">
        <f t="shared" ca="1" si="22"/>
        <v>#VALUE!</v>
      </c>
      <c r="W19" s="29" t="e">
        <f t="shared" ca="1" si="23"/>
        <v>#VALUE!</v>
      </c>
      <c r="X19" s="19" t="e">
        <f t="shared" ca="1" si="24"/>
        <v>#VALUE!</v>
      </c>
      <c r="Y19" s="19" t="e">
        <f t="shared" ca="1" si="25"/>
        <v>#VALUE!</v>
      </c>
      <c r="Z19" s="31" t="e">
        <f t="shared" ca="1" si="26"/>
        <v>#VALUE!</v>
      </c>
      <c r="AA19" s="31" t="e">
        <f t="shared" ca="1" si="27"/>
        <v>#VALUE!</v>
      </c>
      <c r="AB19" s="20" t="e">
        <f t="shared" ca="1" si="28"/>
        <v>#VALUE!</v>
      </c>
      <c r="AC19" s="20" t="e">
        <f t="shared" ca="1" si="29"/>
        <v>#VALUE!</v>
      </c>
      <c r="AD19" s="6" t="e">
        <f t="shared" ca="1" si="30"/>
        <v>#VALUE!</v>
      </c>
      <c r="AE19" s="21" t="e">
        <f t="shared" ca="1" si="31"/>
        <v>#VALUE!</v>
      </c>
    </row>
    <row r="20" spans="1:31" hidden="1" x14ac:dyDescent="0.25">
      <c r="A20" s="24">
        <f t="shared" ca="1" si="15"/>
        <v>20</v>
      </c>
      <c r="B20" s="24">
        <v>12</v>
      </c>
      <c r="C20" s="24">
        <v>67</v>
      </c>
      <c r="D20" s="24">
        <v>35</v>
      </c>
      <c r="E20">
        <v>90828</v>
      </c>
      <c r="F20" s="2" t="s">
        <v>2</v>
      </c>
      <c r="G20" s="2" t="str">
        <f t="shared" si="16"/>
        <v>https://www.oreht.ru/modules.php?name=orehtPriceLS&amp;op=Search&amp;page=1&amp;stext=90828</v>
      </c>
      <c r="I20">
        <v>90828</v>
      </c>
      <c r="J20" t="s">
        <v>2</v>
      </c>
      <c r="K20" t="s">
        <v>68</v>
      </c>
      <c r="L20" t="s">
        <v>655</v>
      </c>
      <c r="M20" t="s">
        <v>61</v>
      </c>
      <c r="O20" s="26" t="str">
        <f>Таблица1_2[[#This Row],[Цена]]</f>
        <v xml:space="preserve">25,7 </v>
      </c>
      <c r="P20" s="17">
        <v>0.36</v>
      </c>
      <c r="Q20" s="26">
        <f t="shared" si="17"/>
        <v>9.2519999999999989</v>
      </c>
      <c r="R20" s="8">
        <f t="shared" si="18"/>
        <v>0.12</v>
      </c>
      <c r="S20" s="18">
        <f t="shared" ca="1" si="19"/>
        <v>23.01348973607038</v>
      </c>
      <c r="T20" s="18">
        <f t="shared" ca="1" si="20"/>
        <v>122</v>
      </c>
      <c r="U20" s="18">
        <f t="shared" ca="1" si="21"/>
        <v>122</v>
      </c>
      <c r="V20" s="18">
        <f t="shared" ca="1" si="22"/>
        <v>13.42453567937439</v>
      </c>
      <c r="W20" s="29">
        <f t="shared" ca="1" si="23"/>
        <v>191.77908113391985</v>
      </c>
      <c r="X20" s="19">
        <f t="shared" ca="1" si="24"/>
        <v>82.191034771679938</v>
      </c>
      <c r="Y20" s="19">
        <f t="shared" ca="1" si="25"/>
        <v>0</v>
      </c>
      <c r="Z20" s="31">
        <f t="shared" ca="1" si="26"/>
        <v>273.97011590559981</v>
      </c>
      <c r="AA20" s="31">
        <f t="shared" ca="1" si="27"/>
        <v>290</v>
      </c>
      <c r="AB20" s="20">
        <f t="shared" ca="1" si="28"/>
        <v>7.4622210557945463</v>
      </c>
      <c r="AC20" s="20">
        <f t="shared" ca="1" si="29"/>
        <v>4.8243009327692536E-2</v>
      </c>
      <c r="AD20" s="6">
        <f t="shared" ca="1" si="30"/>
        <v>7.6410557184750623</v>
      </c>
      <c r="AE20" s="21">
        <f t="shared" ca="1" si="31"/>
        <v>0.29731734313132541</v>
      </c>
    </row>
    <row r="21" spans="1:31" hidden="1" x14ac:dyDescent="0.25">
      <c r="A21" s="24">
        <f t="shared" ca="1" si="15"/>
        <v>20</v>
      </c>
      <c r="B21" s="24">
        <v>12</v>
      </c>
      <c r="C21" s="24">
        <v>41</v>
      </c>
      <c r="D21" s="24">
        <v>35</v>
      </c>
      <c r="E21">
        <v>351982</v>
      </c>
      <c r="F21" s="2" t="s">
        <v>2</v>
      </c>
      <c r="G21" s="2" t="str">
        <f t="shared" si="16"/>
        <v>https://www.oreht.ru/modules.php?name=orehtPriceLS&amp;op=Search&amp;page=1&amp;stext=351982</v>
      </c>
      <c r="I21">
        <v>351982</v>
      </c>
      <c r="J21" t="s">
        <v>2</v>
      </c>
      <c r="K21" t="s">
        <v>69</v>
      </c>
      <c r="L21" t="s">
        <v>656</v>
      </c>
      <c r="M21" t="s">
        <v>657</v>
      </c>
      <c r="O21" s="26" t="str">
        <f>Таблица1_2[[#This Row],[Цена]]</f>
        <v xml:space="preserve">28,5 </v>
      </c>
      <c r="P21" s="17">
        <v>0.36</v>
      </c>
      <c r="Q21" s="26">
        <f t="shared" si="17"/>
        <v>10.26</v>
      </c>
      <c r="R21" s="8">
        <f t="shared" si="18"/>
        <v>0.12</v>
      </c>
      <c r="S21" s="18">
        <f t="shared" ca="1" si="19"/>
        <v>19.759530791788855</v>
      </c>
      <c r="T21" s="18">
        <f t="shared" ca="1" si="20"/>
        <v>96</v>
      </c>
      <c r="U21" s="18">
        <f t="shared" ca="1" si="21"/>
        <v>96</v>
      </c>
      <c r="V21" s="18">
        <f t="shared" ca="1" si="22"/>
        <v>11.526392961876834</v>
      </c>
      <c r="W21" s="29">
        <f t="shared" ca="1" si="23"/>
        <v>164.66275659824046</v>
      </c>
      <c r="X21" s="19">
        <f t="shared" ca="1" si="24"/>
        <v>70.569752827817339</v>
      </c>
      <c r="Y21" s="19">
        <f t="shared" ca="1" si="25"/>
        <v>0</v>
      </c>
      <c r="Z21" s="31">
        <f t="shared" ca="1" si="26"/>
        <v>235.23250942605782</v>
      </c>
      <c r="AA21" s="31">
        <f t="shared" ca="1" si="27"/>
        <v>290</v>
      </c>
      <c r="AB21" s="20">
        <f t="shared" ca="1" si="28"/>
        <v>5.7776405823944019</v>
      </c>
      <c r="AC21" s="20">
        <f t="shared" ca="1" si="29"/>
        <v>6.2309171861086379E-2</v>
      </c>
      <c r="AD21" s="6">
        <f t="shared" ca="1" si="30"/>
        <v>8.8768328445747713</v>
      </c>
      <c r="AE21" s="21">
        <f t="shared" ca="1" si="31"/>
        <v>0.31146781910788673</v>
      </c>
    </row>
    <row r="22" spans="1:31" hidden="1" x14ac:dyDescent="0.25">
      <c r="A22" s="24">
        <f t="shared" ca="1" si="15"/>
        <v>20</v>
      </c>
      <c r="B22" s="24">
        <v>12</v>
      </c>
      <c r="C22" s="24">
        <v>41</v>
      </c>
      <c r="D22" s="24">
        <v>35</v>
      </c>
      <c r="E22">
        <v>211945</v>
      </c>
      <c r="F22" s="2" t="s">
        <v>2</v>
      </c>
      <c r="G22" s="2" t="str">
        <f t="shared" si="16"/>
        <v>https://www.oreht.ru/modules.php?name=orehtPriceLS&amp;op=Search&amp;page=1&amp;stext=211945</v>
      </c>
      <c r="I22">
        <v>211945</v>
      </c>
      <c r="J22" t="s">
        <v>2</v>
      </c>
      <c r="K22" t="s">
        <v>70</v>
      </c>
      <c r="L22" t="s">
        <v>658</v>
      </c>
      <c r="M22" t="s">
        <v>659</v>
      </c>
      <c r="O22" s="26" t="str">
        <f>Таблица1_2[[#This Row],[Цена]]</f>
        <v xml:space="preserve">29,4 </v>
      </c>
      <c r="P22" s="17">
        <v>0.36</v>
      </c>
      <c r="Q22" s="26">
        <f t="shared" si="17"/>
        <v>10.584</v>
      </c>
      <c r="R22" s="8">
        <f t="shared" si="18"/>
        <v>0.12</v>
      </c>
      <c r="S22" s="18">
        <f t="shared" ca="1" si="19"/>
        <v>19.939002932551318</v>
      </c>
      <c r="T22" s="18">
        <f t="shared" ca="1" si="20"/>
        <v>96</v>
      </c>
      <c r="U22" s="18">
        <f t="shared" ca="1" si="21"/>
        <v>96</v>
      </c>
      <c r="V22" s="18">
        <f t="shared" ca="1" si="22"/>
        <v>11.631085043988271</v>
      </c>
      <c r="W22" s="29">
        <f t="shared" ca="1" si="23"/>
        <v>166.158357771261</v>
      </c>
      <c r="X22" s="19">
        <f t="shared" ca="1" si="24"/>
        <v>71.210724759111855</v>
      </c>
      <c r="Y22" s="19">
        <f t="shared" ca="1" si="25"/>
        <v>0</v>
      </c>
      <c r="Z22" s="31">
        <f t="shared" ca="1" si="26"/>
        <v>237.36908253037288</v>
      </c>
      <c r="AA22" s="31">
        <f t="shared" ca="1" si="27"/>
        <v>290</v>
      </c>
      <c r="AB22" s="20">
        <f t="shared" ca="1" si="28"/>
        <v>5.6516448221517344</v>
      </c>
      <c r="AC22" s="20">
        <f t="shared" ca="1" si="29"/>
        <v>6.3698270384751149E-2</v>
      </c>
      <c r="AD22" s="6">
        <f t="shared" ca="1" si="30"/>
        <v>9.188269794721414</v>
      </c>
      <c r="AE22" s="21">
        <f t="shared" ca="1" si="31"/>
        <v>0.31252618349392564</v>
      </c>
    </row>
    <row r="23" spans="1:31" hidden="1" x14ac:dyDescent="0.25">
      <c r="A23" s="24">
        <f t="shared" ca="1" si="15"/>
        <v>20</v>
      </c>
      <c r="B23" s="24">
        <v>10</v>
      </c>
      <c r="C23" s="24">
        <v>45</v>
      </c>
      <c r="D23" s="24">
        <v>35</v>
      </c>
      <c r="E23">
        <v>204786</v>
      </c>
      <c r="F23" s="2" t="s">
        <v>2</v>
      </c>
      <c r="G23" s="2" t="str">
        <f t="shared" si="16"/>
        <v>https://www.oreht.ru/modules.php?name=orehtPriceLS&amp;op=Search&amp;page=1&amp;stext=204786</v>
      </c>
      <c r="I23">
        <v>204786</v>
      </c>
      <c r="J23" t="s">
        <v>2</v>
      </c>
      <c r="K23" t="s">
        <v>71</v>
      </c>
      <c r="L23" t="s">
        <v>660</v>
      </c>
      <c r="M23" t="s">
        <v>661</v>
      </c>
      <c r="O23" s="26" t="str">
        <f>Таблица1_2[[#This Row],[Цена]]</f>
        <v xml:space="preserve">29,3 </v>
      </c>
      <c r="P23" s="17">
        <v>0.36</v>
      </c>
      <c r="Q23" s="26">
        <f t="shared" si="17"/>
        <v>10.548</v>
      </c>
      <c r="R23" s="8">
        <f t="shared" si="18"/>
        <v>0.1</v>
      </c>
      <c r="S23" s="18">
        <f t="shared" ca="1" si="19"/>
        <v>16.708243727598568</v>
      </c>
      <c r="T23" s="18">
        <f t="shared" ca="1" si="20"/>
        <v>100</v>
      </c>
      <c r="U23" s="18">
        <f t="shared" ca="1" si="21"/>
        <v>100</v>
      </c>
      <c r="V23" s="18">
        <f t="shared" ca="1" si="22"/>
        <v>11.695770609318998</v>
      </c>
      <c r="W23" s="29">
        <f t="shared" ca="1" si="23"/>
        <v>167.08243727598568</v>
      </c>
      <c r="X23" s="19">
        <f t="shared" ca="1" si="24"/>
        <v>71.606758832565291</v>
      </c>
      <c r="Y23" s="19">
        <f t="shared" ca="1" si="25"/>
        <v>0</v>
      </c>
      <c r="Z23" s="31">
        <f t="shared" ca="1" si="26"/>
        <v>238.68919610855099</v>
      </c>
      <c r="AA23" s="31">
        <f t="shared" ca="1" si="27"/>
        <v>290</v>
      </c>
      <c r="AB23" s="20">
        <f t="shared" ca="1" si="28"/>
        <v>5.7024722619790333</v>
      </c>
      <c r="AC23" s="20">
        <f t="shared" ca="1" si="29"/>
        <v>6.3130513128539553E-2</v>
      </c>
      <c r="AD23" s="6">
        <f t="shared" ca="1" si="30"/>
        <v>9.3784229390681126</v>
      </c>
      <c r="AE23" s="21">
        <f t="shared" ca="1" si="31"/>
        <v>0.32008269416614721</v>
      </c>
    </row>
    <row r="24" spans="1:31" hidden="1" x14ac:dyDescent="0.25">
      <c r="A24" s="24" t="e">
        <f t="shared" ca="1" si="15"/>
        <v>#VALUE!</v>
      </c>
      <c r="B24" s="24">
        <v>12</v>
      </c>
      <c r="C24" s="24">
        <v>41</v>
      </c>
      <c r="D24" s="24">
        <v>35</v>
      </c>
      <c r="E24">
        <v>362474</v>
      </c>
      <c r="F24" s="2" t="s">
        <v>2</v>
      </c>
      <c r="G24" s="2" t="str">
        <f t="shared" si="16"/>
        <v>https://www.oreht.ru/modules.php?name=orehtPriceLS&amp;op=Search&amp;page=1&amp;stext=362474</v>
      </c>
      <c r="I24">
        <v>362474</v>
      </c>
      <c r="J24" t="s">
        <v>2</v>
      </c>
      <c r="K24" t="s">
        <v>72</v>
      </c>
      <c r="L24" t="s">
        <v>662</v>
      </c>
      <c r="M24">
        <v>30</v>
      </c>
      <c r="O24" s="26">
        <f>Таблица1_2[[#This Row],[Цена]]</f>
        <v>30</v>
      </c>
      <c r="P24" s="17">
        <v>0.36</v>
      </c>
      <c r="Q24" s="26">
        <f t="shared" si="17"/>
        <v>10.799999999999999</v>
      </c>
      <c r="R24" s="8">
        <f t="shared" si="18"/>
        <v>0.12</v>
      </c>
      <c r="S24" s="18" t="e">
        <f t="shared" ca="1" si="19"/>
        <v>#VALUE!</v>
      </c>
      <c r="T24" s="18" t="e">
        <f t="shared" ca="1" si="20"/>
        <v>#VALUE!</v>
      </c>
      <c r="U24" s="18" t="e">
        <f t="shared" ca="1" si="21"/>
        <v>#VALUE!</v>
      </c>
      <c r="V24" s="18" t="e">
        <f t="shared" ca="1" si="22"/>
        <v>#VALUE!</v>
      </c>
      <c r="W24" s="29" t="e">
        <f t="shared" ca="1" si="23"/>
        <v>#VALUE!</v>
      </c>
      <c r="X24" s="19" t="e">
        <f t="shared" ca="1" si="24"/>
        <v>#VALUE!</v>
      </c>
      <c r="Y24" s="19" t="e">
        <f t="shared" ca="1" si="25"/>
        <v>#VALUE!</v>
      </c>
      <c r="Z24" s="31" t="e">
        <f t="shared" ca="1" si="26"/>
        <v>#VALUE!</v>
      </c>
      <c r="AA24" s="31" t="e">
        <f t="shared" ca="1" si="27"/>
        <v>#VALUE!</v>
      </c>
      <c r="AB24" s="20" t="e">
        <f t="shared" ca="1" si="28"/>
        <v>#VALUE!</v>
      </c>
      <c r="AC24" s="20" t="e">
        <f t="shared" ca="1" si="29"/>
        <v>#VALUE!</v>
      </c>
      <c r="AD24" s="6" t="e">
        <f t="shared" ca="1" si="30"/>
        <v>#VALUE!</v>
      </c>
      <c r="AE24" s="21" t="e">
        <f t="shared" ca="1" si="31"/>
        <v>#VALUE!</v>
      </c>
    </row>
    <row r="25" spans="1:31" hidden="1" x14ac:dyDescent="0.25">
      <c r="A25" s="24">
        <f t="shared" ca="1" si="15"/>
        <v>20</v>
      </c>
      <c r="B25" s="24">
        <v>5</v>
      </c>
      <c r="C25" s="24">
        <v>40</v>
      </c>
      <c r="D25" s="24">
        <v>35</v>
      </c>
      <c r="E25">
        <v>150431</v>
      </c>
      <c r="F25" s="2" t="s">
        <v>2</v>
      </c>
      <c r="G25" s="2" t="str">
        <f t="shared" si="16"/>
        <v>https://www.oreht.ru/modules.php?name=orehtPriceLS&amp;op=Search&amp;page=1&amp;stext=150431</v>
      </c>
      <c r="I25">
        <v>150431</v>
      </c>
      <c r="J25" t="s">
        <v>2</v>
      </c>
      <c r="K25" t="s">
        <v>73</v>
      </c>
      <c r="L25" t="s">
        <v>663</v>
      </c>
      <c r="M25" t="s">
        <v>664</v>
      </c>
      <c r="O25" s="26" t="str">
        <f>Таблица1_2[[#This Row],[Цена]]</f>
        <v xml:space="preserve">31 </v>
      </c>
      <c r="P25" s="17">
        <v>0.36</v>
      </c>
      <c r="Q25" s="26">
        <f t="shared" si="17"/>
        <v>11.16</v>
      </c>
      <c r="R25" s="8">
        <f t="shared" si="18"/>
        <v>0.05</v>
      </c>
      <c r="S25" s="18">
        <f t="shared" ca="1" si="19"/>
        <v>7.7623089983022071</v>
      </c>
      <c r="T25" s="18">
        <f t="shared" ca="1" si="20"/>
        <v>95</v>
      </c>
      <c r="U25" s="18">
        <f t="shared" ca="1" si="21"/>
        <v>95</v>
      </c>
      <c r="V25" s="18">
        <f t="shared" ca="1" si="22"/>
        <v>10.86723259762309</v>
      </c>
      <c r="W25" s="29">
        <f t="shared" ca="1" si="23"/>
        <v>155.24617996604414</v>
      </c>
      <c r="X25" s="19">
        <f t="shared" ca="1" si="24"/>
        <v>66.534077128304631</v>
      </c>
      <c r="Y25" s="19">
        <f t="shared" ca="1" si="25"/>
        <v>0</v>
      </c>
      <c r="Z25" s="31">
        <f t="shared" ca="1" si="26"/>
        <v>221.78025709434877</v>
      </c>
      <c r="AA25" s="31">
        <f t="shared" ca="1" si="27"/>
        <v>290</v>
      </c>
      <c r="AB25" s="20">
        <f t="shared" ca="1" si="28"/>
        <v>5.0079412892272304</v>
      </c>
      <c r="AC25" s="20">
        <f t="shared" ca="1" si="29"/>
        <v>7.1885826771653547E-2</v>
      </c>
      <c r="AD25" s="6">
        <f t="shared" ca="1" si="30"/>
        <v>10.616638370118842</v>
      </c>
      <c r="AE25" s="21">
        <f t="shared" ca="1" si="31"/>
        <v>0.34247220548770457</v>
      </c>
    </row>
    <row r="26" spans="1:31" hidden="1" x14ac:dyDescent="0.25">
      <c r="A26" s="24">
        <f t="shared" ca="1" si="15"/>
        <v>20</v>
      </c>
      <c r="B26" s="24">
        <v>12</v>
      </c>
      <c r="C26" s="24">
        <v>41</v>
      </c>
      <c r="D26" s="24">
        <v>35</v>
      </c>
      <c r="E26">
        <v>400070</v>
      </c>
      <c r="F26" s="2" t="s">
        <v>2</v>
      </c>
      <c r="G26" s="2" t="str">
        <f t="shared" si="16"/>
        <v>https://www.oreht.ru/modules.php?name=orehtPriceLS&amp;op=Search&amp;page=1&amp;stext=400070</v>
      </c>
      <c r="I26">
        <v>400070</v>
      </c>
      <c r="J26" t="s">
        <v>2</v>
      </c>
      <c r="K26" t="s">
        <v>74</v>
      </c>
      <c r="L26" t="s">
        <v>665</v>
      </c>
      <c r="M26" t="s">
        <v>83</v>
      </c>
      <c r="O26" s="26" t="str">
        <f>Таблица1_2[[#This Row],[Цена]]</f>
        <v xml:space="preserve">29,9 </v>
      </c>
      <c r="P26" s="17">
        <v>0.36</v>
      </c>
      <c r="Q26" s="26">
        <f t="shared" si="17"/>
        <v>10.763999999999999</v>
      </c>
      <c r="R26" s="8">
        <f t="shared" si="18"/>
        <v>0.12</v>
      </c>
      <c r="S26" s="18">
        <f t="shared" ca="1" si="19"/>
        <v>20.038709677419352</v>
      </c>
      <c r="T26" s="18">
        <f t="shared" ca="1" si="20"/>
        <v>96</v>
      </c>
      <c r="U26" s="18">
        <f t="shared" ca="1" si="21"/>
        <v>96</v>
      </c>
      <c r="V26" s="18">
        <f t="shared" ca="1" si="22"/>
        <v>11.689247311827957</v>
      </c>
      <c r="W26" s="29">
        <f t="shared" ca="1" si="23"/>
        <v>166.98924731182794</v>
      </c>
      <c r="X26" s="19">
        <f t="shared" ca="1" si="24"/>
        <v>71.566820276497694</v>
      </c>
      <c r="Y26" s="19">
        <f t="shared" ca="1" si="25"/>
        <v>0</v>
      </c>
      <c r="Z26" s="31">
        <f t="shared" ca="1" si="26"/>
        <v>238.55606758832565</v>
      </c>
      <c r="AA26" s="31">
        <f t="shared" ca="1" si="27"/>
        <v>290</v>
      </c>
      <c r="AB26" s="20">
        <f t="shared" ca="1" si="28"/>
        <v>5.5849246592584594</v>
      </c>
      <c r="AC26" s="20">
        <f t="shared" ca="1" si="29"/>
        <v>6.4459240180296209E-2</v>
      </c>
      <c r="AD26" s="6">
        <f t="shared" ca="1" si="30"/>
        <v>9.3612903225806363</v>
      </c>
      <c r="AE26" s="21">
        <f t="shared" ca="1" si="31"/>
        <v>0.31308663286222865</v>
      </c>
    </row>
    <row r="27" spans="1:31" hidden="1" x14ac:dyDescent="0.25">
      <c r="A27" s="24">
        <f t="shared" ca="1" si="15"/>
        <v>20</v>
      </c>
      <c r="B27" s="24">
        <v>12</v>
      </c>
      <c r="C27" s="24">
        <v>40</v>
      </c>
      <c r="D27" s="24">
        <v>35</v>
      </c>
      <c r="E27">
        <v>104953</v>
      </c>
      <c r="F27" s="2" t="s">
        <v>2</v>
      </c>
      <c r="G27" s="2" t="str">
        <f t="shared" si="16"/>
        <v>https://www.oreht.ru/modules.php?name=orehtPriceLS&amp;op=Search&amp;page=1&amp;stext=104953</v>
      </c>
      <c r="I27">
        <v>104953</v>
      </c>
      <c r="J27" t="s">
        <v>2</v>
      </c>
      <c r="K27" t="s">
        <v>75</v>
      </c>
      <c r="L27" t="s">
        <v>666</v>
      </c>
      <c r="M27" t="s">
        <v>667</v>
      </c>
      <c r="O27" s="26" t="str">
        <f>Таблица1_2[[#This Row],[Цена]]</f>
        <v xml:space="preserve">31,5 </v>
      </c>
      <c r="P27" s="17">
        <v>0.36</v>
      </c>
      <c r="Q27" s="26">
        <f t="shared" si="17"/>
        <v>11.34</v>
      </c>
      <c r="R27" s="8">
        <f t="shared" si="18"/>
        <v>0.12</v>
      </c>
      <c r="S27" s="18">
        <f t="shared" ca="1" si="19"/>
        <v>20.211143695014663</v>
      </c>
      <c r="T27" s="18">
        <f t="shared" ca="1" si="20"/>
        <v>95</v>
      </c>
      <c r="U27" s="18">
        <f t="shared" ca="1" si="21"/>
        <v>95</v>
      </c>
      <c r="V27" s="18">
        <f t="shared" ca="1" si="22"/>
        <v>11.789833822091888</v>
      </c>
      <c r="W27" s="29">
        <f t="shared" ca="1" si="23"/>
        <v>168.42619745845553</v>
      </c>
      <c r="X27" s="19">
        <f t="shared" ca="1" si="24"/>
        <v>72.182656053623802</v>
      </c>
      <c r="Y27" s="19">
        <f t="shared" ca="1" si="25"/>
        <v>0</v>
      </c>
      <c r="Z27" s="31">
        <f t="shared" ca="1" si="26"/>
        <v>240.60885351207935</v>
      </c>
      <c r="AA27" s="31">
        <f t="shared" ca="1" si="27"/>
        <v>290</v>
      </c>
      <c r="AB27" s="20">
        <f t="shared" ca="1" si="28"/>
        <v>5.346863411379541</v>
      </c>
      <c r="AC27" s="20">
        <f t="shared" ca="1" si="29"/>
        <v>6.7329193267556584E-2</v>
      </c>
      <c r="AD27" s="6">
        <f t="shared" ca="1" si="30"/>
        <v>9.9252199413489919</v>
      </c>
      <c r="AE27" s="21">
        <f t="shared" ca="1" si="31"/>
        <v>0.31508634734441243</v>
      </c>
    </row>
    <row r="28" spans="1:31" hidden="1" x14ac:dyDescent="0.25">
      <c r="A28" s="24">
        <f t="shared" ca="1" si="15"/>
        <v>20</v>
      </c>
      <c r="B28" s="24">
        <v>12</v>
      </c>
      <c r="C28" s="24">
        <v>40</v>
      </c>
      <c r="D28" s="24">
        <v>35</v>
      </c>
      <c r="E28">
        <v>400073</v>
      </c>
      <c r="F28" s="2" t="s">
        <v>2</v>
      </c>
      <c r="G28" s="2" t="str">
        <f t="shared" si="16"/>
        <v>https://www.oreht.ru/modules.php?name=orehtPriceLS&amp;op=Search&amp;page=1&amp;stext=400073</v>
      </c>
      <c r="I28">
        <v>400073</v>
      </c>
      <c r="J28" t="s">
        <v>2</v>
      </c>
      <c r="K28" t="s">
        <v>76</v>
      </c>
      <c r="L28" t="s">
        <v>668</v>
      </c>
      <c r="M28" t="s">
        <v>657</v>
      </c>
      <c r="O28" s="26" t="str">
        <f>Таблица1_2[[#This Row],[Цена]]</f>
        <v xml:space="preserve">28,5 </v>
      </c>
      <c r="P28" s="17">
        <v>0.36</v>
      </c>
      <c r="Q28" s="26">
        <f t="shared" si="17"/>
        <v>10.26</v>
      </c>
      <c r="R28" s="8">
        <f t="shared" si="18"/>
        <v>0.12</v>
      </c>
      <c r="S28" s="18">
        <f t="shared" ca="1" si="19"/>
        <v>19.612903225806452</v>
      </c>
      <c r="T28" s="18">
        <f t="shared" ca="1" si="20"/>
        <v>95</v>
      </c>
      <c r="U28" s="18">
        <f t="shared" ca="1" si="21"/>
        <v>95</v>
      </c>
      <c r="V28" s="18">
        <f t="shared" ca="1" si="22"/>
        <v>11.440860215053764</v>
      </c>
      <c r="W28" s="29">
        <f t="shared" ca="1" si="23"/>
        <v>163.44086021505376</v>
      </c>
      <c r="X28" s="19">
        <f t="shared" ca="1" si="24"/>
        <v>70.046082949308754</v>
      </c>
      <c r="Y28" s="19">
        <f t="shared" ca="1" si="25"/>
        <v>0</v>
      </c>
      <c r="Z28" s="31">
        <f t="shared" ca="1" si="26"/>
        <v>233.48694316436254</v>
      </c>
      <c r="AA28" s="31">
        <f t="shared" ca="1" si="27"/>
        <v>290</v>
      </c>
      <c r="AB28" s="20">
        <f t="shared" ca="1" si="28"/>
        <v>5.7347670250896057</v>
      </c>
      <c r="AC28" s="20">
        <f t="shared" ca="1" si="29"/>
        <v>6.2774999999999997E-2</v>
      </c>
      <c r="AD28" s="6">
        <f t="shared" ca="1" si="30"/>
        <v>8.8870967741935516</v>
      </c>
      <c r="AE28" s="21">
        <f t="shared" ca="1" si="31"/>
        <v>0.31182795698924742</v>
      </c>
    </row>
    <row r="29" spans="1:31" hidden="1" x14ac:dyDescent="0.25">
      <c r="A29" s="24" t="e">
        <f t="shared" ca="1" si="15"/>
        <v>#VALUE!</v>
      </c>
      <c r="B29" s="24">
        <v>12</v>
      </c>
      <c r="C29" s="24">
        <v>40</v>
      </c>
      <c r="D29" s="24">
        <v>35</v>
      </c>
      <c r="E29">
        <v>389061</v>
      </c>
      <c r="F29" s="2" t="s">
        <v>2</v>
      </c>
      <c r="G29" s="2" t="str">
        <f t="shared" si="16"/>
        <v>https://www.oreht.ru/modules.php?name=orehtPriceLS&amp;op=Search&amp;page=1&amp;stext=389061</v>
      </c>
      <c r="I29">
        <v>389061</v>
      </c>
      <c r="J29" t="s">
        <v>2</v>
      </c>
      <c r="K29" t="s">
        <v>77</v>
      </c>
      <c r="L29" t="s">
        <v>669</v>
      </c>
      <c r="M29">
        <v>32</v>
      </c>
      <c r="O29" s="26">
        <f>Таблица1_2[[#This Row],[Цена]]</f>
        <v>32</v>
      </c>
      <c r="P29" s="17">
        <v>0.36</v>
      </c>
      <c r="Q29" s="26">
        <f t="shared" si="17"/>
        <v>11.52</v>
      </c>
      <c r="R29" s="8">
        <f t="shared" si="18"/>
        <v>0.12</v>
      </c>
      <c r="S29" s="18" t="e">
        <f t="shared" ca="1" si="19"/>
        <v>#VALUE!</v>
      </c>
      <c r="T29" s="18" t="e">
        <f t="shared" ca="1" si="20"/>
        <v>#VALUE!</v>
      </c>
      <c r="U29" s="18" t="e">
        <f t="shared" ca="1" si="21"/>
        <v>#VALUE!</v>
      </c>
      <c r="V29" s="18" t="e">
        <f t="shared" ca="1" si="22"/>
        <v>#VALUE!</v>
      </c>
      <c r="W29" s="29" t="e">
        <f t="shared" ca="1" si="23"/>
        <v>#VALUE!</v>
      </c>
      <c r="X29" s="19" t="e">
        <f t="shared" ca="1" si="24"/>
        <v>#VALUE!</v>
      </c>
      <c r="Y29" s="19" t="e">
        <f t="shared" ca="1" si="25"/>
        <v>#VALUE!</v>
      </c>
      <c r="Z29" s="31" t="e">
        <f t="shared" ca="1" si="26"/>
        <v>#VALUE!</v>
      </c>
      <c r="AA29" s="31" t="e">
        <f t="shared" ca="1" si="27"/>
        <v>#VALUE!</v>
      </c>
      <c r="AB29" s="20" t="e">
        <f t="shared" ca="1" si="28"/>
        <v>#VALUE!</v>
      </c>
      <c r="AC29" s="20" t="e">
        <f t="shared" ca="1" si="29"/>
        <v>#VALUE!</v>
      </c>
      <c r="AD29" s="6" t="e">
        <f t="shared" ca="1" si="30"/>
        <v>#VALUE!</v>
      </c>
      <c r="AE29" s="21" t="e">
        <f t="shared" ca="1" si="31"/>
        <v>#VALUE!</v>
      </c>
    </row>
    <row r="30" spans="1:31" hidden="1" x14ac:dyDescent="0.25">
      <c r="A30" s="24">
        <f t="shared" ca="1" si="15"/>
        <v>20</v>
      </c>
      <c r="B30" s="24">
        <v>12</v>
      </c>
      <c r="C30" s="24">
        <v>41</v>
      </c>
      <c r="D30" s="24">
        <v>35</v>
      </c>
      <c r="E30">
        <v>415044</v>
      </c>
      <c r="F30" s="2" t="s">
        <v>2</v>
      </c>
      <c r="G30" s="2" t="str">
        <f t="shared" si="16"/>
        <v>https://www.oreht.ru/modules.php?name=orehtPriceLS&amp;op=Search&amp;page=1&amp;stext=415044</v>
      </c>
      <c r="I30">
        <v>415044</v>
      </c>
      <c r="J30" t="s">
        <v>2</v>
      </c>
      <c r="K30" t="s">
        <v>78</v>
      </c>
      <c r="L30" t="s">
        <v>670</v>
      </c>
      <c r="M30" t="s">
        <v>671</v>
      </c>
      <c r="O30" s="26" t="str">
        <f>Таблица1_2[[#This Row],[Цена]]</f>
        <v xml:space="preserve">30,5 </v>
      </c>
      <c r="P30" s="17">
        <v>0.36</v>
      </c>
      <c r="Q30" s="26">
        <f t="shared" si="17"/>
        <v>10.98</v>
      </c>
      <c r="R30" s="8">
        <f t="shared" si="18"/>
        <v>0.12</v>
      </c>
      <c r="S30" s="18">
        <f t="shared" ca="1" si="19"/>
        <v>20.158357771261002</v>
      </c>
      <c r="T30" s="18">
        <f t="shared" ca="1" si="20"/>
        <v>96</v>
      </c>
      <c r="U30" s="18">
        <f t="shared" ca="1" si="21"/>
        <v>96</v>
      </c>
      <c r="V30" s="18">
        <f t="shared" ca="1" si="22"/>
        <v>11.759042033235586</v>
      </c>
      <c r="W30" s="29">
        <f t="shared" ca="1" si="23"/>
        <v>167.98631476050835</v>
      </c>
      <c r="X30" s="19">
        <f t="shared" ca="1" si="24"/>
        <v>71.994134897360723</v>
      </c>
      <c r="Y30" s="19">
        <f t="shared" ca="1" si="25"/>
        <v>0</v>
      </c>
      <c r="Z30" s="31">
        <f t="shared" ca="1" si="26"/>
        <v>239.98044965786909</v>
      </c>
      <c r="AA30" s="31">
        <f t="shared" ca="1" si="27"/>
        <v>290</v>
      </c>
      <c r="AB30" s="20">
        <f t="shared" ca="1" si="28"/>
        <v>5.5077480249346999</v>
      </c>
      <c r="AC30" s="20">
        <f t="shared" ca="1" si="29"/>
        <v>6.536246726796624E-2</v>
      </c>
      <c r="AD30" s="6">
        <f t="shared" ca="1" si="30"/>
        <v>9.5689149560117741</v>
      </c>
      <c r="AE30" s="21">
        <f t="shared" ca="1" si="31"/>
        <v>0.31373491659054997</v>
      </c>
    </row>
    <row r="31" spans="1:31" hidden="1" x14ac:dyDescent="0.25">
      <c r="A31" s="24">
        <f t="shared" ca="1" si="15"/>
        <v>20</v>
      </c>
      <c r="B31" s="24">
        <v>12</v>
      </c>
      <c r="C31" s="24">
        <v>41</v>
      </c>
      <c r="D31" s="24">
        <v>35</v>
      </c>
      <c r="E31">
        <v>400068</v>
      </c>
      <c r="F31" s="2" t="s">
        <v>2</v>
      </c>
      <c r="G31" s="2" t="str">
        <f t="shared" si="16"/>
        <v>https://www.oreht.ru/modules.php?name=orehtPriceLS&amp;op=Search&amp;page=1&amp;stext=400068</v>
      </c>
      <c r="I31">
        <v>400068</v>
      </c>
      <c r="J31" t="s">
        <v>2</v>
      </c>
      <c r="K31" t="s">
        <v>79</v>
      </c>
      <c r="L31" t="s">
        <v>672</v>
      </c>
      <c r="M31" t="s">
        <v>671</v>
      </c>
      <c r="O31" s="26" t="str">
        <f>Таблица1_2[[#This Row],[Цена]]</f>
        <v xml:space="preserve">30,5 </v>
      </c>
      <c r="P31" s="17">
        <v>0.36</v>
      </c>
      <c r="Q31" s="26">
        <f t="shared" si="17"/>
        <v>10.98</v>
      </c>
      <c r="R31" s="8">
        <f t="shared" si="18"/>
        <v>0.12</v>
      </c>
      <c r="S31" s="18">
        <f t="shared" ca="1" si="19"/>
        <v>20.158357771261002</v>
      </c>
      <c r="T31" s="18">
        <f t="shared" ca="1" si="20"/>
        <v>96</v>
      </c>
      <c r="U31" s="18">
        <f t="shared" ca="1" si="21"/>
        <v>96</v>
      </c>
      <c r="V31" s="18">
        <f t="shared" ca="1" si="22"/>
        <v>11.759042033235586</v>
      </c>
      <c r="W31" s="29">
        <f t="shared" ca="1" si="23"/>
        <v>167.98631476050835</v>
      </c>
      <c r="X31" s="19">
        <f t="shared" ca="1" si="24"/>
        <v>71.994134897360723</v>
      </c>
      <c r="Y31" s="19">
        <f t="shared" ca="1" si="25"/>
        <v>0</v>
      </c>
      <c r="Z31" s="31">
        <f t="shared" ca="1" si="26"/>
        <v>239.98044965786909</v>
      </c>
      <c r="AA31" s="31">
        <f t="shared" ca="1" si="27"/>
        <v>290</v>
      </c>
      <c r="AB31" s="20">
        <f t="shared" ca="1" si="28"/>
        <v>5.5077480249346999</v>
      </c>
      <c r="AC31" s="20">
        <f t="shared" ca="1" si="29"/>
        <v>6.536246726796624E-2</v>
      </c>
      <c r="AD31" s="6">
        <f t="shared" ca="1" si="30"/>
        <v>9.5689149560117741</v>
      </c>
      <c r="AE31" s="21">
        <f t="shared" ca="1" si="31"/>
        <v>0.31373491659054997</v>
      </c>
    </row>
    <row r="32" spans="1:31" hidden="1" x14ac:dyDescent="0.25">
      <c r="A32" s="24">
        <f t="shared" ca="1" si="15"/>
        <v>20</v>
      </c>
      <c r="B32" s="24">
        <v>12</v>
      </c>
      <c r="C32" s="24">
        <v>40</v>
      </c>
      <c r="D32" s="24">
        <v>35</v>
      </c>
      <c r="E32">
        <v>400067</v>
      </c>
      <c r="F32" s="2" t="s">
        <v>2</v>
      </c>
      <c r="G32" s="2" t="str">
        <f t="shared" si="16"/>
        <v>https://www.oreht.ru/modules.php?name=orehtPriceLS&amp;op=Search&amp;page=1&amp;stext=400067</v>
      </c>
      <c r="I32">
        <v>400067</v>
      </c>
      <c r="J32" t="s">
        <v>2</v>
      </c>
      <c r="K32" t="s">
        <v>80</v>
      </c>
      <c r="L32" t="s">
        <v>673</v>
      </c>
      <c r="M32" t="s">
        <v>671</v>
      </c>
      <c r="O32" s="26" t="str">
        <f>Таблица1_2[[#This Row],[Цена]]</f>
        <v xml:space="preserve">30,5 </v>
      </c>
      <c r="P32" s="17">
        <v>0.36</v>
      </c>
      <c r="Q32" s="26">
        <f t="shared" si="17"/>
        <v>10.98</v>
      </c>
      <c r="R32" s="8">
        <f t="shared" si="18"/>
        <v>0.12</v>
      </c>
      <c r="S32" s="18">
        <f t="shared" ca="1" si="19"/>
        <v>20.011730205278596</v>
      </c>
      <c r="T32" s="18">
        <f t="shared" ca="1" si="20"/>
        <v>95</v>
      </c>
      <c r="U32" s="18">
        <f t="shared" ca="1" si="21"/>
        <v>95</v>
      </c>
      <c r="V32" s="18">
        <f t="shared" ca="1" si="22"/>
        <v>11.673509286412516</v>
      </c>
      <c r="W32" s="29">
        <f t="shared" ca="1" si="23"/>
        <v>166.76441837732165</v>
      </c>
      <c r="X32" s="19">
        <f t="shared" ca="1" si="24"/>
        <v>71.470465018852138</v>
      </c>
      <c r="Y32" s="19">
        <f t="shared" ca="1" si="25"/>
        <v>0</v>
      </c>
      <c r="Z32" s="31">
        <f t="shared" ca="1" si="26"/>
        <v>238.23488339617379</v>
      </c>
      <c r="AA32" s="31">
        <f t="shared" ca="1" si="27"/>
        <v>290</v>
      </c>
      <c r="AB32" s="20">
        <f t="shared" ca="1" si="28"/>
        <v>5.4676858484367754</v>
      </c>
      <c r="AC32" s="20">
        <f t="shared" ca="1" si="29"/>
        <v>6.5841383352872207E-2</v>
      </c>
      <c r="AD32" s="6">
        <f t="shared" ca="1" si="30"/>
        <v>9.579178885630526</v>
      </c>
      <c r="AE32" s="21">
        <f t="shared" ca="1" si="31"/>
        <v>0.31407143887313199</v>
      </c>
    </row>
    <row r="33" spans="1:31" hidden="1" x14ac:dyDescent="0.25">
      <c r="A33" s="24">
        <f t="shared" ca="1" si="15"/>
        <v>20</v>
      </c>
      <c r="B33" s="24">
        <v>12</v>
      </c>
      <c r="C33" s="24">
        <v>45</v>
      </c>
      <c r="D33" s="24">
        <v>35</v>
      </c>
      <c r="E33">
        <v>400069</v>
      </c>
      <c r="F33" s="2" t="s">
        <v>2</v>
      </c>
      <c r="G33" s="2" t="str">
        <f t="shared" si="16"/>
        <v>https://www.oreht.ru/modules.php?name=orehtPriceLS&amp;op=Search&amp;page=1&amp;stext=400069</v>
      </c>
      <c r="I33">
        <v>400069</v>
      </c>
      <c r="J33" t="s">
        <v>2</v>
      </c>
      <c r="K33" t="s">
        <v>81</v>
      </c>
      <c r="L33" t="s">
        <v>82</v>
      </c>
      <c r="M33" t="s">
        <v>83</v>
      </c>
      <c r="O33" s="26" t="str">
        <f>Таблица1_2[[#This Row],[Цена]]</f>
        <v xml:space="preserve">29,9 </v>
      </c>
      <c r="P33" s="17">
        <v>0.36</v>
      </c>
      <c r="Q33" s="26">
        <f t="shared" si="17"/>
        <v>10.763999999999999</v>
      </c>
      <c r="R33" s="8">
        <f t="shared" si="18"/>
        <v>0.12</v>
      </c>
      <c r="S33" s="18">
        <f t="shared" ca="1" si="19"/>
        <v>20.625219941348973</v>
      </c>
      <c r="T33" s="18">
        <f t="shared" ca="1" si="20"/>
        <v>100</v>
      </c>
      <c r="U33" s="18">
        <f t="shared" ca="1" si="21"/>
        <v>100</v>
      </c>
      <c r="V33" s="18">
        <f t="shared" ca="1" si="22"/>
        <v>12.031378299120236</v>
      </c>
      <c r="W33" s="29">
        <f t="shared" ca="1" si="23"/>
        <v>171.87683284457478</v>
      </c>
      <c r="X33" s="19">
        <f t="shared" ca="1" si="24"/>
        <v>73.661499790532048</v>
      </c>
      <c r="Y33" s="19">
        <f t="shared" ca="1" si="25"/>
        <v>0</v>
      </c>
      <c r="Z33" s="31">
        <f t="shared" ca="1" si="26"/>
        <v>245.53833263510685</v>
      </c>
      <c r="AA33" s="31">
        <f t="shared" ca="1" si="27"/>
        <v>290</v>
      </c>
      <c r="AB33" s="20">
        <f t="shared" ca="1" si="28"/>
        <v>5.7483890583469828</v>
      </c>
      <c r="AC33" s="20">
        <f t="shared" ca="1" si="29"/>
        <v>6.26262412557584E-2</v>
      </c>
      <c r="AD33" s="6">
        <f t="shared" ca="1" si="30"/>
        <v>9.3202346041055719</v>
      </c>
      <c r="AE33" s="21">
        <f t="shared" ca="1" si="31"/>
        <v>0.31171353190988538</v>
      </c>
    </row>
    <row r="34" spans="1:31" hidden="1" x14ac:dyDescent="0.25">
      <c r="A34" s="24">
        <f t="shared" ca="1" si="15"/>
        <v>20</v>
      </c>
      <c r="B34" s="24">
        <v>12</v>
      </c>
      <c r="C34" s="24">
        <v>45</v>
      </c>
      <c r="D34" s="24">
        <v>35</v>
      </c>
      <c r="E34">
        <v>186402</v>
      </c>
      <c r="F34" s="2" t="s">
        <v>2</v>
      </c>
      <c r="G34" s="2" t="str">
        <f t="shared" si="16"/>
        <v>https://www.oreht.ru/modules.php?name=orehtPriceLS&amp;op=Search&amp;page=1&amp;stext=186402</v>
      </c>
      <c r="I34">
        <v>186402</v>
      </c>
      <c r="J34" t="s">
        <v>2</v>
      </c>
      <c r="K34" t="s">
        <v>84</v>
      </c>
      <c r="L34" t="s">
        <v>85</v>
      </c>
      <c r="M34" t="s">
        <v>86</v>
      </c>
      <c r="O34" s="26" t="str">
        <f>Таблица1_2[[#This Row],[Цена]]</f>
        <v xml:space="preserve">32,5 </v>
      </c>
      <c r="P34" s="17">
        <v>0.36</v>
      </c>
      <c r="Q34" s="26">
        <f t="shared" si="17"/>
        <v>11.7</v>
      </c>
      <c r="R34" s="8">
        <f t="shared" si="18"/>
        <v>0.12</v>
      </c>
      <c r="S34" s="18">
        <f t="shared" ca="1" si="19"/>
        <v>21.143695014662754</v>
      </c>
      <c r="T34" s="18">
        <f t="shared" ca="1" si="20"/>
        <v>100</v>
      </c>
      <c r="U34" s="18">
        <f t="shared" ca="1" si="21"/>
        <v>100</v>
      </c>
      <c r="V34" s="18">
        <f t="shared" ca="1" si="22"/>
        <v>12.333822091886608</v>
      </c>
      <c r="W34" s="29">
        <f t="shared" ca="1" si="23"/>
        <v>176.19745845552296</v>
      </c>
      <c r="X34" s="19">
        <f t="shared" ca="1" si="24"/>
        <v>75.513196480938419</v>
      </c>
      <c r="Y34" s="19">
        <f t="shared" ca="1" si="25"/>
        <v>0</v>
      </c>
      <c r="Z34" s="31">
        <f t="shared" ca="1" si="26"/>
        <v>251.7106549364614</v>
      </c>
      <c r="AA34" s="31">
        <f t="shared" ca="1" si="27"/>
        <v>290</v>
      </c>
      <c r="AB34" s="20">
        <f t="shared" ca="1" si="28"/>
        <v>5.4214602601699369</v>
      </c>
      <c r="AC34" s="20">
        <f t="shared" ca="1" si="29"/>
        <v>6.6402773925104019E-2</v>
      </c>
      <c r="AD34" s="6">
        <f t="shared" ca="1" si="30"/>
        <v>10.219941348973592</v>
      </c>
      <c r="AE34" s="21">
        <f t="shared" ca="1" si="31"/>
        <v>0.31445973381457204</v>
      </c>
    </row>
    <row r="35" spans="1:31" hidden="1" x14ac:dyDescent="0.25">
      <c r="A35" s="24">
        <f t="shared" ca="1" si="15"/>
        <v>20</v>
      </c>
      <c r="B35" s="24">
        <v>12</v>
      </c>
      <c r="C35" s="24">
        <v>43</v>
      </c>
      <c r="D35" s="24">
        <v>35</v>
      </c>
      <c r="E35">
        <v>186404</v>
      </c>
      <c r="F35" s="2" t="s">
        <v>2</v>
      </c>
      <c r="G35" s="2" t="str">
        <f t="shared" si="16"/>
        <v>https://www.oreht.ru/modules.php?name=orehtPriceLS&amp;op=Search&amp;page=1&amp;stext=186404</v>
      </c>
      <c r="I35">
        <v>186404</v>
      </c>
      <c r="J35" t="s">
        <v>2</v>
      </c>
      <c r="K35" t="s">
        <v>87</v>
      </c>
      <c r="L35" t="s">
        <v>88</v>
      </c>
      <c r="M35" t="s">
        <v>86</v>
      </c>
      <c r="O35" s="26" t="str">
        <f>Таблица1_2[[#This Row],[Цена]]</f>
        <v xml:space="preserve">32,5 </v>
      </c>
      <c r="P35" s="17">
        <v>0.36</v>
      </c>
      <c r="Q35" s="26">
        <f t="shared" si="17"/>
        <v>11.7</v>
      </c>
      <c r="R35" s="8">
        <f t="shared" si="18"/>
        <v>0.12</v>
      </c>
      <c r="S35" s="18">
        <f t="shared" ca="1" si="19"/>
        <v>20.850439882697945</v>
      </c>
      <c r="T35" s="18">
        <f t="shared" ca="1" si="20"/>
        <v>98</v>
      </c>
      <c r="U35" s="18">
        <f t="shared" ca="1" si="21"/>
        <v>98</v>
      </c>
      <c r="V35" s="18">
        <f t="shared" ca="1" si="22"/>
        <v>12.16275659824047</v>
      </c>
      <c r="W35" s="29">
        <f t="shared" ca="1" si="23"/>
        <v>173.75366568914956</v>
      </c>
      <c r="X35" s="19">
        <f t="shared" ca="1" si="24"/>
        <v>74.465856723921249</v>
      </c>
      <c r="Y35" s="19">
        <f t="shared" ca="1" si="25"/>
        <v>0</v>
      </c>
      <c r="Z35" s="31">
        <f t="shared" ca="1" si="26"/>
        <v>248.21952241307082</v>
      </c>
      <c r="AA35" s="31">
        <f t="shared" ca="1" si="27"/>
        <v>290</v>
      </c>
      <c r="AB35" s="20">
        <f t="shared" ca="1" si="28"/>
        <v>5.3462666365892169</v>
      </c>
      <c r="AC35" s="20">
        <f t="shared" ca="1" si="29"/>
        <v>6.7336708860759487E-2</v>
      </c>
      <c r="AD35" s="6">
        <f t="shared" ca="1" si="30"/>
        <v>10.240469208211152</v>
      </c>
      <c r="AE35" s="21">
        <f t="shared" ca="1" si="31"/>
        <v>0.31509136025265083</v>
      </c>
    </row>
    <row r="36" spans="1:31" hidden="1" x14ac:dyDescent="0.25">
      <c r="A36" s="24">
        <f t="shared" ca="1" si="15"/>
        <v>20</v>
      </c>
      <c r="B36" s="24">
        <v>12</v>
      </c>
      <c r="C36" s="24">
        <v>45</v>
      </c>
      <c r="D36" s="24">
        <v>35</v>
      </c>
      <c r="E36">
        <v>400072</v>
      </c>
      <c r="F36" s="2" t="s">
        <v>2</v>
      </c>
      <c r="G36" s="2" t="str">
        <f t="shared" si="16"/>
        <v>https://www.oreht.ru/modules.php?name=orehtPriceLS&amp;op=Search&amp;page=1&amp;stext=400072</v>
      </c>
      <c r="I36">
        <v>400072</v>
      </c>
      <c r="J36" t="s">
        <v>2</v>
      </c>
      <c r="K36" t="s">
        <v>89</v>
      </c>
      <c r="L36" t="s">
        <v>90</v>
      </c>
      <c r="M36" t="s">
        <v>91</v>
      </c>
      <c r="O36" s="26" t="str">
        <f>Таблица1_2[[#This Row],[Цена]]</f>
        <v xml:space="preserve">33,2 </v>
      </c>
      <c r="P36" s="17">
        <v>0.36</v>
      </c>
      <c r="Q36" s="26">
        <f t="shared" si="17"/>
        <v>11.952</v>
      </c>
      <c r="R36" s="8">
        <f t="shared" si="18"/>
        <v>0.12</v>
      </c>
      <c r="S36" s="18">
        <f t="shared" ca="1" si="19"/>
        <v>21.283284457478008</v>
      </c>
      <c r="T36" s="18">
        <f t="shared" ca="1" si="20"/>
        <v>100</v>
      </c>
      <c r="U36" s="18">
        <f t="shared" ca="1" si="21"/>
        <v>100</v>
      </c>
      <c r="V36" s="18">
        <f t="shared" ca="1" si="22"/>
        <v>12.415249266862173</v>
      </c>
      <c r="W36" s="29">
        <f t="shared" ca="1" si="23"/>
        <v>177.36070381231673</v>
      </c>
      <c r="X36" s="19">
        <f t="shared" ca="1" si="24"/>
        <v>76.011730205278596</v>
      </c>
      <c r="Y36" s="19">
        <f t="shared" ca="1" si="25"/>
        <v>0</v>
      </c>
      <c r="Z36" s="31">
        <f t="shared" ca="1" si="26"/>
        <v>253.37243401759534</v>
      </c>
      <c r="AA36" s="31">
        <f t="shared" ca="1" si="27"/>
        <v>290</v>
      </c>
      <c r="AB36" s="20">
        <f t="shared" ca="1" si="28"/>
        <v>5.3421898738649611</v>
      </c>
      <c r="AC36" s="20">
        <f t="shared" ca="1" si="29"/>
        <v>6.7388095238095233E-2</v>
      </c>
      <c r="AD36" s="6">
        <f t="shared" ca="1" si="30"/>
        <v>10.46217008797656</v>
      </c>
      <c r="AE36" s="21">
        <f t="shared" ca="1" si="31"/>
        <v>0.31512560505953491</v>
      </c>
    </row>
    <row r="37" spans="1:31" hidden="1" x14ac:dyDescent="0.25">
      <c r="A37" s="24" t="e">
        <f t="shared" ca="1" si="15"/>
        <v>#VALUE!</v>
      </c>
      <c r="B37" s="24">
        <v>12</v>
      </c>
      <c r="C37" s="24">
        <v>41</v>
      </c>
      <c r="D37" s="24">
        <v>35</v>
      </c>
      <c r="E37">
        <v>118267</v>
      </c>
      <c r="F37" s="2" t="s">
        <v>2</v>
      </c>
      <c r="G37" s="2" t="str">
        <f t="shared" si="16"/>
        <v>https://www.oreht.ru/modules.php?name=orehtPriceLS&amp;op=Search&amp;page=1&amp;stext=118267</v>
      </c>
      <c r="I37">
        <v>118267</v>
      </c>
      <c r="J37" t="s">
        <v>2</v>
      </c>
      <c r="K37" t="s">
        <v>92</v>
      </c>
      <c r="L37" t="s">
        <v>93</v>
      </c>
      <c r="M37">
        <v>33</v>
      </c>
      <c r="O37" s="26">
        <f>Таблица1_2[[#This Row],[Цена]]</f>
        <v>33</v>
      </c>
      <c r="P37" s="17">
        <v>0.36</v>
      </c>
      <c r="Q37" s="26">
        <f t="shared" si="17"/>
        <v>11.879999999999999</v>
      </c>
      <c r="R37" s="8">
        <f t="shared" si="18"/>
        <v>0.12</v>
      </c>
      <c r="S37" s="18" t="e">
        <f t="shared" ca="1" si="19"/>
        <v>#VALUE!</v>
      </c>
      <c r="T37" s="18" t="e">
        <f t="shared" ca="1" si="20"/>
        <v>#VALUE!</v>
      </c>
      <c r="U37" s="18" t="e">
        <f t="shared" ca="1" si="21"/>
        <v>#VALUE!</v>
      </c>
      <c r="V37" s="18" t="e">
        <f t="shared" ca="1" si="22"/>
        <v>#VALUE!</v>
      </c>
      <c r="W37" s="29" t="e">
        <f t="shared" ca="1" si="23"/>
        <v>#VALUE!</v>
      </c>
      <c r="X37" s="19" t="e">
        <f t="shared" ca="1" si="24"/>
        <v>#VALUE!</v>
      </c>
      <c r="Y37" s="19" t="e">
        <f t="shared" ca="1" si="25"/>
        <v>#VALUE!</v>
      </c>
      <c r="Z37" s="31" t="e">
        <f t="shared" ca="1" si="26"/>
        <v>#VALUE!</v>
      </c>
      <c r="AA37" s="31" t="e">
        <f t="shared" ca="1" si="27"/>
        <v>#VALUE!</v>
      </c>
      <c r="AB37" s="20" t="e">
        <f t="shared" ca="1" si="28"/>
        <v>#VALUE!</v>
      </c>
      <c r="AC37" s="20" t="e">
        <f t="shared" ca="1" si="29"/>
        <v>#VALUE!</v>
      </c>
      <c r="AD37" s="6" t="e">
        <f t="shared" ca="1" si="30"/>
        <v>#VALUE!</v>
      </c>
      <c r="AE37" s="21" t="e">
        <f t="shared" ca="1" si="31"/>
        <v>#VALUE!</v>
      </c>
    </row>
    <row r="38" spans="1:31" hidden="1" x14ac:dyDescent="0.25">
      <c r="A38" s="24">
        <f t="shared" ca="1" si="15"/>
        <v>20</v>
      </c>
      <c r="B38" s="24">
        <v>10</v>
      </c>
      <c r="C38" s="24">
        <v>43</v>
      </c>
      <c r="D38" s="24">
        <v>35</v>
      </c>
      <c r="E38">
        <v>404637</v>
      </c>
      <c r="F38" s="2" t="s">
        <v>2</v>
      </c>
      <c r="G38" s="2" t="str">
        <f t="shared" si="16"/>
        <v>https://www.oreht.ru/modules.php?name=orehtPriceLS&amp;op=Search&amp;page=1&amp;stext=404637</v>
      </c>
      <c r="I38">
        <v>404637</v>
      </c>
      <c r="J38" t="s">
        <v>2</v>
      </c>
      <c r="K38" t="s">
        <v>94</v>
      </c>
      <c r="L38" t="s">
        <v>95</v>
      </c>
      <c r="M38" t="s">
        <v>96</v>
      </c>
      <c r="O38" s="26" t="str">
        <f>Таблица1_2[[#This Row],[Цена]]</f>
        <v xml:space="preserve">33,8 </v>
      </c>
      <c r="P38" s="17">
        <v>0.36</v>
      </c>
      <c r="Q38" s="26">
        <f t="shared" si="17"/>
        <v>12.167999999999999</v>
      </c>
      <c r="R38" s="8">
        <f t="shared" si="18"/>
        <v>0.1</v>
      </c>
      <c r="S38" s="18">
        <f t="shared" ca="1" si="19"/>
        <v>17.200477897252092</v>
      </c>
      <c r="T38" s="18">
        <f t="shared" ca="1" si="20"/>
        <v>98</v>
      </c>
      <c r="U38" s="18">
        <f t="shared" ca="1" si="21"/>
        <v>98</v>
      </c>
      <c r="V38" s="18">
        <f t="shared" ca="1" si="22"/>
        <v>12.040334528076464</v>
      </c>
      <c r="W38" s="29">
        <f t="shared" ca="1" si="23"/>
        <v>172.00477897252091</v>
      </c>
      <c r="X38" s="19">
        <f t="shared" ca="1" si="24"/>
        <v>73.716333845366108</v>
      </c>
      <c r="Y38" s="19">
        <f t="shared" ca="1" si="25"/>
        <v>0</v>
      </c>
      <c r="Z38" s="31">
        <f t="shared" ca="1" si="26"/>
        <v>245.72111281788702</v>
      </c>
      <c r="AA38" s="31">
        <f t="shared" ca="1" si="27"/>
        <v>290</v>
      </c>
      <c r="AB38" s="20">
        <f t="shared" ca="1" si="28"/>
        <v>5.0888987861692581</v>
      </c>
      <c r="AC38" s="20">
        <f t="shared" ca="1" si="29"/>
        <v>7.0742220493442975E-2</v>
      </c>
      <c r="AD38" s="6">
        <f t="shared" ca="1" si="30"/>
        <v>10.963966547192349</v>
      </c>
      <c r="AE38" s="21">
        <f t="shared" ca="1" si="31"/>
        <v>0.32437770849681508</v>
      </c>
    </row>
    <row r="39" spans="1:31" hidden="1" x14ac:dyDescent="0.25">
      <c r="A39" s="24">
        <f t="shared" ca="1" si="15"/>
        <v>20</v>
      </c>
      <c r="B39" s="24">
        <v>10</v>
      </c>
      <c r="C39" s="24">
        <v>42</v>
      </c>
      <c r="D39" s="24">
        <v>35</v>
      </c>
      <c r="E39">
        <v>189633</v>
      </c>
      <c r="F39" s="2" t="s">
        <v>2</v>
      </c>
      <c r="G39" s="2" t="str">
        <f t="shared" si="16"/>
        <v>https://www.oreht.ru/modules.php?name=orehtPriceLS&amp;op=Search&amp;page=1&amp;stext=189633</v>
      </c>
      <c r="I39">
        <v>189633</v>
      </c>
      <c r="J39" t="s">
        <v>2</v>
      </c>
      <c r="K39" t="s">
        <v>97</v>
      </c>
      <c r="L39" t="s">
        <v>98</v>
      </c>
      <c r="M39" t="s">
        <v>99</v>
      </c>
      <c r="O39" s="26" t="str">
        <f>Таблица1_2[[#This Row],[Цена]]</f>
        <v xml:space="preserve">33,9 </v>
      </c>
      <c r="P39" s="17">
        <v>0.36</v>
      </c>
      <c r="Q39" s="26">
        <f t="shared" si="17"/>
        <v>12.203999999999999</v>
      </c>
      <c r="R39" s="8">
        <f t="shared" si="18"/>
        <v>0.1</v>
      </c>
      <c r="S39" s="18">
        <f t="shared" ca="1" si="19"/>
        <v>17.097252090800477</v>
      </c>
      <c r="T39" s="18">
        <f t="shared" ca="1" si="20"/>
        <v>97</v>
      </c>
      <c r="U39" s="18">
        <f t="shared" ca="1" si="21"/>
        <v>97</v>
      </c>
      <c r="V39" s="18">
        <f t="shared" ca="1" si="22"/>
        <v>11.968076463560337</v>
      </c>
      <c r="W39" s="29">
        <f t="shared" ca="1" si="23"/>
        <v>170.97252090800478</v>
      </c>
      <c r="X39" s="19">
        <f t="shared" ca="1" si="24"/>
        <v>73.273937532002051</v>
      </c>
      <c r="Y39" s="19">
        <f t="shared" ca="1" si="25"/>
        <v>0</v>
      </c>
      <c r="Z39" s="31">
        <f t="shared" ca="1" si="26"/>
        <v>244.24645844000685</v>
      </c>
      <c r="AA39" s="31">
        <f t="shared" ca="1" si="27"/>
        <v>290</v>
      </c>
      <c r="AB39" s="20">
        <f t="shared" ca="1" si="28"/>
        <v>5.043437194926395</v>
      </c>
      <c r="AC39" s="20">
        <f t="shared" ca="1" si="29"/>
        <v>7.137989154740608E-2</v>
      </c>
      <c r="AD39" s="6">
        <f t="shared" ca="1" si="30"/>
        <v>11.00719235364398</v>
      </c>
      <c r="AE39" s="21">
        <f t="shared" ca="1" si="31"/>
        <v>0.32469593963551563</v>
      </c>
    </row>
    <row r="40" spans="1:31" hidden="1" x14ac:dyDescent="0.25">
      <c r="A40" s="24">
        <f t="shared" ca="1" si="15"/>
        <v>20</v>
      </c>
      <c r="B40" s="24">
        <v>10</v>
      </c>
      <c r="C40" s="24">
        <v>42</v>
      </c>
      <c r="D40" s="24">
        <v>35</v>
      </c>
      <c r="E40">
        <v>189625</v>
      </c>
      <c r="F40" s="2" t="s">
        <v>2</v>
      </c>
      <c r="G40" s="2" t="str">
        <f t="shared" si="16"/>
        <v>https://www.oreht.ru/modules.php?name=orehtPriceLS&amp;op=Search&amp;page=1&amp;stext=189625</v>
      </c>
      <c r="I40">
        <v>189625</v>
      </c>
      <c r="J40" t="s">
        <v>2</v>
      </c>
      <c r="K40" t="s">
        <v>100</v>
      </c>
      <c r="L40" t="s">
        <v>101</v>
      </c>
      <c r="M40" t="s">
        <v>99</v>
      </c>
      <c r="O40" s="26" t="str">
        <f>Таблица1_2[[#This Row],[Цена]]</f>
        <v xml:space="preserve">33,9 </v>
      </c>
      <c r="P40" s="17">
        <v>0.37</v>
      </c>
      <c r="Q40" s="26">
        <f t="shared" si="17"/>
        <v>12.542999999999999</v>
      </c>
      <c r="R40" s="8">
        <f t="shared" si="18"/>
        <v>0.1</v>
      </c>
      <c r="S40" s="18">
        <f t="shared" ca="1" si="19"/>
        <v>17.137753882915174</v>
      </c>
      <c r="T40" s="18">
        <f t="shared" ca="1" si="20"/>
        <v>97</v>
      </c>
      <c r="U40" s="18">
        <f t="shared" ca="1" si="21"/>
        <v>97</v>
      </c>
      <c r="V40" s="18">
        <f t="shared" ca="1" si="22"/>
        <v>11.996427718040621</v>
      </c>
      <c r="W40" s="29">
        <f t="shared" ca="1" si="23"/>
        <v>171.37753882915172</v>
      </c>
      <c r="X40" s="19">
        <f t="shared" ca="1" si="24"/>
        <v>73.447516641065022</v>
      </c>
      <c r="Y40" s="19">
        <f t="shared" ca="1" si="25"/>
        <v>0</v>
      </c>
      <c r="Z40" s="31">
        <f t="shared" ca="1" si="26"/>
        <v>244.82505547021677</v>
      </c>
      <c r="AA40" s="31">
        <f t="shared" ca="1" si="27"/>
        <v>290</v>
      </c>
      <c r="AB40" s="20">
        <f t="shared" ca="1" si="28"/>
        <v>5.0553846262286646</v>
      </c>
      <c r="AC40" s="20">
        <f t="shared" ca="1" si="29"/>
        <v>7.3189287731015115E-2</v>
      </c>
      <c r="AD40" s="6">
        <f t="shared" ca="1" si="30"/>
        <v>11.34335722819592</v>
      </c>
      <c r="AE40" s="21">
        <f t="shared" ca="1" si="31"/>
        <v>0.33461230761639882</v>
      </c>
    </row>
    <row r="41" spans="1:31" hidden="1" x14ac:dyDescent="0.25">
      <c r="A41" s="24">
        <f t="shared" ca="1" si="15"/>
        <v>20</v>
      </c>
      <c r="B41" s="24">
        <v>10</v>
      </c>
      <c r="C41" s="24">
        <v>45</v>
      </c>
      <c r="D41" s="24">
        <v>35</v>
      </c>
      <c r="E41">
        <v>189627</v>
      </c>
      <c r="F41" s="2" t="s">
        <v>2</v>
      </c>
      <c r="G41" s="2" t="str">
        <f t="shared" si="16"/>
        <v>https://www.oreht.ru/modules.php?name=orehtPriceLS&amp;op=Search&amp;page=1&amp;stext=189627</v>
      </c>
      <c r="I41">
        <v>189627</v>
      </c>
      <c r="J41" t="s">
        <v>2</v>
      </c>
      <c r="K41" t="s">
        <v>102</v>
      </c>
      <c r="L41" t="s">
        <v>103</v>
      </c>
      <c r="M41" t="s">
        <v>99</v>
      </c>
      <c r="O41" s="26" t="str">
        <f>Таблица1_2[[#This Row],[Цена]]</f>
        <v xml:space="preserve">33,9 </v>
      </c>
      <c r="P41" s="17">
        <v>0.36</v>
      </c>
      <c r="Q41" s="26">
        <f t="shared" si="17"/>
        <v>12.203999999999999</v>
      </c>
      <c r="R41" s="8">
        <f t="shared" si="18"/>
        <v>0.1</v>
      </c>
      <c r="S41" s="18">
        <f t="shared" ca="1" si="19"/>
        <v>17.455675029868576</v>
      </c>
      <c r="T41" s="18">
        <f t="shared" ca="1" si="20"/>
        <v>100</v>
      </c>
      <c r="U41" s="18">
        <f t="shared" ca="1" si="21"/>
        <v>100</v>
      </c>
      <c r="V41" s="18">
        <f t="shared" ca="1" si="22"/>
        <v>12.218972520908004</v>
      </c>
      <c r="W41" s="29">
        <f t="shared" ca="1" si="23"/>
        <v>174.55675029868576</v>
      </c>
      <c r="X41" s="19">
        <f t="shared" ca="1" si="24"/>
        <v>74.8100358422939</v>
      </c>
      <c r="Y41" s="19">
        <f t="shared" ca="1" si="25"/>
        <v>0</v>
      </c>
      <c r="Z41" s="31">
        <f t="shared" ca="1" si="26"/>
        <v>249.36678614097966</v>
      </c>
      <c r="AA41" s="31">
        <f t="shared" ca="1" si="27"/>
        <v>290</v>
      </c>
      <c r="AB41" s="20">
        <f t="shared" ca="1" si="28"/>
        <v>5.1491666754774563</v>
      </c>
      <c r="AC41" s="20">
        <f t="shared" ca="1" si="29"/>
        <v>6.9914225483217435E-2</v>
      </c>
      <c r="AD41" s="6">
        <f t="shared" ca="1" si="30"/>
        <v>10.982102747909174</v>
      </c>
      <c r="AE41" s="21">
        <f t="shared" ca="1" si="31"/>
        <v>0.32395583327165706</v>
      </c>
    </row>
    <row r="42" spans="1:31" hidden="1" x14ac:dyDescent="0.25">
      <c r="A42" s="24">
        <f t="shared" ca="1" si="15"/>
        <v>20</v>
      </c>
      <c r="B42" s="24">
        <v>10</v>
      </c>
      <c r="C42" s="24">
        <v>45</v>
      </c>
      <c r="D42" s="24">
        <v>35</v>
      </c>
      <c r="E42">
        <v>189628</v>
      </c>
      <c r="F42" s="2" t="s">
        <v>2</v>
      </c>
      <c r="G42" s="2" t="str">
        <f t="shared" si="16"/>
        <v>https://www.oreht.ru/modules.php?name=orehtPriceLS&amp;op=Search&amp;page=1&amp;stext=189628</v>
      </c>
      <c r="I42">
        <v>189628</v>
      </c>
      <c r="J42" t="s">
        <v>2</v>
      </c>
      <c r="K42" t="s">
        <v>104</v>
      </c>
      <c r="L42" t="s">
        <v>105</v>
      </c>
      <c r="M42" t="s">
        <v>99</v>
      </c>
      <c r="O42" s="26" t="str">
        <f>Таблица1_2[[#This Row],[Цена]]</f>
        <v xml:space="preserve">33,9 </v>
      </c>
      <c r="P42" s="17">
        <v>0.36</v>
      </c>
      <c r="Q42" s="26">
        <f t="shared" si="17"/>
        <v>12.203999999999999</v>
      </c>
      <c r="R42" s="8">
        <f t="shared" si="18"/>
        <v>0.1</v>
      </c>
      <c r="S42" s="18">
        <f t="shared" ca="1" si="19"/>
        <v>17.455675029868576</v>
      </c>
      <c r="T42" s="18">
        <f t="shared" ca="1" si="20"/>
        <v>100</v>
      </c>
      <c r="U42" s="18">
        <f t="shared" ca="1" si="21"/>
        <v>100</v>
      </c>
      <c r="V42" s="18">
        <f t="shared" ca="1" si="22"/>
        <v>12.218972520908004</v>
      </c>
      <c r="W42" s="29">
        <f t="shared" ca="1" si="23"/>
        <v>174.55675029868576</v>
      </c>
      <c r="X42" s="19">
        <f t="shared" ca="1" si="24"/>
        <v>74.8100358422939</v>
      </c>
      <c r="Y42" s="19">
        <f t="shared" ca="1" si="25"/>
        <v>0</v>
      </c>
      <c r="Z42" s="31">
        <f t="shared" ca="1" si="26"/>
        <v>249.36678614097966</v>
      </c>
      <c r="AA42" s="31">
        <f t="shared" ca="1" si="27"/>
        <v>290</v>
      </c>
      <c r="AB42" s="20">
        <f t="shared" ca="1" si="28"/>
        <v>5.1491666754774563</v>
      </c>
      <c r="AC42" s="20">
        <f t="shared" ca="1" si="29"/>
        <v>6.9914225483217435E-2</v>
      </c>
      <c r="AD42" s="6">
        <f t="shared" ca="1" si="30"/>
        <v>10.982102747909174</v>
      </c>
      <c r="AE42" s="21">
        <f t="shared" ca="1" si="31"/>
        <v>0.32395583327165706</v>
      </c>
    </row>
    <row r="43" spans="1:31" hidden="1" x14ac:dyDescent="0.25">
      <c r="A43" s="24">
        <f t="shared" ca="1" si="15"/>
        <v>20</v>
      </c>
      <c r="B43" s="24">
        <v>10</v>
      </c>
      <c r="C43" s="24">
        <v>45</v>
      </c>
      <c r="D43" s="24">
        <v>35</v>
      </c>
      <c r="E43">
        <v>189632</v>
      </c>
      <c r="F43" s="2" t="s">
        <v>2</v>
      </c>
      <c r="G43" s="2" t="str">
        <f t="shared" si="16"/>
        <v>https://www.oreht.ru/modules.php?name=orehtPriceLS&amp;op=Search&amp;page=1&amp;stext=189632</v>
      </c>
      <c r="I43">
        <v>189632</v>
      </c>
      <c r="J43" t="s">
        <v>2</v>
      </c>
      <c r="K43" t="s">
        <v>106</v>
      </c>
      <c r="L43" t="s">
        <v>107</v>
      </c>
      <c r="M43" t="s">
        <v>99</v>
      </c>
      <c r="O43" s="26" t="str">
        <f>Таблица1_2[[#This Row],[Цена]]</f>
        <v xml:space="preserve">33,9 </v>
      </c>
      <c r="P43" s="17">
        <v>0.36</v>
      </c>
      <c r="Q43" s="26">
        <f t="shared" si="17"/>
        <v>12.203999999999999</v>
      </c>
      <c r="R43" s="8">
        <f t="shared" si="18"/>
        <v>0.1</v>
      </c>
      <c r="S43" s="18">
        <f t="shared" ca="1" si="19"/>
        <v>17.455675029868576</v>
      </c>
      <c r="T43" s="18">
        <f t="shared" ca="1" si="20"/>
        <v>100</v>
      </c>
      <c r="U43" s="18">
        <f t="shared" ca="1" si="21"/>
        <v>100</v>
      </c>
      <c r="V43" s="18">
        <f t="shared" ca="1" si="22"/>
        <v>12.218972520908004</v>
      </c>
      <c r="W43" s="29">
        <f t="shared" ca="1" si="23"/>
        <v>174.55675029868576</v>
      </c>
      <c r="X43" s="19">
        <f t="shared" ca="1" si="24"/>
        <v>74.8100358422939</v>
      </c>
      <c r="Y43" s="19">
        <f t="shared" ca="1" si="25"/>
        <v>0</v>
      </c>
      <c r="Z43" s="31">
        <f t="shared" ca="1" si="26"/>
        <v>249.36678614097966</v>
      </c>
      <c r="AA43" s="31">
        <f t="shared" ca="1" si="27"/>
        <v>290</v>
      </c>
      <c r="AB43" s="20">
        <f t="shared" ca="1" si="28"/>
        <v>5.1491666754774563</v>
      </c>
      <c r="AC43" s="20">
        <f t="shared" ca="1" si="29"/>
        <v>6.9914225483217435E-2</v>
      </c>
      <c r="AD43" s="6">
        <f t="shared" ca="1" si="30"/>
        <v>10.982102747909174</v>
      </c>
      <c r="AE43" s="21">
        <f t="shared" ca="1" si="31"/>
        <v>0.32395583327165706</v>
      </c>
    </row>
    <row r="44" spans="1:31" hidden="1" x14ac:dyDescent="0.25">
      <c r="A44" s="24">
        <f t="shared" ca="1" si="15"/>
        <v>20</v>
      </c>
      <c r="B44" s="24">
        <v>10</v>
      </c>
      <c r="C44" s="24">
        <v>45</v>
      </c>
      <c r="D44" s="24">
        <v>35</v>
      </c>
      <c r="E44">
        <v>189630</v>
      </c>
      <c r="F44" s="2" t="s">
        <v>2</v>
      </c>
      <c r="G44" s="2" t="str">
        <f t="shared" si="16"/>
        <v>https://www.oreht.ru/modules.php?name=orehtPriceLS&amp;op=Search&amp;page=1&amp;stext=189630</v>
      </c>
      <c r="I44">
        <v>189630</v>
      </c>
      <c r="J44" t="s">
        <v>2</v>
      </c>
      <c r="K44" t="s">
        <v>108</v>
      </c>
      <c r="L44" t="s">
        <v>109</v>
      </c>
      <c r="M44" t="s">
        <v>99</v>
      </c>
      <c r="O44" s="26" t="str">
        <f>Таблица1_2[[#This Row],[Цена]]</f>
        <v xml:space="preserve">33,9 </v>
      </c>
      <c r="P44" s="17">
        <v>0.36</v>
      </c>
      <c r="Q44" s="26">
        <f t="shared" si="17"/>
        <v>12.203999999999999</v>
      </c>
      <c r="R44" s="8">
        <f t="shared" si="18"/>
        <v>0.1</v>
      </c>
      <c r="S44" s="18">
        <f t="shared" ca="1" si="19"/>
        <v>17.455675029868576</v>
      </c>
      <c r="T44" s="18">
        <f t="shared" ca="1" si="20"/>
        <v>100</v>
      </c>
      <c r="U44" s="18">
        <f t="shared" ca="1" si="21"/>
        <v>100</v>
      </c>
      <c r="V44" s="18">
        <f t="shared" ca="1" si="22"/>
        <v>12.218972520908004</v>
      </c>
      <c r="W44" s="29">
        <f t="shared" ca="1" si="23"/>
        <v>174.55675029868576</v>
      </c>
      <c r="X44" s="19">
        <f t="shared" ca="1" si="24"/>
        <v>74.8100358422939</v>
      </c>
      <c r="Y44" s="19">
        <f t="shared" ca="1" si="25"/>
        <v>0</v>
      </c>
      <c r="Z44" s="31">
        <f t="shared" ca="1" si="26"/>
        <v>249.36678614097966</v>
      </c>
      <c r="AA44" s="31">
        <f t="shared" ca="1" si="27"/>
        <v>290</v>
      </c>
      <c r="AB44" s="20">
        <f t="shared" ca="1" si="28"/>
        <v>5.1491666754774563</v>
      </c>
      <c r="AC44" s="20">
        <f t="shared" ca="1" si="29"/>
        <v>6.9914225483217435E-2</v>
      </c>
      <c r="AD44" s="6">
        <f t="shared" ca="1" si="30"/>
        <v>10.982102747909174</v>
      </c>
      <c r="AE44" s="21">
        <f t="shared" ca="1" si="31"/>
        <v>0.32395583327165706</v>
      </c>
    </row>
    <row r="45" spans="1:31" hidden="1" x14ac:dyDescent="0.25">
      <c r="A45" s="24">
        <f t="shared" ca="1" si="15"/>
        <v>20</v>
      </c>
      <c r="B45" s="24">
        <v>10</v>
      </c>
      <c r="C45" s="24">
        <v>45</v>
      </c>
      <c r="D45" s="24">
        <v>35</v>
      </c>
      <c r="E45">
        <v>189618</v>
      </c>
      <c r="F45" s="2" t="s">
        <v>2</v>
      </c>
      <c r="G45" s="2" t="str">
        <f t="shared" si="16"/>
        <v>https://www.oreht.ru/modules.php?name=orehtPriceLS&amp;op=Search&amp;page=1&amp;stext=189618</v>
      </c>
      <c r="I45">
        <v>189618</v>
      </c>
      <c r="J45" t="s">
        <v>2</v>
      </c>
      <c r="K45" t="s">
        <v>110</v>
      </c>
      <c r="L45" t="s">
        <v>111</v>
      </c>
      <c r="M45" t="s">
        <v>99</v>
      </c>
      <c r="O45" s="26" t="str">
        <f>Таблица1_2[[#This Row],[Цена]]</f>
        <v xml:space="preserve">33,9 </v>
      </c>
      <c r="P45" s="17">
        <v>0.36</v>
      </c>
      <c r="Q45" s="26">
        <f t="shared" si="17"/>
        <v>12.203999999999999</v>
      </c>
      <c r="R45" s="8">
        <f t="shared" si="18"/>
        <v>0.1</v>
      </c>
      <c r="S45" s="18">
        <f t="shared" ca="1" si="19"/>
        <v>17.455675029868576</v>
      </c>
      <c r="T45" s="18">
        <f t="shared" ca="1" si="20"/>
        <v>100</v>
      </c>
      <c r="U45" s="18">
        <f t="shared" ca="1" si="21"/>
        <v>100</v>
      </c>
      <c r="V45" s="18">
        <f t="shared" ca="1" si="22"/>
        <v>12.218972520908004</v>
      </c>
      <c r="W45" s="29">
        <f t="shared" ca="1" si="23"/>
        <v>174.55675029868576</v>
      </c>
      <c r="X45" s="19">
        <f t="shared" ca="1" si="24"/>
        <v>74.8100358422939</v>
      </c>
      <c r="Y45" s="19">
        <f t="shared" ca="1" si="25"/>
        <v>0</v>
      </c>
      <c r="Z45" s="31">
        <f t="shared" ca="1" si="26"/>
        <v>249.36678614097966</v>
      </c>
      <c r="AA45" s="31">
        <f t="shared" ca="1" si="27"/>
        <v>290</v>
      </c>
      <c r="AB45" s="20">
        <f t="shared" ca="1" si="28"/>
        <v>5.1491666754774563</v>
      </c>
      <c r="AC45" s="20">
        <f t="shared" ca="1" si="29"/>
        <v>6.9914225483217435E-2</v>
      </c>
      <c r="AD45" s="6">
        <f t="shared" ca="1" si="30"/>
        <v>10.982102747909174</v>
      </c>
      <c r="AE45" s="21">
        <f t="shared" ca="1" si="31"/>
        <v>0.32395583327165706</v>
      </c>
    </row>
    <row r="46" spans="1:31" hidden="1" x14ac:dyDescent="0.25">
      <c r="A46" s="24">
        <f t="shared" ca="1" si="15"/>
        <v>20</v>
      </c>
      <c r="B46" s="24">
        <v>12</v>
      </c>
      <c r="C46" s="24">
        <v>79</v>
      </c>
      <c r="D46" s="24">
        <v>35</v>
      </c>
      <c r="E46">
        <v>415048</v>
      </c>
      <c r="F46" s="2" t="s">
        <v>2</v>
      </c>
      <c r="G46" s="2" t="str">
        <f t="shared" si="16"/>
        <v>https://www.oreht.ru/modules.php?name=orehtPriceLS&amp;op=Search&amp;page=1&amp;stext=415048</v>
      </c>
      <c r="I46">
        <v>415048</v>
      </c>
      <c r="J46" t="s">
        <v>2</v>
      </c>
      <c r="K46" t="s">
        <v>112</v>
      </c>
      <c r="L46" t="s">
        <v>113</v>
      </c>
      <c r="M46" t="s">
        <v>27</v>
      </c>
      <c r="O46" s="26" t="str">
        <f>Таблица1_2[[#This Row],[Цена]]</f>
        <v xml:space="preserve">35 </v>
      </c>
      <c r="P46" s="17">
        <v>0.36</v>
      </c>
      <c r="Q46" s="26">
        <f t="shared" si="17"/>
        <v>12.6</v>
      </c>
      <c r="R46" s="8">
        <f t="shared" si="18"/>
        <v>0.12</v>
      </c>
      <c r="S46" s="18">
        <f t="shared" ca="1" si="19"/>
        <v>26.627565982404693</v>
      </c>
      <c r="T46" s="18">
        <f t="shared" ca="1" si="20"/>
        <v>134</v>
      </c>
      <c r="U46" s="18">
        <f t="shared" ca="1" si="21"/>
        <v>134</v>
      </c>
      <c r="V46" s="18">
        <f t="shared" ca="1" si="22"/>
        <v>15.532746823069406</v>
      </c>
      <c r="W46" s="29">
        <f t="shared" ca="1" si="23"/>
        <v>221.89638318670578</v>
      </c>
      <c r="X46" s="19">
        <f t="shared" ca="1" si="24"/>
        <v>95.098449937159629</v>
      </c>
      <c r="Y46" s="19">
        <f t="shared" ca="1" si="25"/>
        <v>0</v>
      </c>
      <c r="Z46" s="31">
        <f t="shared" ca="1" si="26"/>
        <v>316.99483312386542</v>
      </c>
      <c r="AA46" s="31">
        <f t="shared" ca="1" si="27"/>
        <v>390</v>
      </c>
      <c r="AB46" s="20">
        <f t="shared" ca="1" si="28"/>
        <v>6.3398966624773081</v>
      </c>
      <c r="AC46" s="20">
        <f t="shared" ca="1" si="29"/>
        <v>5.6783259911894271E-2</v>
      </c>
      <c r="AD46" s="6">
        <f t="shared" ca="1" si="30"/>
        <v>10.736070381231684</v>
      </c>
      <c r="AE46" s="21">
        <f t="shared" ca="1" si="31"/>
        <v>0.30674486803519097</v>
      </c>
    </row>
    <row r="47" spans="1:31" hidden="1" x14ac:dyDescent="0.25">
      <c r="A47" s="24">
        <f t="shared" ca="1" si="15"/>
        <v>20</v>
      </c>
      <c r="B47" s="24">
        <v>12</v>
      </c>
      <c r="C47" s="24">
        <v>45</v>
      </c>
      <c r="D47" s="24">
        <v>35</v>
      </c>
      <c r="E47">
        <v>437094</v>
      </c>
      <c r="F47" s="2" t="s">
        <v>2</v>
      </c>
      <c r="G47" s="2" t="str">
        <f t="shared" si="16"/>
        <v>https://www.oreht.ru/modules.php?name=orehtPriceLS&amp;op=Search&amp;page=1&amp;stext=437094</v>
      </c>
      <c r="I47">
        <v>437094</v>
      </c>
      <c r="J47" t="s">
        <v>2</v>
      </c>
      <c r="K47" t="s">
        <v>114</v>
      </c>
      <c r="L47" t="s">
        <v>115</v>
      </c>
      <c r="M47" t="s">
        <v>27</v>
      </c>
      <c r="O47" s="26" t="str">
        <f>Таблица1_2[[#This Row],[Цена]]</f>
        <v xml:space="preserve">35 </v>
      </c>
      <c r="P47" s="17">
        <v>0.36</v>
      </c>
      <c r="Q47" s="26">
        <f t="shared" si="17"/>
        <v>12.6</v>
      </c>
      <c r="R47" s="8">
        <f t="shared" si="18"/>
        <v>0.12</v>
      </c>
      <c r="S47" s="18">
        <f t="shared" ca="1" si="19"/>
        <v>21.642228739002931</v>
      </c>
      <c r="T47" s="18">
        <f t="shared" ca="1" si="20"/>
        <v>100</v>
      </c>
      <c r="U47" s="18">
        <f t="shared" ca="1" si="21"/>
        <v>100</v>
      </c>
      <c r="V47" s="18">
        <f t="shared" ca="1" si="22"/>
        <v>12.624633431085044</v>
      </c>
      <c r="W47" s="29">
        <f t="shared" ca="1" si="23"/>
        <v>180.35190615835776</v>
      </c>
      <c r="X47" s="19">
        <f t="shared" ca="1" si="24"/>
        <v>77.293674067867613</v>
      </c>
      <c r="Y47" s="19">
        <f t="shared" ca="1" si="25"/>
        <v>0</v>
      </c>
      <c r="Z47" s="31">
        <f t="shared" ca="1" si="26"/>
        <v>257.64558022622538</v>
      </c>
      <c r="AA47" s="31">
        <f t="shared" ca="1" si="27"/>
        <v>290</v>
      </c>
      <c r="AB47" s="20">
        <f t="shared" ca="1" si="28"/>
        <v>5.1529116045245074</v>
      </c>
      <c r="AC47" s="20">
        <f t="shared" ca="1" si="29"/>
        <v>6.9863414634146345E-2</v>
      </c>
      <c r="AD47" s="6">
        <f t="shared" ca="1" si="30"/>
        <v>11.085043988269788</v>
      </c>
      <c r="AE47" s="21">
        <f t="shared" ca="1" si="31"/>
        <v>0.31671554252199396</v>
      </c>
    </row>
    <row r="48" spans="1:31" hidden="1" x14ac:dyDescent="0.25">
      <c r="A48" s="24" t="e">
        <f t="shared" ca="1" si="15"/>
        <v>#VALUE!</v>
      </c>
      <c r="B48" s="24">
        <v>12</v>
      </c>
      <c r="C48" s="24">
        <v>42</v>
      </c>
      <c r="D48" s="24">
        <v>35</v>
      </c>
      <c r="E48">
        <v>384048</v>
      </c>
      <c r="F48" s="2" t="s">
        <v>2</v>
      </c>
      <c r="G48" s="2" t="str">
        <f t="shared" si="16"/>
        <v>https://www.oreht.ru/modules.php?name=orehtPriceLS&amp;op=Search&amp;page=1&amp;stext=384048</v>
      </c>
      <c r="I48">
        <v>384048</v>
      </c>
      <c r="J48" t="s">
        <v>2</v>
      </c>
      <c r="K48" t="s">
        <v>116</v>
      </c>
      <c r="L48" t="s">
        <v>117</v>
      </c>
      <c r="M48">
        <v>36</v>
      </c>
      <c r="O48" s="26">
        <f>Таблица1_2[[#This Row],[Цена]]</f>
        <v>36</v>
      </c>
      <c r="P48" s="17">
        <v>0.36</v>
      </c>
      <c r="Q48" s="26">
        <f t="shared" si="17"/>
        <v>12.959999999999999</v>
      </c>
      <c r="R48" s="8">
        <f t="shared" si="18"/>
        <v>0.12</v>
      </c>
      <c r="S48" s="18" t="e">
        <f t="shared" ca="1" si="19"/>
        <v>#VALUE!</v>
      </c>
      <c r="T48" s="18" t="e">
        <f t="shared" ca="1" si="20"/>
        <v>#VALUE!</v>
      </c>
      <c r="U48" s="18" t="e">
        <f t="shared" ca="1" si="21"/>
        <v>#VALUE!</v>
      </c>
      <c r="V48" s="18" t="e">
        <f t="shared" ca="1" si="22"/>
        <v>#VALUE!</v>
      </c>
      <c r="W48" s="29" t="e">
        <f t="shared" ca="1" si="23"/>
        <v>#VALUE!</v>
      </c>
      <c r="X48" s="19" t="e">
        <f t="shared" ca="1" si="24"/>
        <v>#VALUE!</v>
      </c>
      <c r="Y48" s="19" t="e">
        <f t="shared" ca="1" si="25"/>
        <v>#VALUE!</v>
      </c>
      <c r="Z48" s="31" t="e">
        <f t="shared" ca="1" si="26"/>
        <v>#VALUE!</v>
      </c>
      <c r="AA48" s="31" t="e">
        <f t="shared" ca="1" si="27"/>
        <v>#VALUE!</v>
      </c>
      <c r="AB48" s="20" t="e">
        <f t="shared" ca="1" si="28"/>
        <v>#VALUE!</v>
      </c>
      <c r="AC48" s="20" t="e">
        <f t="shared" ca="1" si="29"/>
        <v>#VALUE!</v>
      </c>
      <c r="AD48" s="6" t="e">
        <f t="shared" ca="1" si="30"/>
        <v>#VALUE!</v>
      </c>
      <c r="AE48" s="21" t="e">
        <f t="shared" ca="1" si="31"/>
        <v>#VALUE!</v>
      </c>
    </row>
    <row r="49" spans="1:31" hidden="1" x14ac:dyDescent="0.25">
      <c r="A49" s="24" t="e">
        <f t="shared" ca="1" si="15"/>
        <v>#VALUE!</v>
      </c>
      <c r="B49" s="24">
        <v>10</v>
      </c>
      <c r="C49" s="24">
        <v>79</v>
      </c>
      <c r="D49" s="24">
        <v>35</v>
      </c>
      <c r="E49">
        <v>293109</v>
      </c>
      <c r="F49" s="2" t="s">
        <v>2</v>
      </c>
      <c r="G49" s="2" t="str">
        <f t="shared" si="16"/>
        <v>https://www.oreht.ru/modules.php?name=orehtPriceLS&amp;op=Search&amp;page=1&amp;stext=293109</v>
      </c>
      <c r="I49">
        <v>293109</v>
      </c>
      <c r="J49" t="s">
        <v>2</v>
      </c>
      <c r="K49" t="s">
        <v>118</v>
      </c>
      <c r="L49" t="s">
        <v>119</v>
      </c>
      <c r="M49">
        <v>36</v>
      </c>
      <c r="O49" s="26">
        <f>Таблица1_2[[#This Row],[Цена]]</f>
        <v>36</v>
      </c>
      <c r="P49" s="17">
        <v>0.37</v>
      </c>
      <c r="Q49" s="26">
        <f t="shared" si="17"/>
        <v>13.32</v>
      </c>
      <c r="R49" s="8">
        <f t="shared" si="18"/>
        <v>0.1</v>
      </c>
      <c r="S49" s="18" t="e">
        <f t="shared" ca="1" si="19"/>
        <v>#VALUE!</v>
      </c>
      <c r="T49" s="18" t="e">
        <f t="shared" ca="1" si="20"/>
        <v>#VALUE!</v>
      </c>
      <c r="U49" s="18" t="e">
        <f t="shared" ca="1" si="21"/>
        <v>#VALUE!</v>
      </c>
      <c r="V49" s="18" t="e">
        <f t="shared" ca="1" si="22"/>
        <v>#VALUE!</v>
      </c>
      <c r="W49" s="29" t="e">
        <f t="shared" ca="1" si="23"/>
        <v>#VALUE!</v>
      </c>
      <c r="X49" s="19" t="e">
        <f t="shared" ca="1" si="24"/>
        <v>#VALUE!</v>
      </c>
      <c r="Y49" s="19" t="e">
        <f t="shared" ca="1" si="25"/>
        <v>#VALUE!</v>
      </c>
      <c r="Z49" s="31" t="e">
        <f t="shared" ca="1" si="26"/>
        <v>#VALUE!</v>
      </c>
      <c r="AA49" s="31" t="e">
        <f t="shared" ca="1" si="27"/>
        <v>#VALUE!</v>
      </c>
      <c r="AB49" s="20" t="e">
        <f t="shared" ca="1" si="28"/>
        <v>#VALUE!</v>
      </c>
      <c r="AC49" s="20" t="e">
        <f t="shared" ca="1" si="29"/>
        <v>#VALUE!</v>
      </c>
      <c r="AD49" s="6" t="e">
        <f t="shared" ca="1" si="30"/>
        <v>#VALUE!</v>
      </c>
      <c r="AE49" s="21" t="e">
        <f t="shared" ca="1" si="31"/>
        <v>#VALUE!</v>
      </c>
    </row>
    <row r="50" spans="1:31" hidden="1" x14ac:dyDescent="0.25">
      <c r="A50" s="24">
        <f t="shared" ca="1" si="15"/>
        <v>20</v>
      </c>
      <c r="B50" s="24">
        <v>12</v>
      </c>
      <c r="C50" s="24">
        <v>45</v>
      </c>
      <c r="D50" s="24">
        <v>35</v>
      </c>
      <c r="E50">
        <v>317514</v>
      </c>
      <c r="F50" s="2" t="s">
        <v>2</v>
      </c>
      <c r="G50" s="2" t="str">
        <f t="shared" si="16"/>
        <v>https://www.oreht.ru/modules.php?name=orehtPriceLS&amp;op=Search&amp;page=1&amp;stext=317514</v>
      </c>
      <c r="I50">
        <v>317514</v>
      </c>
      <c r="J50" t="s">
        <v>2</v>
      </c>
      <c r="K50" t="s">
        <v>120</v>
      </c>
      <c r="L50" t="s">
        <v>121</v>
      </c>
      <c r="M50" t="s">
        <v>122</v>
      </c>
      <c r="O50" s="26" t="str">
        <f>Таблица1_2[[#This Row],[Цена]]</f>
        <v xml:space="preserve">42 </v>
      </c>
      <c r="P50" s="17">
        <v>0.37</v>
      </c>
      <c r="Q50" s="26">
        <f t="shared" si="17"/>
        <v>15.54</v>
      </c>
      <c r="R50" s="8">
        <f t="shared" si="18"/>
        <v>0.12</v>
      </c>
      <c r="S50" s="18">
        <f t="shared" ca="1" si="19"/>
        <v>23.099706744868033</v>
      </c>
      <c r="T50" s="18">
        <f t="shared" ca="1" si="20"/>
        <v>100</v>
      </c>
      <c r="U50" s="18">
        <f t="shared" ca="1" si="21"/>
        <v>100</v>
      </c>
      <c r="V50" s="18">
        <f t="shared" ca="1" si="22"/>
        <v>13.474828934506355</v>
      </c>
      <c r="W50" s="29">
        <f t="shared" ca="1" si="23"/>
        <v>192.49755620723363</v>
      </c>
      <c r="X50" s="19">
        <f t="shared" ca="1" si="24"/>
        <v>82.498952660242978</v>
      </c>
      <c r="Y50" s="19">
        <f t="shared" ca="1" si="25"/>
        <v>0</v>
      </c>
      <c r="Z50" s="31">
        <f t="shared" ca="1" si="26"/>
        <v>274.99650886747662</v>
      </c>
      <c r="AA50" s="31">
        <f t="shared" ca="1" si="27"/>
        <v>290</v>
      </c>
      <c r="AB50" s="20">
        <f t="shared" ca="1" si="28"/>
        <v>4.5832751477912765</v>
      </c>
      <c r="AC50" s="20">
        <f t="shared" ca="1" si="29"/>
        <v>8.0728297575218988E-2</v>
      </c>
      <c r="AD50" s="6">
        <f t="shared" ca="1" si="30"/>
        <v>13.923020527859251</v>
      </c>
      <c r="AE50" s="21">
        <f t="shared" ca="1" si="31"/>
        <v>0.33150048875855359</v>
      </c>
    </row>
    <row r="51" spans="1:31" hidden="1" x14ac:dyDescent="0.25">
      <c r="A51" s="24">
        <f t="shared" ca="1" si="15"/>
        <v>20</v>
      </c>
      <c r="B51" s="24">
        <v>12</v>
      </c>
      <c r="C51" s="24">
        <v>41</v>
      </c>
      <c r="D51" s="24">
        <v>35</v>
      </c>
      <c r="E51">
        <v>283501</v>
      </c>
      <c r="F51" s="2" t="s">
        <v>2</v>
      </c>
      <c r="G51" s="2" t="str">
        <f t="shared" si="16"/>
        <v>https://www.oreht.ru/modules.php?name=orehtPriceLS&amp;op=Search&amp;page=1&amp;stext=283501</v>
      </c>
      <c r="I51">
        <v>283501</v>
      </c>
      <c r="J51" t="s">
        <v>2</v>
      </c>
      <c r="K51" t="s">
        <v>123</v>
      </c>
      <c r="L51" t="s">
        <v>124</v>
      </c>
      <c r="M51" t="s">
        <v>125</v>
      </c>
      <c r="O51" s="26" t="str">
        <f>Таблица1_2[[#This Row],[Цена]]</f>
        <v xml:space="preserve">37,9 </v>
      </c>
      <c r="P51" s="17">
        <v>0.36</v>
      </c>
      <c r="Q51" s="26">
        <f t="shared" si="17"/>
        <v>13.643999999999998</v>
      </c>
      <c r="R51" s="8">
        <f t="shared" si="18"/>
        <v>0.12</v>
      </c>
      <c r="S51" s="18">
        <f t="shared" ca="1" si="19"/>
        <v>21.634017595307917</v>
      </c>
      <c r="T51" s="18">
        <f t="shared" ca="1" si="20"/>
        <v>96</v>
      </c>
      <c r="U51" s="18">
        <f t="shared" ca="1" si="21"/>
        <v>96</v>
      </c>
      <c r="V51" s="18">
        <f t="shared" ca="1" si="22"/>
        <v>12.619843597262953</v>
      </c>
      <c r="W51" s="29">
        <f t="shared" ca="1" si="23"/>
        <v>180.28347996089931</v>
      </c>
      <c r="X51" s="19">
        <f t="shared" ca="1" si="24"/>
        <v>77.264348554671145</v>
      </c>
      <c r="Y51" s="19">
        <f t="shared" ca="1" si="25"/>
        <v>0</v>
      </c>
      <c r="Z51" s="31">
        <f t="shared" ca="1" si="26"/>
        <v>257.54782851557047</v>
      </c>
      <c r="AA51" s="31">
        <f t="shared" ca="1" si="27"/>
        <v>290</v>
      </c>
      <c r="AB51" s="20">
        <f t="shared" ca="1" si="28"/>
        <v>4.7568200517387682</v>
      </c>
      <c r="AC51" s="20">
        <f t="shared" ca="1" si="29"/>
        <v>7.5680811147860974E-2</v>
      </c>
      <c r="AD51" s="6">
        <f t="shared" ca="1" si="30"/>
        <v>12.129618768328442</v>
      </c>
      <c r="AE51" s="21">
        <f t="shared" ca="1" si="31"/>
        <v>0.32004271156539427</v>
      </c>
    </row>
    <row r="52" spans="1:31" hidden="1" x14ac:dyDescent="0.25">
      <c r="A52" s="24">
        <f t="shared" ca="1" si="15"/>
        <v>20</v>
      </c>
      <c r="B52" s="24">
        <v>12</v>
      </c>
      <c r="C52" s="24">
        <v>45</v>
      </c>
      <c r="D52" s="24">
        <v>35</v>
      </c>
      <c r="E52">
        <v>370996</v>
      </c>
      <c r="F52" s="2" t="s">
        <v>2</v>
      </c>
      <c r="G52" s="2" t="str">
        <f t="shared" si="16"/>
        <v>https://www.oreht.ru/modules.php?name=orehtPriceLS&amp;op=Search&amp;page=1&amp;stext=370996</v>
      </c>
      <c r="I52">
        <v>370996</v>
      </c>
      <c r="J52" t="s">
        <v>2</v>
      </c>
      <c r="K52" t="s">
        <v>126</v>
      </c>
      <c r="L52" t="s">
        <v>127</v>
      </c>
      <c r="M52" t="s">
        <v>128</v>
      </c>
      <c r="O52" s="26" t="str">
        <f>Таблица1_2[[#This Row],[Цена]]</f>
        <v xml:space="preserve">38 </v>
      </c>
      <c r="P52" s="17">
        <v>0.36</v>
      </c>
      <c r="Q52" s="26">
        <f t="shared" si="17"/>
        <v>13.68</v>
      </c>
      <c r="R52" s="8">
        <f t="shared" si="18"/>
        <v>0.12</v>
      </c>
      <c r="S52" s="18">
        <f t="shared" ca="1" si="19"/>
        <v>22.240469208211145</v>
      </c>
      <c r="T52" s="18">
        <f t="shared" ca="1" si="20"/>
        <v>100</v>
      </c>
      <c r="U52" s="18">
        <f t="shared" ca="1" si="21"/>
        <v>100</v>
      </c>
      <c r="V52" s="18">
        <f t="shared" ca="1" si="22"/>
        <v>12.973607038123172</v>
      </c>
      <c r="W52" s="29">
        <f t="shared" ca="1" si="23"/>
        <v>185.33724340175957</v>
      </c>
      <c r="X52" s="19">
        <f t="shared" ca="1" si="24"/>
        <v>79.430247172182675</v>
      </c>
      <c r="Y52" s="19">
        <f t="shared" ca="1" si="25"/>
        <v>0</v>
      </c>
      <c r="Z52" s="31">
        <f t="shared" ca="1" si="26"/>
        <v>264.76749057394227</v>
      </c>
      <c r="AA52" s="31">
        <f t="shared" ca="1" si="27"/>
        <v>290</v>
      </c>
      <c r="AB52" s="20">
        <f t="shared" ca="1" si="28"/>
        <v>4.8772958789936727</v>
      </c>
      <c r="AC52" s="20">
        <f t="shared" ca="1" si="29"/>
        <v>7.3811392405063278E-2</v>
      </c>
      <c r="AD52" s="6">
        <f t="shared" ca="1" si="30"/>
        <v>12.123167155425257</v>
      </c>
      <c r="AE52" s="21">
        <f t="shared" ca="1" si="31"/>
        <v>0.31903071461645416</v>
      </c>
    </row>
    <row r="53" spans="1:31" hidden="1" x14ac:dyDescent="0.25">
      <c r="A53" s="24">
        <f t="shared" ca="1" si="15"/>
        <v>20</v>
      </c>
      <c r="B53" s="24">
        <v>12</v>
      </c>
      <c r="C53" s="24">
        <v>41</v>
      </c>
      <c r="D53" s="24">
        <v>35</v>
      </c>
      <c r="E53">
        <v>384025</v>
      </c>
      <c r="F53" s="2" t="s">
        <v>2</v>
      </c>
      <c r="G53" s="2" t="str">
        <f t="shared" si="16"/>
        <v>https://www.oreht.ru/modules.php?name=orehtPriceLS&amp;op=Search&amp;page=1&amp;stext=384025</v>
      </c>
      <c r="I53">
        <v>384025</v>
      </c>
      <c r="J53" t="s">
        <v>2</v>
      </c>
      <c r="K53" t="s">
        <v>129</v>
      </c>
      <c r="L53" t="s">
        <v>130</v>
      </c>
      <c r="M53" t="s">
        <v>131</v>
      </c>
      <c r="O53" s="26" t="str">
        <f>Таблица1_2[[#This Row],[Цена]]</f>
        <v xml:space="preserve">39 </v>
      </c>
      <c r="P53" s="17">
        <v>0.36</v>
      </c>
      <c r="Q53" s="26">
        <f t="shared" si="17"/>
        <v>14.04</v>
      </c>
      <c r="R53" s="8">
        <f t="shared" si="18"/>
        <v>0.12</v>
      </c>
      <c r="S53" s="18">
        <f t="shared" ca="1" si="19"/>
        <v>21.853372434017594</v>
      </c>
      <c r="T53" s="18">
        <f t="shared" ca="1" si="20"/>
        <v>96</v>
      </c>
      <c r="U53" s="18">
        <f t="shared" ca="1" si="21"/>
        <v>96</v>
      </c>
      <c r="V53" s="18">
        <f t="shared" ca="1" si="22"/>
        <v>12.747800586510264</v>
      </c>
      <c r="W53" s="29">
        <f t="shared" ca="1" si="23"/>
        <v>182.11143695014661</v>
      </c>
      <c r="X53" s="19">
        <f t="shared" ca="1" si="24"/>
        <v>78.04775869291997</v>
      </c>
      <c r="Y53" s="19">
        <f t="shared" ca="1" si="25"/>
        <v>0</v>
      </c>
      <c r="Z53" s="31">
        <f t="shared" ca="1" si="26"/>
        <v>260.1591956430666</v>
      </c>
      <c r="AA53" s="31">
        <f t="shared" ca="1" si="27"/>
        <v>290</v>
      </c>
      <c r="AB53" s="20">
        <f t="shared" ca="1" si="28"/>
        <v>4.6695240243627341</v>
      </c>
      <c r="AC53" s="20">
        <f t="shared" ca="1" si="29"/>
        <v>7.7095652173913051E-2</v>
      </c>
      <c r="AD53" s="6">
        <f t="shared" ca="1" si="30"/>
        <v>12.510263929618752</v>
      </c>
      <c r="AE53" s="21">
        <f t="shared" ca="1" si="31"/>
        <v>0.32077599819535263</v>
      </c>
    </row>
    <row r="54" spans="1:31" hidden="1" x14ac:dyDescent="0.25">
      <c r="A54" s="24">
        <f t="shared" ca="1" si="15"/>
        <v>20</v>
      </c>
      <c r="B54" s="24">
        <v>12</v>
      </c>
      <c r="C54" s="24">
        <v>41</v>
      </c>
      <c r="D54" s="24">
        <v>35</v>
      </c>
      <c r="E54">
        <v>435324</v>
      </c>
      <c r="F54" s="2" t="s">
        <v>2</v>
      </c>
      <c r="G54" s="2" t="str">
        <f t="shared" si="16"/>
        <v>https://www.oreht.ru/modules.php?name=orehtPriceLS&amp;op=Search&amp;page=1&amp;stext=435324</v>
      </c>
      <c r="I54">
        <v>435324</v>
      </c>
      <c r="J54" t="s">
        <v>2</v>
      </c>
      <c r="K54" t="s">
        <v>132</v>
      </c>
      <c r="L54" t="s">
        <v>133</v>
      </c>
      <c r="M54" t="s">
        <v>134</v>
      </c>
      <c r="O54" s="26" t="str">
        <f>Таблица1_2[[#This Row],[Цена]]</f>
        <v xml:space="preserve">39,3 </v>
      </c>
      <c r="P54" s="17">
        <v>0.36</v>
      </c>
      <c r="Q54" s="26">
        <f t="shared" si="17"/>
        <v>14.147999999999998</v>
      </c>
      <c r="R54" s="8">
        <f t="shared" si="18"/>
        <v>0.12</v>
      </c>
      <c r="S54" s="18">
        <f t="shared" ca="1" si="19"/>
        <v>21.913196480938414</v>
      </c>
      <c r="T54" s="18">
        <f t="shared" ca="1" si="20"/>
        <v>96</v>
      </c>
      <c r="U54" s="18">
        <f t="shared" ca="1" si="21"/>
        <v>96</v>
      </c>
      <c r="V54" s="18">
        <f t="shared" ca="1" si="22"/>
        <v>12.782697947214077</v>
      </c>
      <c r="W54" s="29">
        <f t="shared" ca="1" si="23"/>
        <v>182.60997067448679</v>
      </c>
      <c r="X54" s="19">
        <f t="shared" ca="1" si="24"/>
        <v>78.261416003351485</v>
      </c>
      <c r="Y54" s="19">
        <f t="shared" ca="1" si="25"/>
        <v>0</v>
      </c>
      <c r="Z54" s="31">
        <f t="shared" ca="1" si="26"/>
        <v>260.8713866778383</v>
      </c>
      <c r="AA54" s="31">
        <f t="shared" ca="1" si="27"/>
        <v>290</v>
      </c>
      <c r="AB54" s="20">
        <f t="shared" ca="1" si="28"/>
        <v>4.6465641392999188</v>
      </c>
      <c r="AC54" s="20">
        <f t="shared" ca="1" si="29"/>
        <v>7.7476601894973504E-2</v>
      </c>
      <c r="AD54" s="6">
        <f t="shared" ca="1" si="30"/>
        <v>12.614076246334307</v>
      </c>
      <c r="AE54" s="21">
        <f t="shared" ca="1" si="31"/>
        <v>0.32096886122988061</v>
      </c>
    </row>
    <row r="55" spans="1:31" hidden="1" x14ac:dyDescent="0.25">
      <c r="A55" s="24">
        <f t="shared" ca="1" si="15"/>
        <v>20</v>
      </c>
      <c r="B55" s="24">
        <v>12</v>
      </c>
      <c r="C55" s="24">
        <v>40</v>
      </c>
      <c r="D55" s="24">
        <v>35</v>
      </c>
      <c r="E55">
        <v>324187</v>
      </c>
      <c r="F55" s="2" t="s">
        <v>2</v>
      </c>
      <c r="G55" s="2" t="str">
        <f t="shared" si="16"/>
        <v>https://www.oreht.ru/modules.php?name=orehtPriceLS&amp;op=Search&amp;page=1&amp;stext=324187</v>
      </c>
      <c r="I55">
        <v>324187</v>
      </c>
      <c r="J55" t="s">
        <v>2</v>
      </c>
      <c r="K55" t="s">
        <v>135</v>
      </c>
      <c r="L55" t="s">
        <v>136</v>
      </c>
      <c r="M55" t="s">
        <v>137</v>
      </c>
      <c r="O55" s="26" t="str">
        <f>Таблица1_2[[#This Row],[Цена]]</f>
        <v xml:space="preserve">42,2 </v>
      </c>
      <c r="P55" s="17">
        <v>0.37</v>
      </c>
      <c r="Q55" s="26">
        <f t="shared" si="17"/>
        <v>15.614000000000001</v>
      </c>
      <c r="R55" s="8">
        <f t="shared" si="18"/>
        <v>0.12</v>
      </c>
      <c r="S55" s="18">
        <f t="shared" ca="1" si="19"/>
        <v>22.406744868035197</v>
      </c>
      <c r="T55" s="18">
        <f t="shared" ca="1" si="20"/>
        <v>95</v>
      </c>
      <c r="U55" s="18">
        <f t="shared" ca="1" si="21"/>
        <v>95</v>
      </c>
      <c r="V55" s="18">
        <f t="shared" ca="1" si="22"/>
        <v>13.070601173020533</v>
      </c>
      <c r="W55" s="29">
        <f t="shared" ca="1" si="23"/>
        <v>186.72287390029331</v>
      </c>
      <c r="X55" s="19">
        <f t="shared" ca="1" si="24"/>
        <v>80.024088814411428</v>
      </c>
      <c r="Y55" s="19">
        <f t="shared" ca="1" si="25"/>
        <v>0</v>
      </c>
      <c r="Z55" s="31">
        <f t="shared" ca="1" si="26"/>
        <v>266.74696271470475</v>
      </c>
      <c r="AA55" s="31">
        <f t="shared" ca="1" si="27"/>
        <v>290</v>
      </c>
      <c r="AB55" s="20">
        <f t="shared" ca="1" si="28"/>
        <v>4.4247126516657183</v>
      </c>
      <c r="AC55" s="20">
        <f t="shared" ca="1" si="29"/>
        <v>8.3621249361969435E-2</v>
      </c>
      <c r="AD55" s="6">
        <f t="shared" ca="1" si="30"/>
        <v>14.045527859237588</v>
      </c>
      <c r="AE55" s="21">
        <f t="shared" ca="1" si="31"/>
        <v>0.33283241372600914</v>
      </c>
    </row>
    <row r="56" spans="1:31" hidden="1" x14ac:dyDescent="0.25">
      <c r="A56" s="24" t="e">
        <f t="shared" ca="1" si="15"/>
        <v>#VALUE!</v>
      </c>
      <c r="B56" s="24">
        <v>12</v>
      </c>
      <c r="C56" s="24">
        <v>67</v>
      </c>
      <c r="D56" s="24">
        <v>35</v>
      </c>
      <c r="E56">
        <v>431140</v>
      </c>
      <c r="F56" s="2" t="s">
        <v>2</v>
      </c>
      <c r="G56" s="2" t="str">
        <f t="shared" si="16"/>
        <v>https://www.oreht.ru/modules.php?name=orehtPriceLS&amp;op=Search&amp;page=1&amp;stext=431140</v>
      </c>
      <c r="I56">
        <v>431140</v>
      </c>
      <c r="J56" t="s">
        <v>2</v>
      </c>
      <c r="K56" t="s">
        <v>138</v>
      </c>
      <c r="L56" t="s">
        <v>139</v>
      </c>
      <c r="M56">
        <v>40</v>
      </c>
      <c r="O56" s="26">
        <f>Таблица1_2[[#This Row],[Цена]]</f>
        <v>40</v>
      </c>
      <c r="P56" s="17">
        <v>0.36</v>
      </c>
      <c r="Q56" s="26">
        <f t="shared" si="17"/>
        <v>14.399999999999999</v>
      </c>
      <c r="R56" s="8">
        <f t="shared" si="18"/>
        <v>0.12</v>
      </c>
      <c r="S56" s="18" t="e">
        <f t="shared" ca="1" si="19"/>
        <v>#VALUE!</v>
      </c>
      <c r="T56" s="18" t="e">
        <f t="shared" ca="1" si="20"/>
        <v>#VALUE!</v>
      </c>
      <c r="U56" s="18" t="e">
        <f t="shared" ca="1" si="21"/>
        <v>#VALUE!</v>
      </c>
      <c r="V56" s="18" t="e">
        <f t="shared" ca="1" si="22"/>
        <v>#VALUE!</v>
      </c>
      <c r="W56" s="29" t="e">
        <f t="shared" ca="1" si="23"/>
        <v>#VALUE!</v>
      </c>
      <c r="X56" s="19" t="e">
        <f t="shared" ca="1" si="24"/>
        <v>#VALUE!</v>
      </c>
      <c r="Y56" s="19" t="e">
        <f t="shared" ca="1" si="25"/>
        <v>#VALUE!</v>
      </c>
      <c r="Z56" s="31" t="e">
        <f t="shared" ca="1" si="26"/>
        <v>#VALUE!</v>
      </c>
      <c r="AA56" s="31" t="e">
        <f t="shared" ca="1" si="27"/>
        <v>#VALUE!</v>
      </c>
      <c r="AB56" s="20" t="e">
        <f t="shared" ca="1" si="28"/>
        <v>#VALUE!</v>
      </c>
      <c r="AC56" s="20" t="e">
        <f t="shared" ca="1" si="29"/>
        <v>#VALUE!</v>
      </c>
      <c r="AD56" s="6" t="e">
        <f t="shared" ca="1" si="30"/>
        <v>#VALUE!</v>
      </c>
      <c r="AE56" s="21" t="e">
        <f t="shared" ca="1" si="31"/>
        <v>#VALUE!</v>
      </c>
    </row>
    <row r="57" spans="1:31" hidden="1" x14ac:dyDescent="0.25">
      <c r="A57" s="24" t="e">
        <f t="shared" ca="1" si="15"/>
        <v>#VALUE!</v>
      </c>
      <c r="B57" s="24">
        <v>12</v>
      </c>
      <c r="C57" s="24">
        <v>41</v>
      </c>
      <c r="D57" s="24">
        <v>35</v>
      </c>
      <c r="E57">
        <v>443703</v>
      </c>
      <c r="F57" s="2" t="s">
        <v>2</v>
      </c>
      <c r="G57" s="2" t="str">
        <f t="shared" si="16"/>
        <v>https://www.oreht.ru/modules.php?name=orehtPriceLS&amp;op=Search&amp;page=1&amp;stext=443703</v>
      </c>
      <c r="I57">
        <v>443703</v>
      </c>
      <c r="J57" t="s">
        <v>2</v>
      </c>
      <c r="K57" t="s">
        <v>140</v>
      </c>
      <c r="L57" t="s">
        <v>141</v>
      </c>
      <c r="M57">
        <v>40</v>
      </c>
      <c r="O57" s="26">
        <f>Таблица1_2[[#This Row],[Цена]]</f>
        <v>40</v>
      </c>
      <c r="P57" s="17">
        <v>0.36</v>
      </c>
      <c r="Q57" s="26">
        <f t="shared" si="17"/>
        <v>14.399999999999999</v>
      </c>
      <c r="R57" s="8">
        <f t="shared" si="18"/>
        <v>0.12</v>
      </c>
      <c r="S57" s="18" t="e">
        <f t="shared" ca="1" si="19"/>
        <v>#VALUE!</v>
      </c>
      <c r="T57" s="18" t="e">
        <f t="shared" ca="1" si="20"/>
        <v>#VALUE!</v>
      </c>
      <c r="U57" s="18" t="e">
        <f t="shared" ca="1" si="21"/>
        <v>#VALUE!</v>
      </c>
      <c r="V57" s="18" t="e">
        <f t="shared" ca="1" si="22"/>
        <v>#VALUE!</v>
      </c>
      <c r="W57" s="29" t="e">
        <f t="shared" ca="1" si="23"/>
        <v>#VALUE!</v>
      </c>
      <c r="X57" s="19" t="e">
        <f t="shared" ca="1" si="24"/>
        <v>#VALUE!</v>
      </c>
      <c r="Y57" s="19" t="e">
        <f t="shared" ca="1" si="25"/>
        <v>#VALUE!</v>
      </c>
      <c r="Z57" s="31" t="e">
        <f t="shared" ca="1" si="26"/>
        <v>#VALUE!</v>
      </c>
      <c r="AA57" s="31" t="e">
        <f t="shared" ca="1" si="27"/>
        <v>#VALUE!</v>
      </c>
      <c r="AB57" s="20" t="e">
        <f t="shared" ca="1" si="28"/>
        <v>#VALUE!</v>
      </c>
      <c r="AC57" s="20" t="e">
        <f t="shared" ca="1" si="29"/>
        <v>#VALUE!</v>
      </c>
      <c r="AD57" s="6" t="e">
        <f t="shared" ca="1" si="30"/>
        <v>#VALUE!</v>
      </c>
      <c r="AE57" s="21" t="e">
        <f t="shared" ca="1" si="31"/>
        <v>#VALUE!</v>
      </c>
    </row>
    <row r="58" spans="1:31" hidden="1" x14ac:dyDescent="0.25">
      <c r="A58" s="24">
        <f t="shared" ca="1" si="15"/>
        <v>20</v>
      </c>
      <c r="B58" s="24">
        <v>12</v>
      </c>
      <c r="C58" s="24">
        <v>41</v>
      </c>
      <c r="D58" s="24">
        <v>35</v>
      </c>
      <c r="E58">
        <v>118157</v>
      </c>
      <c r="F58" s="2" t="s">
        <v>2</v>
      </c>
      <c r="G58" s="2" t="str">
        <f t="shared" si="16"/>
        <v>https://www.oreht.ru/modules.php?name=orehtPriceLS&amp;op=Search&amp;page=1&amp;stext=118157</v>
      </c>
      <c r="I58">
        <v>118157</v>
      </c>
      <c r="J58" t="s">
        <v>2</v>
      </c>
      <c r="K58" t="s">
        <v>142</v>
      </c>
      <c r="L58" t="s">
        <v>143</v>
      </c>
      <c r="M58" t="s">
        <v>144</v>
      </c>
      <c r="O58" s="26" t="str">
        <f>Таблица1_2[[#This Row],[Цена]]</f>
        <v xml:space="preserve">42,7 </v>
      </c>
      <c r="P58" s="17">
        <v>0.36</v>
      </c>
      <c r="Q58" s="26">
        <f t="shared" si="17"/>
        <v>15.372</v>
      </c>
      <c r="R58" s="8">
        <f t="shared" si="18"/>
        <v>0.12</v>
      </c>
      <c r="S58" s="18">
        <f t="shared" ca="1" si="19"/>
        <v>22.591202346041058</v>
      </c>
      <c r="T58" s="18">
        <f t="shared" ca="1" si="20"/>
        <v>96</v>
      </c>
      <c r="U58" s="18">
        <f t="shared" ca="1" si="21"/>
        <v>96</v>
      </c>
      <c r="V58" s="18">
        <f t="shared" ca="1" si="22"/>
        <v>13.178201368523952</v>
      </c>
      <c r="W58" s="29">
        <f t="shared" ca="1" si="23"/>
        <v>188.26001955034215</v>
      </c>
      <c r="X58" s="19">
        <f t="shared" ca="1" si="24"/>
        <v>80.682865521575209</v>
      </c>
      <c r="Y58" s="19">
        <f t="shared" ca="1" si="25"/>
        <v>0</v>
      </c>
      <c r="Z58" s="31">
        <f t="shared" ca="1" si="26"/>
        <v>268.94288507191737</v>
      </c>
      <c r="AA58" s="31">
        <f t="shared" ca="1" si="27"/>
        <v>290</v>
      </c>
      <c r="AB58" s="20">
        <f t="shared" ca="1" si="28"/>
        <v>4.408899755277333</v>
      </c>
      <c r="AC58" s="20">
        <f t="shared" ca="1" si="29"/>
        <v>8.1653024559945997E-2</v>
      </c>
      <c r="AD58" s="6">
        <f t="shared" ca="1" si="30"/>
        <v>13.790615835777132</v>
      </c>
      <c r="AE58" s="21">
        <f t="shared" ca="1" si="31"/>
        <v>0.32296524205567051</v>
      </c>
    </row>
    <row r="59" spans="1:31" hidden="1" x14ac:dyDescent="0.25">
      <c r="A59" s="24">
        <f t="shared" ca="1" si="15"/>
        <v>20</v>
      </c>
      <c r="B59" s="24">
        <v>12</v>
      </c>
      <c r="C59" s="24">
        <v>41</v>
      </c>
      <c r="D59" s="24">
        <v>35</v>
      </c>
      <c r="E59">
        <v>354307</v>
      </c>
      <c r="F59" s="2" t="s">
        <v>2</v>
      </c>
      <c r="G59" s="2" t="str">
        <f t="shared" si="16"/>
        <v>https://www.oreht.ru/modules.php?name=orehtPriceLS&amp;op=Search&amp;page=1&amp;stext=354307</v>
      </c>
      <c r="I59">
        <v>354307</v>
      </c>
      <c r="J59" t="s">
        <v>2</v>
      </c>
      <c r="K59" t="s">
        <v>145</v>
      </c>
      <c r="L59" t="s">
        <v>146</v>
      </c>
      <c r="M59" t="s">
        <v>147</v>
      </c>
      <c r="O59" s="26" t="str">
        <f>Таблица1_2[[#This Row],[Цена]]</f>
        <v xml:space="preserve">40,9 </v>
      </c>
      <c r="P59" s="17">
        <v>0.36</v>
      </c>
      <c r="Q59" s="26">
        <f t="shared" si="17"/>
        <v>14.723999999999998</v>
      </c>
      <c r="R59" s="8">
        <f t="shared" si="18"/>
        <v>0.12</v>
      </c>
      <c r="S59" s="18">
        <f t="shared" ca="1" si="19"/>
        <v>22.232258064516127</v>
      </c>
      <c r="T59" s="18">
        <f t="shared" ca="1" si="20"/>
        <v>96</v>
      </c>
      <c r="U59" s="18">
        <f t="shared" ca="1" si="21"/>
        <v>96</v>
      </c>
      <c r="V59" s="18">
        <f t="shared" ca="1" si="22"/>
        <v>12.968817204301075</v>
      </c>
      <c r="W59" s="29">
        <f t="shared" ca="1" si="23"/>
        <v>185.26881720430106</v>
      </c>
      <c r="X59" s="19">
        <f t="shared" ca="1" si="24"/>
        <v>79.400921658986178</v>
      </c>
      <c r="Y59" s="19">
        <f t="shared" ca="1" si="25"/>
        <v>0</v>
      </c>
      <c r="Z59" s="31">
        <f t="shared" ca="1" si="26"/>
        <v>264.66973886328725</v>
      </c>
      <c r="AA59" s="31">
        <f t="shared" ca="1" si="27"/>
        <v>290</v>
      </c>
      <c r="AB59" s="20">
        <f t="shared" ca="1" si="28"/>
        <v>4.5297999316455027</v>
      </c>
      <c r="AC59" s="20">
        <f t="shared" ca="1" si="29"/>
        <v>7.9473708647707489E-2</v>
      </c>
      <c r="AD59" s="6">
        <f t="shared" ca="1" si="30"/>
        <v>13.167741935483853</v>
      </c>
      <c r="AE59" s="21">
        <f t="shared" ca="1" si="31"/>
        <v>0.32194968057417733</v>
      </c>
    </row>
    <row r="60" spans="1:31" hidden="1" x14ac:dyDescent="0.25">
      <c r="A60" s="24" t="e">
        <f t="shared" ca="1" si="15"/>
        <v>#VALUE!</v>
      </c>
      <c r="B60" s="24">
        <v>12</v>
      </c>
      <c r="C60" s="24">
        <v>45</v>
      </c>
      <c r="D60" s="24">
        <v>35</v>
      </c>
      <c r="E60">
        <v>377701</v>
      </c>
      <c r="F60" s="2" t="s">
        <v>2</v>
      </c>
      <c r="G60" s="2" t="str">
        <f t="shared" si="16"/>
        <v>https://www.oreht.ru/modules.php?name=orehtPriceLS&amp;op=Search&amp;page=1&amp;stext=377701</v>
      </c>
      <c r="I60">
        <v>377701</v>
      </c>
      <c r="J60" t="s">
        <v>2</v>
      </c>
      <c r="K60" t="s">
        <v>148</v>
      </c>
      <c r="L60" t="s">
        <v>149</v>
      </c>
      <c r="M60">
        <v>42</v>
      </c>
      <c r="O60" s="26">
        <f>Таблица1_2[[#This Row],[Цена]]</f>
        <v>42</v>
      </c>
      <c r="P60" s="17">
        <v>0.36</v>
      </c>
      <c r="Q60" s="26">
        <f t="shared" si="17"/>
        <v>15.12</v>
      </c>
      <c r="R60" s="8">
        <f t="shared" si="18"/>
        <v>0.12</v>
      </c>
      <c r="S60" s="18" t="e">
        <f t="shared" ca="1" si="19"/>
        <v>#VALUE!</v>
      </c>
      <c r="T60" s="18" t="e">
        <f t="shared" ca="1" si="20"/>
        <v>#VALUE!</v>
      </c>
      <c r="U60" s="18" t="e">
        <f t="shared" ca="1" si="21"/>
        <v>#VALUE!</v>
      </c>
      <c r="V60" s="18" t="e">
        <f t="shared" ca="1" si="22"/>
        <v>#VALUE!</v>
      </c>
      <c r="W60" s="29" t="e">
        <f t="shared" ca="1" si="23"/>
        <v>#VALUE!</v>
      </c>
      <c r="X60" s="19" t="e">
        <f t="shared" ca="1" si="24"/>
        <v>#VALUE!</v>
      </c>
      <c r="Y60" s="19" t="e">
        <f t="shared" ca="1" si="25"/>
        <v>#VALUE!</v>
      </c>
      <c r="Z60" s="31" t="e">
        <f t="shared" ca="1" si="26"/>
        <v>#VALUE!</v>
      </c>
      <c r="AA60" s="31" t="e">
        <f t="shared" ca="1" si="27"/>
        <v>#VALUE!</v>
      </c>
      <c r="AB60" s="20" t="e">
        <f t="shared" ca="1" si="28"/>
        <v>#VALUE!</v>
      </c>
      <c r="AC60" s="20" t="e">
        <f t="shared" ca="1" si="29"/>
        <v>#VALUE!</v>
      </c>
      <c r="AD60" s="6" t="e">
        <f t="shared" ca="1" si="30"/>
        <v>#VALUE!</v>
      </c>
      <c r="AE60" s="21" t="e">
        <f t="shared" ca="1" si="31"/>
        <v>#VALUE!</v>
      </c>
    </row>
    <row r="61" spans="1:31" hidden="1" x14ac:dyDescent="0.25">
      <c r="A61" s="24">
        <f t="shared" ca="1" si="15"/>
        <v>39.172554002541304</v>
      </c>
      <c r="B61" s="24">
        <v>10</v>
      </c>
      <c r="C61" s="24">
        <v>525</v>
      </c>
      <c r="D61" s="24">
        <v>35</v>
      </c>
      <c r="E61">
        <v>331114</v>
      </c>
      <c r="F61" s="2" t="s">
        <v>2</v>
      </c>
      <c r="G61" s="2" t="str">
        <f t="shared" si="16"/>
        <v>https://www.oreht.ru/modules.php?name=orehtPriceLS&amp;op=Search&amp;page=1&amp;stext=331114</v>
      </c>
      <c r="I61">
        <v>331114</v>
      </c>
      <c r="J61" t="s">
        <v>2</v>
      </c>
      <c r="K61" t="s">
        <v>150</v>
      </c>
      <c r="L61" t="s">
        <v>151</v>
      </c>
      <c r="M61" t="s">
        <v>152</v>
      </c>
      <c r="O61" s="26" t="str">
        <f>Таблица1_2[[#This Row],[Цена]]</f>
        <v xml:space="preserve">41,6 </v>
      </c>
      <c r="P61" s="17">
        <v>0.36</v>
      </c>
      <c r="Q61" s="26">
        <f t="shared" si="17"/>
        <v>14.975999999999999</v>
      </c>
      <c r="R61" s="8">
        <f t="shared" si="18"/>
        <v>0.1</v>
      </c>
      <c r="S61" s="18">
        <f t="shared" ca="1" si="19"/>
        <v>78.345108005082608</v>
      </c>
      <c r="T61" s="18">
        <f t="shared" ca="1" si="20"/>
        <v>599.17255400254135</v>
      </c>
      <c r="U61" s="18">
        <f t="shared" ca="1" si="21"/>
        <v>599.17255400254135</v>
      </c>
      <c r="V61" s="18">
        <f t="shared" ca="1" si="22"/>
        <v>54.841575603557828</v>
      </c>
      <c r="W61" s="29">
        <f t="shared" ca="1" si="23"/>
        <v>783.45108005082602</v>
      </c>
      <c r="X61" s="19">
        <f t="shared" ca="1" si="24"/>
        <v>335.76474859321115</v>
      </c>
      <c r="Y61" s="19">
        <f t="shared" ca="1" si="25"/>
        <v>0</v>
      </c>
      <c r="Z61" s="31">
        <f t="shared" ca="1" si="26"/>
        <v>1119.2158286440372</v>
      </c>
      <c r="AA61" s="31">
        <f t="shared" ca="1" si="27"/>
        <v>1190</v>
      </c>
      <c r="AB61" s="20">
        <f t="shared" ca="1" si="28"/>
        <v>18.832958655067934</v>
      </c>
      <c r="AC61" s="20">
        <f t="shared" ca="1" si="29"/>
        <v>1.9115424538094245E-2</v>
      </c>
      <c r="AD61" s="6">
        <f t="shared" ca="1" si="30"/>
        <v>9.4918424396441807</v>
      </c>
      <c r="AE61" s="21">
        <f t="shared" ca="1" si="31"/>
        <v>0.22816928941452358</v>
      </c>
    </row>
    <row r="62" spans="1:31" hidden="1" x14ac:dyDescent="0.25">
      <c r="A62" s="24" t="e">
        <f t="shared" ca="1" si="15"/>
        <v>#VALUE!</v>
      </c>
      <c r="B62" s="24">
        <v>12</v>
      </c>
      <c r="C62" s="24">
        <v>45</v>
      </c>
      <c r="D62" s="24">
        <v>35</v>
      </c>
      <c r="E62">
        <v>92016</v>
      </c>
      <c r="F62" s="2" t="s">
        <v>2</v>
      </c>
      <c r="G62" s="2" t="str">
        <f t="shared" si="16"/>
        <v>https://www.oreht.ru/modules.php?name=orehtPriceLS&amp;op=Search&amp;page=1&amp;stext=92016</v>
      </c>
      <c r="I62">
        <v>92016</v>
      </c>
      <c r="J62" t="s">
        <v>2</v>
      </c>
      <c r="K62" t="s">
        <v>153</v>
      </c>
      <c r="L62" t="s">
        <v>154</v>
      </c>
      <c r="M62">
        <v>41</v>
      </c>
      <c r="O62" s="26">
        <f>Таблица1_2[[#This Row],[Цена]]</f>
        <v>41</v>
      </c>
      <c r="P62" s="17">
        <v>0.36</v>
      </c>
      <c r="Q62" s="26">
        <f t="shared" si="17"/>
        <v>14.76</v>
      </c>
      <c r="R62" s="8">
        <f t="shared" si="18"/>
        <v>0.12</v>
      </c>
      <c r="S62" s="18" t="e">
        <f t="shared" ca="1" si="19"/>
        <v>#VALUE!</v>
      </c>
      <c r="T62" s="18" t="e">
        <f t="shared" ca="1" si="20"/>
        <v>#VALUE!</v>
      </c>
      <c r="U62" s="18" t="e">
        <f t="shared" ca="1" si="21"/>
        <v>#VALUE!</v>
      </c>
      <c r="V62" s="18" t="e">
        <f t="shared" ca="1" si="22"/>
        <v>#VALUE!</v>
      </c>
      <c r="W62" s="29" t="e">
        <f t="shared" ca="1" si="23"/>
        <v>#VALUE!</v>
      </c>
      <c r="X62" s="19" t="e">
        <f t="shared" ca="1" si="24"/>
        <v>#VALUE!</v>
      </c>
      <c r="Y62" s="19" t="e">
        <f t="shared" ca="1" si="25"/>
        <v>#VALUE!</v>
      </c>
      <c r="Z62" s="31" t="e">
        <f t="shared" ca="1" si="26"/>
        <v>#VALUE!</v>
      </c>
      <c r="AA62" s="31" t="e">
        <f t="shared" ca="1" si="27"/>
        <v>#VALUE!</v>
      </c>
      <c r="AB62" s="20" t="e">
        <f t="shared" ca="1" si="28"/>
        <v>#VALUE!</v>
      </c>
      <c r="AC62" s="20" t="e">
        <f t="shared" ca="1" si="29"/>
        <v>#VALUE!</v>
      </c>
      <c r="AD62" s="6" t="e">
        <f t="shared" ca="1" si="30"/>
        <v>#VALUE!</v>
      </c>
      <c r="AE62" s="21" t="e">
        <f t="shared" ca="1" si="31"/>
        <v>#VALUE!</v>
      </c>
    </row>
    <row r="63" spans="1:31" hidden="1" x14ac:dyDescent="0.25">
      <c r="A63" s="24">
        <f t="shared" ca="1" si="15"/>
        <v>20</v>
      </c>
      <c r="B63" s="24">
        <v>12</v>
      </c>
      <c r="C63" s="24">
        <v>41</v>
      </c>
      <c r="D63" s="24">
        <v>35</v>
      </c>
      <c r="E63">
        <v>259968</v>
      </c>
      <c r="F63" s="2" t="s">
        <v>2</v>
      </c>
      <c r="G63" s="2" t="str">
        <f t="shared" si="16"/>
        <v>https://www.oreht.ru/modules.php?name=orehtPriceLS&amp;op=Search&amp;page=1&amp;stext=259968</v>
      </c>
      <c r="I63">
        <v>259968</v>
      </c>
      <c r="J63" t="s">
        <v>2</v>
      </c>
      <c r="K63" t="s">
        <v>155</v>
      </c>
      <c r="L63" t="s">
        <v>156</v>
      </c>
      <c r="M63" t="s">
        <v>157</v>
      </c>
      <c r="O63" s="26" t="str">
        <f>Таблица1_2[[#This Row],[Цена]]</f>
        <v xml:space="preserve">41,2 </v>
      </c>
      <c r="P63" s="17">
        <v>0.36</v>
      </c>
      <c r="Q63" s="26">
        <f t="shared" si="17"/>
        <v>14.832000000000001</v>
      </c>
      <c r="R63" s="8">
        <f t="shared" si="18"/>
        <v>0.12</v>
      </c>
      <c r="S63" s="18">
        <f t="shared" ca="1" si="19"/>
        <v>22.292082111436955</v>
      </c>
      <c r="T63" s="18">
        <f t="shared" ca="1" si="20"/>
        <v>96</v>
      </c>
      <c r="U63" s="18">
        <f t="shared" ca="1" si="21"/>
        <v>96</v>
      </c>
      <c r="V63" s="18">
        <f t="shared" ca="1" si="22"/>
        <v>13.003714565004891</v>
      </c>
      <c r="W63" s="29">
        <f t="shared" ca="1" si="23"/>
        <v>185.76735092864129</v>
      </c>
      <c r="X63" s="19">
        <f t="shared" ca="1" si="24"/>
        <v>79.614578969417707</v>
      </c>
      <c r="Y63" s="19">
        <f t="shared" ca="1" si="25"/>
        <v>0</v>
      </c>
      <c r="Z63" s="31">
        <f t="shared" ca="1" si="26"/>
        <v>265.38192989805901</v>
      </c>
      <c r="AA63" s="31">
        <f t="shared" ca="1" si="27"/>
        <v>290</v>
      </c>
      <c r="AB63" s="20">
        <f t="shared" ca="1" si="28"/>
        <v>4.5089162846757596</v>
      </c>
      <c r="AC63" s="20">
        <f t="shared" ca="1" si="29"/>
        <v>7.9841801725952413E-2</v>
      </c>
      <c r="AD63" s="6">
        <f t="shared" ca="1" si="30"/>
        <v>13.271554252199451</v>
      </c>
      <c r="AE63" s="21">
        <f t="shared" ca="1" si="31"/>
        <v>0.32212510320872451</v>
      </c>
    </row>
    <row r="64" spans="1:31" hidden="1" x14ac:dyDescent="0.25">
      <c r="A64" s="24">
        <f t="shared" ca="1" si="15"/>
        <v>20</v>
      </c>
      <c r="B64" s="24">
        <v>12</v>
      </c>
      <c r="C64" s="24">
        <v>40</v>
      </c>
      <c r="D64" s="24">
        <v>35</v>
      </c>
      <c r="E64">
        <v>211307</v>
      </c>
      <c r="F64" s="2" t="s">
        <v>2</v>
      </c>
      <c r="G64" s="2" t="str">
        <f t="shared" si="16"/>
        <v>https://www.oreht.ru/modules.php?name=orehtPriceLS&amp;op=Search&amp;page=1&amp;stext=211307</v>
      </c>
      <c r="I64">
        <v>211307</v>
      </c>
      <c r="J64" t="s">
        <v>2</v>
      </c>
      <c r="K64" t="s">
        <v>158</v>
      </c>
      <c r="L64" t="s">
        <v>159</v>
      </c>
      <c r="M64" t="s">
        <v>160</v>
      </c>
      <c r="O64" s="26" t="str">
        <f>Таблица1_2[[#This Row],[Цена]]</f>
        <v xml:space="preserve">41,4 </v>
      </c>
      <c r="P64" s="17">
        <v>0.36</v>
      </c>
      <c r="Q64" s="26">
        <f t="shared" si="17"/>
        <v>14.903999999999998</v>
      </c>
      <c r="R64" s="8">
        <f t="shared" si="18"/>
        <v>0.12</v>
      </c>
      <c r="S64" s="18">
        <f t="shared" ca="1" si="19"/>
        <v>22.185337243401761</v>
      </c>
      <c r="T64" s="18">
        <f t="shared" ca="1" si="20"/>
        <v>95</v>
      </c>
      <c r="U64" s="18">
        <f t="shared" ca="1" si="21"/>
        <v>95</v>
      </c>
      <c r="V64" s="18">
        <f t="shared" ca="1" si="22"/>
        <v>12.941446725317697</v>
      </c>
      <c r="W64" s="29">
        <f t="shared" ca="1" si="23"/>
        <v>184.87781036168136</v>
      </c>
      <c r="X64" s="19">
        <f t="shared" ca="1" si="24"/>
        <v>79.233347297863432</v>
      </c>
      <c r="Y64" s="19">
        <f t="shared" ca="1" si="25"/>
        <v>0</v>
      </c>
      <c r="Z64" s="31">
        <f t="shared" ca="1" si="26"/>
        <v>264.1111576595448</v>
      </c>
      <c r="AA64" s="31">
        <f t="shared" ca="1" si="27"/>
        <v>290</v>
      </c>
      <c r="AB64" s="20">
        <f t="shared" ca="1" si="28"/>
        <v>4.4656475932773274</v>
      </c>
      <c r="AC64" s="20">
        <f t="shared" ca="1" si="29"/>
        <v>8.0615407391741112E-2</v>
      </c>
      <c r="AD64" s="6">
        <f t="shared" ca="1" si="30"/>
        <v>13.351026392961906</v>
      </c>
      <c r="AE64" s="21">
        <f t="shared" ca="1" si="31"/>
        <v>0.32248856021647115</v>
      </c>
    </row>
    <row r="65" spans="1:31" hidden="1" x14ac:dyDescent="0.25">
      <c r="A65" s="24">
        <f t="shared" ca="1" si="15"/>
        <v>20</v>
      </c>
      <c r="B65" s="24">
        <v>12</v>
      </c>
      <c r="C65" s="24">
        <v>42</v>
      </c>
      <c r="D65" s="24">
        <v>35</v>
      </c>
      <c r="E65">
        <v>368965</v>
      </c>
      <c r="F65" s="2" t="s">
        <v>2</v>
      </c>
      <c r="G65" s="2" t="str">
        <f t="shared" si="16"/>
        <v>https://www.oreht.ru/modules.php?name=orehtPriceLS&amp;op=Search&amp;page=1&amp;stext=368965</v>
      </c>
      <c r="I65">
        <v>368965</v>
      </c>
      <c r="J65" t="s">
        <v>2</v>
      </c>
      <c r="K65" t="s">
        <v>161</v>
      </c>
      <c r="L65" t="s">
        <v>162</v>
      </c>
      <c r="M65" t="s">
        <v>163</v>
      </c>
      <c r="O65" s="26" t="str">
        <f>Таблица1_2[[#This Row],[Цена]]</f>
        <v xml:space="preserve">39,5 </v>
      </c>
      <c r="P65" s="17">
        <v>0.36</v>
      </c>
      <c r="Q65" s="26">
        <f t="shared" si="17"/>
        <v>14.219999999999999</v>
      </c>
      <c r="R65" s="8">
        <f t="shared" si="18"/>
        <v>0.12</v>
      </c>
      <c r="S65" s="18">
        <f t="shared" ca="1" si="19"/>
        <v>22.099706744868037</v>
      </c>
      <c r="T65" s="18">
        <f t="shared" ca="1" si="20"/>
        <v>97</v>
      </c>
      <c r="U65" s="18">
        <f t="shared" ca="1" si="21"/>
        <v>97</v>
      </c>
      <c r="V65" s="18">
        <f t="shared" ca="1" si="22"/>
        <v>12.891495601173023</v>
      </c>
      <c r="W65" s="29">
        <f t="shared" ca="1" si="23"/>
        <v>184.16422287390031</v>
      </c>
      <c r="X65" s="19">
        <f t="shared" ca="1" si="24"/>
        <v>78.927524088814422</v>
      </c>
      <c r="Y65" s="19">
        <f t="shared" ca="1" si="25"/>
        <v>0</v>
      </c>
      <c r="Z65" s="31">
        <f t="shared" ca="1" si="26"/>
        <v>263.09174696271475</v>
      </c>
      <c r="AA65" s="31">
        <f t="shared" ca="1" si="27"/>
        <v>290</v>
      </c>
      <c r="AB65" s="20">
        <f t="shared" ca="1" si="28"/>
        <v>4.6623853892126661</v>
      </c>
      <c r="AC65" s="20">
        <f t="shared" ca="1" si="29"/>
        <v>7.7213694267515912E-2</v>
      </c>
      <c r="AD65" s="6">
        <f t="shared" ca="1" si="30"/>
        <v>12.673020527859244</v>
      </c>
      <c r="AE65" s="21">
        <f t="shared" ca="1" si="31"/>
        <v>0.32083596273061377</v>
      </c>
    </row>
    <row r="66" spans="1:31" hidden="1" x14ac:dyDescent="0.25">
      <c r="A66" s="24">
        <f t="shared" ca="1" si="15"/>
        <v>20</v>
      </c>
      <c r="B66" s="24">
        <v>15</v>
      </c>
      <c r="C66" s="24">
        <v>45</v>
      </c>
      <c r="D66" s="24">
        <v>35</v>
      </c>
      <c r="E66">
        <v>414992</v>
      </c>
      <c r="F66" s="2" t="s">
        <v>2</v>
      </c>
      <c r="G66" s="2" t="str">
        <f t="shared" si="16"/>
        <v>https://www.oreht.ru/modules.php?name=orehtPriceLS&amp;op=Search&amp;page=1&amp;stext=414992</v>
      </c>
      <c r="I66">
        <v>414992</v>
      </c>
      <c r="J66" t="s">
        <v>2</v>
      </c>
      <c r="K66" t="s">
        <v>164</v>
      </c>
      <c r="L66" t="s">
        <v>165</v>
      </c>
      <c r="M66" t="s">
        <v>166</v>
      </c>
      <c r="O66" s="26" t="str">
        <f>Таблица1_2[[#This Row],[Цена]]</f>
        <v xml:space="preserve">41,7 </v>
      </c>
      <c r="P66" s="17">
        <v>0.36</v>
      </c>
      <c r="Q66" s="26">
        <f t="shared" si="17"/>
        <v>15.012</v>
      </c>
      <c r="R66" s="8">
        <f t="shared" si="18"/>
        <v>0.15</v>
      </c>
      <c r="S66" s="18">
        <f t="shared" ca="1" si="19"/>
        <v>29.736622390891835</v>
      </c>
      <c r="T66" s="18">
        <f t="shared" ca="1" si="20"/>
        <v>100</v>
      </c>
      <c r="U66" s="18">
        <f t="shared" ca="1" si="21"/>
        <v>100</v>
      </c>
      <c r="V66" s="18">
        <f t="shared" ca="1" si="22"/>
        <v>13.877090449082859</v>
      </c>
      <c r="W66" s="29">
        <f t="shared" ca="1" si="23"/>
        <v>198.24414927261225</v>
      </c>
      <c r="X66" s="19">
        <f t="shared" ca="1" si="24"/>
        <v>84.961778259690973</v>
      </c>
      <c r="Y66" s="19">
        <f t="shared" ca="1" si="25"/>
        <v>0</v>
      </c>
      <c r="Z66" s="31">
        <f t="shared" ca="1" si="26"/>
        <v>283.20592753230324</v>
      </c>
      <c r="AA66" s="31">
        <f t="shared" ca="1" si="27"/>
        <v>290</v>
      </c>
      <c r="AB66" s="20">
        <f t="shared" ca="1" si="28"/>
        <v>4.7540563374727158</v>
      </c>
      <c r="AC66" s="20">
        <f t="shared" ca="1" si="29"/>
        <v>7.5724807289805518E-2</v>
      </c>
      <c r="AD66" s="6">
        <f t="shared" ca="1" si="30"/>
        <v>12.930436432637549</v>
      </c>
      <c r="AE66" s="21">
        <f t="shared" ca="1" si="31"/>
        <v>0.31008240845653595</v>
      </c>
    </row>
    <row r="67" spans="1:31" hidden="1" x14ac:dyDescent="0.25">
      <c r="A67" s="24">
        <f t="shared" ca="1" si="15"/>
        <v>20</v>
      </c>
      <c r="B67" s="24">
        <v>12</v>
      </c>
      <c r="C67" s="24">
        <v>42</v>
      </c>
      <c r="D67" s="24">
        <v>35</v>
      </c>
      <c r="E67">
        <v>322802</v>
      </c>
      <c r="F67" s="2" t="s">
        <v>2</v>
      </c>
      <c r="G67" s="2" t="str">
        <f t="shared" si="16"/>
        <v>https://www.oreht.ru/modules.php?name=orehtPriceLS&amp;op=Search&amp;page=1&amp;stext=322802</v>
      </c>
      <c r="I67">
        <v>322802</v>
      </c>
      <c r="J67" t="s">
        <v>2</v>
      </c>
      <c r="K67" t="s">
        <v>167</v>
      </c>
      <c r="L67" t="s">
        <v>168</v>
      </c>
      <c r="M67" t="s">
        <v>169</v>
      </c>
      <c r="O67" s="26" t="str">
        <f>Таблица1_2[[#This Row],[Цена]]</f>
        <v xml:space="preserve">41,9 </v>
      </c>
      <c r="P67" s="17">
        <v>0.36</v>
      </c>
      <c r="Q67" s="26">
        <f t="shared" si="17"/>
        <v>15.084</v>
      </c>
      <c r="R67" s="8">
        <f t="shared" si="18"/>
        <v>0.12</v>
      </c>
      <c r="S67" s="18">
        <f t="shared" ca="1" si="19"/>
        <v>22.578299120234604</v>
      </c>
      <c r="T67" s="18">
        <f t="shared" ca="1" si="20"/>
        <v>97</v>
      </c>
      <c r="U67" s="18">
        <f t="shared" ca="1" si="21"/>
        <v>97</v>
      </c>
      <c r="V67" s="18">
        <f t="shared" ca="1" si="22"/>
        <v>13.17067448680352</v>
      </c>
      <c r="W67" s="29">
        <f t="shared" ca="1" si="23"/>
        <v>188.1524926686217</v>
      </c>
      <c r="X67" s="19">
        <f t="shared" ca="1" si="24"/>
        <v>80.636782572266455</v>
      </c>
      <c r="Y67" s="19">
        <f t="shared" ca="1" si="25"/>
        <v>0</v>
      </c>
      <c r="Z67" s="31">
        <f t="shared" ca="1" si="26"/>
        <v>268.78927524088817</v>
      </c>
      <c r="AA67" s="31">
        <f t="shared" ca="1" si="27"/>
        <v>290</v>
      </c>
      <c r="AB67" s="20">
        <f t="shared" ca="1" si="28"/>
        <v>4.4905129515184177</v>
      </c>
      <c r="AC67" s="20">
        <f t="shared" ca="1" si="29"/>
        <v>8.0169014962593516E-2</v>
      </c>
      <c r="AD67" s="6">
        <f t="shared" ca="1" si="30"/>
        <v>13.503519061583596</v>
      </c>
      <c r="AE67" s="21">
        <f t="shared" ca="1" si="31"/>
        <v>0.32227969120724576</v>
      </c>
    </row>
    <row r="68" spans="1:31" hidden="1" x14ac:dyDescent="0.25">
      <c r="A68" s="24">
        <f t="shared" ca="1" si="15"/>
        <v>20</v>
      </c>
      <c r="B68" s="24">
        <v>12</v>
      </c>
      <c r="C68" s="24">
        <v>43</v>
      </c>
      <c r="D68" s="24">
        <v>35</v>
      </c>
      <c r="E68">
        <v>118022</v>
      </c>
      <c r="F68" s="2" t="s">
        <v>2</v>
      </c>
      <c r="G68" s="2" t="str">
        <f>HYPERLINK(F68&amp;E68)</f>
        <v>https://www.oreht.ru/modules.php?name=orehtPriceLS&amp;op=Search&amp;page=1&amp;stext=118022</v>
      </c>
      <c r="I68">
        <v>118022</v>
      </c>
      <c r="J68" t="s">
        <v>2</v>
      </c>
      <c r="K68" t="s">
        <v>170</v>
      </c>
      <c r="L68" t="s">
        <v>171</v>
      </c>
      <c r="M68" t="s">
        <v>169</v>
      </c>
      <c r="O68" s="26" t="str">
        <f>Таблица1_2[[#This Row],[Цена]]</f>
        <v xml:space="preserve">41,9 </v>
      </c>
      <c r="P68" s="17">
        <v>0.36</v>
      </c>
      <c r="Q68" s="26">
        <f t="shared" si="17"/>
        <v>15.084</v>
      </c>
      <c r="R68" s="8">
        <f t="shared" si="18"/>
        <v>0.12</v>
      </c>
      <c r="S68" s="18">
        <f t="shared" ca="1" si="19"/>
        <v>22.724926686217007</v>
      </c>
      <c r="T68" s="18">
        <f t="shared" ca="1" si="20"/>
        <v>98</v>
      </c>
      <c r="U68" s="18">
        <f t="shared" ca="1" si="21"/>
        <v>98</v>
      </c>
      <c r="V68" s="18">
        <f t="shared" ca="1" si="22"/>
        <v>13.25620723362659</v>
      </c>
      <c r="W68" s="29">
        <f t="shared" ca="1" si="23"/>
        <v>189.37438905180841</v>
      </c>
      <c r="X68" s="19">
        <f t="shared" ca="1" si="24"/>
        <v>81.160452450775026</v>
      </c>
      <c r="Y68" s="19">
        <f t="shared" ca="1" si="25"/>
        <v>0</v>
      </c>
      <c r="Z68" s="31">
        <f t="shared" ca="1" si="26"/>
        <v>270.53484150258345</v>
      </c>
      <c r="AA68" s="31">
        <f t="shared" ca="1" si="27"/>
        <v>290</v>
      </c>
      <c r="AB68" s="20">
        <f t="shared" ca="1" si="28"/>
        <v>4.5196751563677422</v>
      </c>
      <c r="AC68" s="20">
        <f t="shared" ca="1" si="29"/>
        <v>7.965174211531513E-2</v>
      </c>
      <c r="AD68" s="6">
        <f t="shared" ca="1" si="30"/>
        <v>13.493255131964823</v>
      </c>
      <c r="AE68" s="21">
        <f t="shared" ca="1" si="31"/>
        <v>0.32203472868651128</v>
      </c>
    </row>
    <row r="69" spans="1:31" hidden="1" x14ac:dyDescent="0.25">
      <c r="A69" s="24">
        <f t="shared" ref="A69:A132" ca="1" si="32">IF(W69*0.05&gt;=250,250,IF(W69*0.05&gt;=20,IF(W69*0.05&lt;20,20,W69*0.05),20))</f>
        <v>20</v>
      </c>
      <c r="B69" s="24">
        <v>15</v>
      </c>
      <c r="C69" s="24">
        <v>40</v>
      </c>
      <c r="D69" s="24">
        <v>35</v>
      </c>
      <c r="E69">
        <v>415060</v>
      </c>
      <c r="F69" s="2" t="s">
        <v>2</v>
      </c>
      <c r="G69" s="2" t="str">
        <f t="shared" ref="G69:G129" si="33">HYPERLINK(F69&amp;E69)</f>
        <v>https://www.oreht.ru/modules.php?name=orehtPriceLS&amp;op=Search&amp;page=1&amp;stext=415060</v>
      </c>
      <c r="I69">
        <v>415060</v>
      </c>
      <c r="J69" t="s">
        <v>2</v>
      </c>
      <c r="K69" t="s">
        <v>172</v>
      </c>
      <c r="L69" t="s">
        <v>173</v>
      </c>
      <c r="M69" t="s">
        <v>174</v>
      </c>
      <c r="O69" s="26" t="str">
        <f>Таблица1_2[[#This Row],[Цена]]</f>
        <v xml:space="preserve">42,4 </v>
      </c>
      <c r="P69" s="17">
        <v>0.36</v>
      </c>
      <c r="Q69" s="26">
        <f t="shared" ref="Q69:Q129" si="34">O69*P69</f>
        <v>15.263999999999999</v>
      </c>
      <c r="R69" s="8">
        <f t="shared" ref="R69:R129" si="35">B69/100</f>
        <v>0.15</v>
      </c>
      <c r="S69" s="18">
        <f t="shared" ref="S69:S129" ca="1" si="36">W69*R69</f>
        <v>28.968500948766604</v>
      </c>
      <c r="T69" s="18">
        <f t="shared" ref="T69:T129" ca="1" si="37">C69+D69+A69</f>
        <v>95</v>
      </c>
      <c r="U69" s="18">
        <f t="shared" ref="U69:U129" ca="1" si="38">(T69+33)/$T$1-33</f>
        <v>95</v>
      </c>
      <c r="V69" s="18">
        <f t="shared" ref="V69:V129" ca="1" si="39">W69*$V$2</f>
        <v>13.518633776091082</v>
      </c>
      <c r="W69" s="29">
        <f t="shared" ref="W69:W129" ca="1" si="40">(O69+Q69+U69)/(1-R69)/(1-$V$2)</f>
        <v>193.12333965844402</v>
      </c>
      <c r="X69" s="19">
        <f t="shared" ref="X69:X129" ca="1" si="41">Z69*$X$2</f>
        <v>82.767145567904592</v>
      </c>
      <c r="Y69" s="19">
        <f t="shared" ref="Y69:Y129" ca="1" si="42">(Z69-X69)*$Y$2</f>
        <v>0</v>
      </c>
      <c r="Z69" s="31">
        <f t="shared" ref="Z69:Z129" ca="1" si="43">W69/(1-$X$2)/(1-$Y$2)</f>
        <v>275.89048522634863</v>
      </c>
      <c r="AA69" s="31">
        <f t="shared" ref="AA69:AA129" ca="1" si="44">ROUNDUP(Z69,-2)-10</f>
        <v>290</v>
      </c>
      <c r="AB69" s="20">
        <f t="shared" ref="AB69:AB129" ca="1" si="45">W69/O69</f>
        <v>4.5547957466614157</v>
      </c>
      <c r="AC69" s="20">
        <f t="shared" ref="AC69:AC129" ca="1" si="46">Q69/W69</f>
        <v>7.9037572708693604E-2</v>
      </c>
      <c r="AD69" s="6">
        <f t="shared" ref="AD69:AD129" ca="1" si="47">W69-V69-U69-S69-O69</f>
        <v>13.236204933586329</v>
      </c>
      <c r="AE69" s="21">
        <f t="shared" ref="AE69:AE129" ca="1" si="48">AD69/O69</f>
        <v>0.31217464466005496</v>
      </c>
    </row>
    <row r="70" spans="1:31" hidden="1" x14ac:dyDescent="0.25">
      <c r="A70" s="24">
        <f t="shared" ca="1" si="32"/>
        <v>20</v>
      </c>
      <c r="B70" s="24">
        <v>12</v>
      </c>
      <c r="C70" s="24">
        <v>67</v>
      </c>
      <c r="D70" s="24">
        <v>35</v>
      </c>
      <c r="E70">
        <v>182563</v>
      </c>
      <c r="F70" s="2" t="s">
        <v>2</v>
      </c>
      <c r="G70" s="2" t="str">
        <f t="shared" si="33"/>
        <v>https://www.oreht.ru/modules.php?name=orehtPriceLS&amp;op=Search&amp;page=1&amp;stext=182563</v>
      </c>
      <c r="I70">
        <v>182563</v>
      </c>
      <c r="J70" t="s">
        <v>2</v>
      </c>
      <c r="K70" t="s">
        <v>175</v>
      </c>
      <c r="L70" t="s">
        <v>176</v>
      </c>
      <c r="M70" t="s">
        <v>144</v>
      </c>
      <c r="O70" s="26" t="str">
        <f>Таблица1_2[[#This Row],[Цена]]</f>
        <v xml:space="preserve">42,7 </v>
      </c>
      <c r="P70" s="17">
        <v>0.36</v>
      </c>
      <c r="Q70" s="26">
        <f t="shared" si="34"/>
        <v>15.372</v>
      </c>
      <c r="R70" s="8">
        <f t="shared" si="35"/>
        <v>0.12</v>
      </c>
      <c r="S70" s="18">
        <f t="shared" ca="1" si="36"/>
        <v>26.403519061583577</v>
      </c>
      <c r="T70" s="18">
        <f t="shared" ca="1" si="37"/>
        <v>122</v>
      </c>
      <c r="U70" s="18">
        <f t="shared" ca="1" si="38"/>
        <v>122</v>
      </c>
      <c r="V70" s="18">
        <f t="shared" ca="1" si="39"/>
        <v>15.402052785923756</v>
      </c>
      <c r="W70" s="29">
        <f t="shared" ca="1" si="40"/>
        <v>220.02932551319648</v>
      </c>
      <c r="X70" s="19">
        <f t="shared" ca="1" si="41"/>
        <v>94.298282362798503</v>
      </c>
      <c r="Y70" s="19">
        <f t="shared" ca="1" si="42"/>
        <v>0</v>
      </c>
      <c r="Z70" s="31">
        <f t="shared" ca="1" si="43"/>
        <v>314.327607875995</v>
      </c>
      <c r="AA70" s="31">
        <f t="shared" ca="1" si="44"/>
        <v>390</v>
      </c>
      <c r="AB70" s="20">
        <f t="shared" ca="1" si="45"/>
        <v>5.1529116045245074</v>
      </c>
      <c r="AC70" s="20">
        <f t="shared" ca="1" si="46"/>
        <v>6.9863414634146345E-2</v>
      </c>
      <c r="AD70" s="6">
        <f t="shared" ca="1" si="47"/>
        <v>13.523753665689142</v>
      </c>
      <c r="AE70" s="21">
        <f t="shared" ca="1" si="48"/>
        <v>0.31671554252199396</v>
      </c>
    </row>
    <row r="71" spans="1:31" hidden="1" x14ac:dyDescent="0.25">
      <c r="A71" s="24" t="e">
        <f t="shared" ca="1" si="32"/>
        <v>#VALUE!</v>
      </c>
      <c r="B71" s="24">
        <v>10</v>
      </c>
      <c r="C71" s="24">
        <v>79</v>
      </c>
      <c r="D71" s="24">
        <v>35</v>
      </c>
      <c r="E71">
        <v>293118</v>
      </c>
      <c r="F71" s="2" t="s">
        <v>2</v>
      </c>
      <c r="G71" s="2" t="str">
        <f t="shared" si="33"/>
        <v>https://www.oreht.ru/modules.php?name=orehtPriceLS&amp;op=Search&amp;page=1&amp;stext=293118</v>
      </c>
      <c r="I71">
        <v>293118</v>
      </c>
      <c r="J71" t="s">
        <v>2</v>
      </c>
      <c r="K71" t="s">
        <v>177</v>
      </c>
      <c r="L71" t="s">
        <v>178</v>
      </c>
      <c r="M71">
        <v>43</v>
      </c>
      <c r="O71" s="26">
        <f>Таблица1_2[[#This Row],[Цена]]</f>
        <v>43</v>
      </c>
      <c r="P71" s="17">
        <v>0.36</v>
      </c>
      <c r="Q71" s="26">
        <f t="shared" si="34"/>
        <v>15.479999999999999</v>
      </c>
      <c r="R71" s="8">
        <f t="shared" si="35"/>
        <v>0.1</v>
      </c>
      <c r="S71" s="18" t="e">
        <f t="shared" ca="1" si="36"/>
        <v>#VALUE!</v>
      </c>
      <c r="T71" s="18" t="e">
        <f t="shared" ca="1" si="37"/>
        <v>#VALUE!</v>
      </c>
      <c r="U71" s="18" t="e">
        <f t="shared" ca="1" si="38"/>
        <v>#VALUE!</v>
      </c>
      <c r="V71" s="18" t="e">
        <f t="shared" ca="1" si="39"/>
        <v>#VALUE!</v>
      </c>
      <c r="W71" s="29" t="e">
        <f t="shared" ca="1" si="40"/>
        <v>#VALUE!</v>
      </c>
      <c r="X71" s="19" t="e">
        <f t="shared" ca="1" si="41"/>
        <v>#VALUE!</v>
      </c>
      <c r="Y71" s="19" t="e">
        <f t="shared" ca="1" si="42"/>
        <v>#VALUE!</v>
      </c>
      <c r="Z71" s="31" t="e">
        <f t="shared" ca="1" si="43"/>
        <v>#VALUE!</v>
      </c>
      <c r="AA71" s="31" t="e">
        <f t="shared" ca="1" si="44"/>
        <v>#VALUE!</v>
      </c>
      <c r="AB71" s="20" t="e">
        <f t="shared" ca="1" si="45"/>
        <v>#VALUE!</v>
      </c>
      <c r="AC71" s="20" t="e">
        <f t="shared" ca="1" si="46"/>
        <v>#VALUE!</v>
      </c>
      <c r="AD71" s="6" t="e">
        <f t="shared" ca="1" si="47"/>
        <v>#VALUE!</v>
      </c>
      <c r="AE71" s="21" t="e">
        <f t="shared" ca="1" si="48"/>
        <v>#VALUE!</v>
      </c>
    </row>
    <row r="72" spans="1:31" hidden="1" x14ac:dyDescent="0.25">
      <c r="A72" s="24">
        <f t="shared" ca="1" si="32"/>
        <v>20</v>
      </c>
      <c r="B72" s="24">
        <v>12</v>
      </c>
      <c r="C72" s="24">
        <v>41</v>
      </c>
      <c r="D72" s="24">
        <v>35</v>
      </c>
      <c r="E72">
        <v>215368</v>
      </c>
      <c r="F72" s="2" t="s">
        <v>2</v>
      </c>
      <c r="G72" s="2" t="str">
        <f t="shared" si="33"/>
        <v>https://www.oreht.ru/modules.php?name=orehtPriceLS&amp;op=Search&amp;page=1&amp;stext=215368</v>
      </c>
      <c r="I72">
        <v>215368</v>
      </c>
      <c r="J72" t="s">
        <v>2</v>
      </c>
      <c r="K72" t="s">
        <v>179</v>
      </c>
      <c r="L72" t="s">
        <v>180</v>
      </c>
      <c r="M72" t="s">
        <v>181</v>
      </c>
      <c r="O72" s="26" t="str">
        <f>Таблица1_2[[#This Row],[Цена]]</f>
        <v xml:space="preserve">43,3 </v>
      </c>
      <c r="P72" s="17">
        <v>0.36</v>
      </c>
      <c r="Q72" s="26">
        <f t="shared" si="34"/>
        <v>15.587999999999999</v>
      </c>
      <c r="R72" s="8">
        <f t="shared" si="35"/>
        <v>0.12</v>
      </c>
      <c r="S72" s="18">
        <f t="shared" ca="1" si="36"/>
        <v>22.710850439882698</v>
      </c>
      <c r="T72" s="18">
        <f t="shared" ca="1" si="37"/>
        <v>96</v>
      </c>
      <c r="U72" s="18">
        <f t="shared" ca="1" si="38"/>
        <v>96</v>
      </c>
      <c r="V72" s="18">
        <f t="shared" ca="1" si="39"/>
        <v>13.247996089931574</v>
      </c>
      <c r="W72" s="29">
        <f t="shared" ca="1" si="40"/>
        <v>189.25708699902248</v>
      </c>
      <c r="X72" s="19">
        <f t="shared" ca="1" si="41"/>
        <v>81.110180142438196</v>
      </c>
      <c r="Y72" s="19">
        <f t="shared" ca="1" si="42"/>
        <v>0</v>
      </c>
      <c r="Z72" s="31">
        <f t="shared" ca="1" si="43"/>
        <v>270.36726714146067</v>
      </c>
      <c r="AA72" s="31">
        <f t="shared" ca="1" si="44"/>
        <v>290</v>
      </c>
      <c r="AB72" s="20">
        <f t="shared" ca="1" si="45"/>
        <v>4.3708334179912818</v>
      </c>
      <c r="AC72" s="20">
        <f t="shared" ca="1" si="46"/>
        <v>8.2364154744073131E-2</v>
      </c>
      <c r="AD72" s="6">
        <f t="shared" ca="1" si="47"/>
        <v>13.998240469208206</v>
      </c>
      <c r="AE72" s="21">
        <f t="shared" ca="1" si="48"/>
        <v>0.32328499928887311</v>
      </c>
    </row>
    <row r="73" spans="1:31" hidden="1" x14ac:dyDescent="0.25">
      <c r="A73" s="24">
        <f t="shared" ca="1" si="32"/>
        <v>20</v>
      </c>
      <c r="B73" s="24">
        <v>12</v>
      </c>
      <c r="C73" s="24">
        <v>40</v>
      </c>
      <c r="D73" s="24">
        <v>35</v>
      </c>
      <c r="E73">
        <v>331104</v>
      </c>
      <c r="F73" s="2" t="s">
        <v>2</v>
      </c>
      <c r="G73" s="2" t="str">
        <f t="shared" si="33"/>
        <v>https://www.oreht.ru/modules.php?name=orehtPriceLS&amp;op=Search&amp;page=1&amp;stext=331104</v>
      </c>
      <c r="I73">
        <v>331104</v>
      </c>
      <c r="J73" t="s">
        <v>2</v>
      </c>
      <c r="K73" t="s">
        <v>182</v>
      </c>
      <c r="L73" t="s">
        <v>183</v>
      </c>
      <c r="M73" t="s">
        <v>174</v>
      </c>
      <c r="O73" s="26" t="str">
        <f>Таблица1_2[[#This Row],[Цена]]</f>
        <v xml:space="preserve">42,4 </v>
      </c>
      <c r="P73" s="17">
        <v>0.36</v>
      </c>
      <c r="Q73" s="26">
        <f t="shared" si="34"/>
        <v>15.263999999999999</v>
      </c>
      <c r="R73" s="8">
        <f t="shared" si="35"/>
        <v>0.12</v>
      </c>
      <c r="S73" s="18">
        <f t="shared" ca="1" si="36"/>
        <v>22.384750733137828</v>
      </c>
      <c r="T73" s="18">
        <f t="shared" ca="1" si="37"/>
        <v>95</v>
      </c>
      <c r="U73" s="18">
        <f t="shared" ca="1" si="38"/>
        <v>95</v>
      </c>
      <c r="V73" s="18">
        <f t="shared" ca="1" si="39"/>
        <v>13.057771260997068</v>
      </c>
      <c r="W73" s="29">
        <f t="shared" ca="1" si="40"/>
        <v>186.53958944281524</v>
      </c>
      <c r="X73" s="19">
        <f t="shared" ca="1" si="41"/>
        <v>79.945538332635095</v>
      </c>
      <c r="Y73" s="19">
        <f t="shared" ca="1" si="42"/>
        <v>0</v>
      </c>
      <c r="Z73" s="31">
        <f t="shared" ca="1" si="43"/>
        <v>266.48512777545034</v>
      </c>
      <c r="AA73" s="31">
        <f t="shared" ca="1" si="44"/>
        <v>290</v>
      </c>
      <c r="AB73" s="20">
        <f t="shared" ca="1" si="45"/>
        <v>4.3995186189343221</v>
      </c>
      <c r="AC73" s="20">
        <f t="shared" ca="1" si="46"/>
        <v>8.1827134098412205E-2</v>
      </c>
      <c r="AD73" s="6">
        <f t="shared" ca="1" si="47"/>
        <v>13.697067448680343</v>
      </c>
      <c r="AE73" s="21">
        <f t="shared" ca="1" si="48"/>
        <v>0.32304404360095151</v>
      </c>
    </row>
    <row r="74" spans="1:31" hidden="1" x14ac:dyDescent="0.25">
      <c r="A74" s="24" t="e">
        <f t="shared" ca="1" si="32"/>
        <v>#VALUE!</v>
      </c>
      <c r="B74" s="24">
        <v>12</v>
      </c>
      <c r="C74" s="24">
        <v>41</v>
      </c>
      <c r="D74" s="24">
        <v>35</v>
      </c>
      <c r="E74">
        <v>182547</v>
      </c>
      <c r="F74" s="2" t="s">
        <v>2</v>
      </c>
      <c r="G74" s="2" t="str">
        <f t="shared" si="33"/>
        <v>https://www.oreht.ru/modules.php?name=orehtPriceLS&amp;op=Search&amp;page=1&amp;stext=182547</v>
      </c>
      <c r="I74">
        <v>182547</v>
      </c>
      <c r="J74" t="s">
        <v>2</v>
      </c>
      <c r="K74" t="s">
        <v>184</v>
      </c>
      <c r="L74" t="s">
        <v>185</v>
      </c>
      <c r="M74">
        <v>45</v>
      </c>
      <c r="O74" s="26">
        <f>Таблица1_2[[#This Row],[Цена]]</f>
        <v>45</v>
      </c>
      <c r="P74" s="17">
        <v>0.37</v>
      </c>
      <c r="Q74" s="26">
        <f t="shared" si="34"/>
        <v>16.649999999999999</v>
      </c>
      <c r="R74" s="8">
        <f t="shared" si="35"/>
        <v>0.12</v>
      </c>
      <c r="S74" s="18" t="e">
        <f t="shared" ca="1" si="36"/>
        <v>#VALUE!</v>
      </c>
      <c r="T74" s="18" t="e">
        <f t="shared" ca="1" si="37"/>
        <v>#VALUE!</v>
      </c>
      <c r="U74" s="18" t="e">
        <f t="shared" ca="1" si="38"/>
        <v>#VALUE!</v>
      </c>
      <c r="V74" s="18" t="e">
        <f t="shared" ca="1" si="39"/>
        <v>#VALUE!</v>
      </c>
      <c r="W74" s="29" t="e">
        <f t="shared" ca="1" si="40"/>
        <v>#VALUE!</v>
      </c>
      <c r="X74" s="19" t="e">
        <f t="shared" ca="1" si="41"/>
        <v>#VALUE!</v>
      </c>
      <c r="Y74" s="19" t="e">
        <f t="shared" ca="1" si="42"/>
        <v>#VALUE!</v>
      </c>
      <c r="Z74" s="31" t="e">
        <f t="shared" ca="1" si="43"/>
        <v>#VALUE!</v>
      </c>
      <c r="AA74" s="31" t="e">
        <f t="shared" ca="1" si="44"/>
        <v>#VALUE!</v>
      </c>
      <c r="AB74" s="20" t="e">
        <f t="shared" ca="1" si="45"/>
        <v>#VALUE!</v>
      </c>
      <c r="AC74" s="20" t="e">
        <f t="shared" ca="1" si="46"/>
        <v>#VALUE!</v>
      </c>
      <c r="AD74" s="6" t="e">
        <f t="shared" ca="1" si="47"/>
        <v>#VALUE!</v>
      </c>
      <c r="AE74" s="21" t="e">
        <f t="shared" ca="1" si="48"/>
        <v>#VALUE!</v>
      </c>
    </row>
    <row r="75" spans="1:31" hidden="1" x14ac:dyDescent="0.25">
      <c r="A75" s="24">
        <f t="shared" ca="1" si="32"/>
        <v>20</v>
      </c>
      <c r="B75" s="24">
        <v>10</v>
      </c>
      <c r="C75" s="24">
        <v>79</v>
      </c>
      <c r="D75" s="24">
        <v>35</v>
      </c>
      <c r="E75">
        <v>400125</v>
      </c>
      <c r="F75" s="2" t="s">
        <v>2</v>
      </c>
      <c r="G75" s="2" t="str">
        <f t="shared" si="33"/>
        <v>https://www.oreht.ru/modules.php?name=orehtPriceLS&amp;op=Search&amp;page=1&amp;stext=400125</v>
      </c>
      <c r="I75">
        <v>400125</v>
      </c>
      <c r="J75" t="s">
        <v>2</v>
      </c>
      <c r="K75" t="s">
        <v>186</v>
      </c>
      <c r="L75" t="s">
        <v>187</v>
      </c>
      <c r="M75" t="s">
        <v>160</v>
      </c>
      <c r="O75" s="26" t="str">
        <f>Таблица1_2[[#This Row],[Цена]]</f>
        <v xml:space="preserve">41,4 </v>
      </c>
      <c r="P75" s="17">
        <v>0.36</v>
      </c>
      <c r="Q75" s="26">
        <f t="shared" si="34"/>
        <v>14.903999999999998</v>
      </c>
      <c r="R75" s="8">
        <f t="shared" si="35"/>
        <v>0.1</v>
      </c>
      <c r="S75" s="18">
        <f t="shared" ca="1" si="36"/>
        <v>22.736439665471927</v>
      </c>
      <c r="T75" s="18">
        <f t="shared" ca="1" si="37"/>
        <v>134</v>
      </c>
      <c r="U75" s="18">
        <f t="shared" ca="1" si="38"/>
        <v>134</v>
      </c>
      <c r="V75" s="18">
        <f t="shared" ca="1" si="39"/>
        <v>15.91550776583035</v>
      </c>
      <c r="W75" s="29">
        <f t="shared" ca="1" si="40"/>
        <v>227.36439665471926</v>
      </c>
      <c r="X75" s="19">
        <f t="shared" ca="1" si="41"/>
        <v>97.441884280593968</v>
      </c>
      <c r="Y75" s="19">
        <f t="shared" ca="1" si="42"/>
        <v>0</v>
      </c>
      <c r="Z75" s="31">
        <f t="shared" ca="1" si="43"/>
        <v>324.80628093531323</v>
      </c>
      <c r="AA75" s="31">
        <f t="shared" ca="1" si="44"/>
        <v>390</v>
      </c>
      <c r="AB75" s="20">
        <f t="shared" ca="1" si="45"/>
        <v>5.491893639002881</v>
      </c>
      <c r="AC75" s="20">
        <f t="shared" ca="1" si="46"/>
        <v>6.5551160248864954E-2</v>
      </c>
      <c r="AD75" s="6">
        <f t="shared" ca="1" si="47"/>
        <v>13.312449223416991</v>
      </c>
      <c r="AE75" s="21">
        <f t="shared" ca="1" si="48"/>
        <v>0.32155674452698046</v>
      </c>
    </row>
    <row r="76" spans="1:31" hidden="1" x14ac:dyDescent="0.25">
      <c r="A76" s="24">
        <f t="shared" ca="1" si="32"/>
        <v>20</v>
      </c>
      <c r="B76" s="24">
        <v>12</v>
      </c>
      <c r="C76" s="24">
        <v>45</v>
      </c>
      <c r="D76" s="24">
        <v>35</v>
      </c>
      <c r="E76">
        <v>150346</v>
      </c>
      <c r="F76" s="2" t="s">
        <v>2</v>
      </c>
      <c r="G76" s="2" t="str">
        <f t="shared" si="33"/>
        <v>https://www.oreht.ru/modules.php?name=orehtPriceLS&amp;op=Search&amp;page=1&amp;stext=150346</v>
      </c>
      <c r="I76">
        <v>150346</v>
      </c>
      <c r="J76" t="s">
        <v>2</v>
      </c>
      <c r="K76" t="s">
        <v>188</v>
      </c>
      <c r="L76" t="s">
        <v>189</v>
      </c>
      <c r="M76" t="s">
        <v>190</v>
      </c>
      <c r="O76" s="26" t="str">
        <f>Таблица1_2[[#This Row],[Цена]]</f>
        <v xml:space="preserve">44,8 </v>
      </c>
      <c r="P76" s="17">
        <v>0.36</v>
      </c>
      <c r="Q76" s="26">
        <f t="shared" si="34"/>
        <v>16.128</v>
      </c>
      <c r="R76" s="8">
        <f t="shared" si="35"/>
        <v>0.12</v>
      </c>
      <c r="S76" s="18">
        <f t="shared" ca="1" si="36"/>
        <v>23.596480938416423</v>
      </c>
      <c r="T76" s="18">
        <f t="shared" ca="1" si="37"/>
        <v>100</v>
      </c>
      <c r="U76" s="18">
        <f t="shared" ca="1" si="38"/>
        <v>100</v>
      </c>
      <c r="V76" s="18">
        <f t="shared" ca="1" si="39"/>
        <v>13.764613880742916</v>
      </c>
      <c r="W76" s="29">
        <f t="shared" ca="1" si="40"/>
        <v>196.6373411534702</v>
      </c>
      <c r="X76" s="19">
        <f t="shared" ca="1" si="41"/>
        <v>84.273146208630081</v>
      </c>
      <c r="Y76" s="19">
        <f t="shared" ca="1" si="42"/>
        <v>0</v>
      </c>
      <c r="Z76" s="31">
        <f t="shared" ca="1" si="43"/>
        <v>280.9104873621003</v>
      </c>
      <c r="AA76" s="31">
        <f t="shared" ca="1" si="44"/>
        <v>290</v>
      </c>
      <c r="AB76" s="20">
        <f t="shared" ca="1" si="45"/>
        <v>4.3892263650328172</v>
      </c>
      <c r="AC76" s="20">
        <f t="shared" ca="1" si="46"/>
        <v>8.2019009743487761E-2</v>
      </c>
      <c r="AD76" s="6">
        <f t="shared" ca="1" si="47"/>
        <v>14.476246334310858</v>
      </c>
      <c r="AE76" s="21">
        <f t="shared" ca="1" si="48"/>
        <v>0.32313049853372455</v>
      </c>
    </row>
    <row r="77" spans="1:31" hidden="1" x14ac:dyDescent="0.25">
      <c r="A77" s="24">
        <f t="shared" ca="1" si="32"/>
        <v>20</v>
      </c>
      <c r="B77" s="24">
        <v>12</v>
      </c>
      <c r="C77" s="24">
        <v>41</v>
      </c>
      <c r="D77" s="24">
        <v>35</v>
      </c>
      <c r="E77">
        <v>400047</v>
      </c>
      <c r="F77" s="2" t="s">
        <v>2</v>
      </c>
      <c r="G77" s="2" t="str">
        <f t="shared" si="33"/>
        <v>https://www.oreht.ru/modules.php?name=orehtPriceLS&amp;op=Search&amp;page=1&amp;stext=400047</v>
      </c>
      <c r="I77">
        <v>400047</v>
      </c>
      <c r="J77" t="s">
        <v>2</v>
      </c>
      <c r="K77" t="s">
        <v>191</v>
      </c>
      <c r="L77" t="s">
        <v>192</v>
      </c>
      <c r="M77" t="s">
        <v>193</v>
      </c>
      <c r="O77" s="26" t="str">
        <f>Таблица1_2[[#This Row],[Цена]]</f>
        <v xml:space="preserve">45 </v>
      </c>
      <c r="P77" s="17">
        <v>0.36</v>
      </c>
      <c r="Q77" s="26">
        <f t="shared" si="34"/>
        <v>16.2</v>
      </c>
      <c r="R77" s="8">
        <f t="shared" si="35"/>
        <v>0.12</v>
      </c>
      <c r="S77" s="18">
        <f t="shared" ca="1" si="36"/>
        <v>23.049853372434018</v>
      </c>
      <c r="T77" s="18">
        <f t="shared" ca="1" si="37"/>
        <v>96</v>
      </c>
      <c r="U77" s="18">
        <f t="shared" ca="1" si="38"/>
        <v>96</v>
      </c>
      <c r="V77" s="18">
        <f t="shared" ca="1" si="39"/>
        <v>13.445747800586512</v>
      </c>
      <c r="W77" s="29">
        <f t="shared" ca="1" si="40"/>
        <v>192.08211143695016</v>
      </c>
      <c r="X77" s="19">
        <f t="shared" ca="1" si="41"/>
        <v>82.32090490155008</v>
      </c>
      <c r="Y77" s="19">
        <f t="shared" ca="1" si="42"/>
        <v>0</v>
      </c>
      <c r="Z77" s="31">
        <f t="shared" ca="1" si="43"/>
        <v>274.40301633850027</v>
      </c>
      <c r="AA77" s="31">
        <f t="shared" ca="1" si="44"/>
        <v>290</v>
      </c>
      <c r="AB77" s="20">
        <f t="shared" ca="1" si="45"/>
        <v>4.2684913652655592</v>
      </c>
      <c r="AC77" s="20">
        <f t="shared" ca="1" si="46"/>
        <v>8.4338931297709918E-2</v>
      </c>
      <c r="AD77" s="6">
        <f t="shared" ca="1" si="47"/>
        <v>14.58651026392964</v>
      </c>
      <c r="AE77" s="21">
        <f t="shared" ca="1" si="48"/>
        <v>0.32414467253176976</v>
      </c>
    </row>
    <row r="78" spans="1:31" hidden="1" x14ac:dyDescent="0.25">
      <c r="A78" s="24" t="e">
        <f t="shared" ca="1" si="32"/>
        <v>#VALUE!</v>
      </c>
      <c r="B78" s="24">
        <v>12</v>
      </c>
      <c r="C78" s="24">
        <v>40</v>
      </c>
      <c r="D78" s="24">
        <v>35</v>
      </c>
      <c r="E78">
        <v>436888</v>
      </c>
      <c r="F78" s="2" t="s">
        <v>2</v>
      </c>
      <c r="G78" s="2" t="str">
        <f t="shared" si="33"/>
        <v>https://www.oreht.ru/modules.php?name=orehtPriceLS&amp;op=Search&amp;page=1&amp;stext=436888</v>
      </c>
      <c r="I78">
        <v>436888</v>
      </c>
      <c r="J78" t="s">
        <v>2</v>
      </c>
      <c r="K78" t="s">
        <v>194</v>
      </c>
      <c r="L78" t="s">
        <v>195</v>
      </c>
      <c r="M78">
        <v>46</v>
      </c>
      <c r="O78" s="26">
        <f>Таблица1_2[[#This Row],[Цена]]</f>
        <v>46</v>
      </c>
      <c r="P78" s="17">
        <v>0.36</v>
      </c>
      <c r="Q78" s="26">
        <f t="shared" si="34"/>
        <v>16.559999999999999</v>
      </c>
      <c r="R78" s="8">
        <f t="shared" si="35"/>
        <v>0.12</v>
      </c>
      <c r="S78" s="18" t="e">
        <f t="shared" ca="1" si="36"/>
        <v>#VALUE!</v>
      </c>
      <c r="T78" s="18" t="e">
        <f t="shared" ca="1" si="37"/>
        <v>#VALUE!</v>
      </c>
      <c r="U78" s="18" t="e">
        <f t="shared" ca="1" si="38"/>
        <v>#VALUE!</v>
      </c>
      <c r="V78" s="18" t="e">
        <f t="shared" ca="1" si="39"/>
        <v>#VALUE!</v>
      </c>
      <c r="W78" s="29" t="e">
        <f t="shared" ca="1" si="40"/>
        <v>#VALUE!</v>
      </c>
      <c r="X78" s="19" t="e">
        <f t="shared" ca="1" si="41"/>
        <v>#VALUE!</v>
      </c>
      <c r="Y78" s="19" t="e">
        <f t="shared" ca="1" si="42"/>
        <v>#VALUE!</v>
      </c>
      <c r="Z78" s="31" t="e">
        <f t="shared" ca="1" si="43"/>
        <v>#VALUE!</v>
      </c>
      <c r="AA78" s="31" t="e">
        <f t="shared" ca="1" si="44"/>
        <v>#VALUE!</v>
      </c>
      <c r="AB78" s="20" t="e">
        <f t="shared" ca="1" si="45"/>
        <v>#VALUE!</v>
      </c>
      <c r="AC78" s="20" t="e">
        <f t="shared" ca="1" si="46"/>
        <v>#VALUE!</v>
      </c>
      <c r="AD78" s="6" t="e">
        <f t="shared" ca="1" si="47"/>
        <v>#VALUE!</v>
      </c>
      <c r="AE78" s="21" t="e">
        <f t="shared" ca="1" si="48"/>
        <v>#VALUE!</v>
      </c>
    </row>
    <row r="79" spans="1:31" hidden="1" x14ac:dyDescent="0.25">
      <c r="A79" s="24">
        <f t="shared" ca="1" si="32"/>
        <v>20</v>
      </c>
      <c r="B79" s="24">
        <v>12</v>
      </c>
      <c r="C79" s="24">
        <v>42</v>
      </c>
      <c r="D79" s="24">
        <v>35</v>
      </c>
      <c r="E79">
        <v>117971</v>
      </c>
      <c r="F79" s="2" t="s">
        <v>2</v>
      </c>
      <c r="G79" s="2" t="str">
        <f t="shared" si="33"/>
        <v>https://www.oreht.ru/modules.php?name=orehtPriceLS&amp;op=Search&amp;page=1&amp;stext=117971</v>
      </c>
      <c r="I79">
        <v>117971</v>
      </c>
      <c r="J79" t="s">
        <v>2</v>
      </c>
      <c r="K79" t="s">
        <v>196</v>
      </c>
      <c r="L79" t="s">
        <v>197</v>
      </c>
      <c r="M79" t="s">
        <v>198</v>
      </c>
      <c r="O79" s="26" t="str">
        <f>Таблица1_2[[#This Row],[Цена]]</f>
        <v xml:space="preserve">45,1 </v>
      </c>
      <c r="P79" s="17">
        <v>0.36</v>
      </c>
      <c r="Q79" s="26">
        <f t="shared" si="34"/>
        <v>16.236000000000001</v>
      </c>
      <c r="R79" s="8">
        <f t="shared" si="35"/>
        <v>0.12</v>
      </c>
      <c r="S79" s="18">
        <f t="shared" ca="1" si="36"/>
        <v>23.216422287390031</v>
      </c>
      <c r="T79" s="18">
        <f t="shared" ca="1" si="37"/>
        <v>97</v>
      </c>
      <c r="U79" s="18">
        <f t="shared" ca="1" si="38"/>
        <v>97</v>
      </c>
      <c r="V79" s="18">
        <f t="shared" ca="1" si="39"/>
        <v>13.542913000977521</v>
      </c>
      <c r="W79" s="29">
        <f t="shared" ca="1" si="40"/>
        <v>193.47018572825027</v>
      </c>
      <c r="X79" s="19">
        <f t="shared" ca="1" si="41"/>
        <v>82.915793883535841</v>
      </c>
      <c r="Y79" s="19">
        <f t="shared" ca="1" si="42"/>
        <v>0</v>
      </c>
      <c r="Z79" s="31">
        <f t="shared" ca="1" si="43"/>
        <v>276.38597961178613</v>
      </c>
      <c r="AA79" s="31">
        <f t="shared" ca="1" si="44"/>
        <v>290</v>
      </c>
      <c r="AB79" s="20">
        <f t="shared" ca="1" si="45"/>
        <v>4.2898045616020015</v>
      </c>
      <c r="AC79" s="20">
        <f t="shared" ca="1" si="46"/>
        <v>8.3919907033144697E-2</v>
      </c>
      <c r="AD79" s="6">
        <f t="shared" ca="1" si="47"/>
        <v>14.610850439882704</v>
      </c>
      <c r="AE79" s="21">
        <f t="shared" ca="1" si="48"/>
        <v>0.32396564168254333</v>
      </c>
    </row>
    <row r="80" spans="1:31" hidden="1" x14ac:dyDescent="0.25">
      <c r="A80" s="24">
        <f t="shared" ca="1" si="32"/>
        <v>20</v>
      </c>
      <c r="B80" s="24">
        <v>12</v>
      </c>
      <c r="C80" s="24">
        <v>41</v>
      </c>
      <c r="D80" s="24">
        <v>35</v>
      </c>
      <c r="E80">
        <v>117115</v>
      </c>
      <c r="F80" s="2" t="s">
        <v>2</v>
      </c>
      <c r="G80" s="2" t="str">
        <f t="shared" si="33"/>
        <v>https://www.oreht.ru/modules.php?name=orehtPriceLS&amp;op=Search&amp;page=1&amp;stext=117115</v>
      </c>
      <c r="I80">
        <v>117115</v>
      </c>
      <c r="J80" t="s">
        <v>2</v>
      </c>
      <c r="K80" t="s">
        <v>199</v>
      </c>
      <c r="L80" t="s">
        <v>200</v>
      </c>
      <c r="M80" t="s">
        <v>201</v>
      </c>
      <c r="O80" s="26" t="str">
        <f>Таблица1_2[[#This Row],[Цена]]</f>
        <v xml:space="preserve">44,5 </v>
      </c>
      <c r="P80" s="17">
        <v>0.36</v>
      </c>
      <c r="Q80" s="26">
        <f t="shared" si="34"/>
        <v>16.02</v>
      </c>
      <c r="R80" s="8">
        <f t="shared" si="35"/>
        <v>0.12</v>
      </c>
      <c r="S80" s="18">
        <f t="shared" ca="1" si="36"/>
        <v>22.950146627565982</v>
      </c>
      <c r="T80" s="18">
        <f t="shared" ca="1" si="37"/>
        <v>96</v>
      </c>
      <c r="U80" s="18">
        <f t="shared" ca="1" si="38"/>
        <v>96</v>
      </c>
      <c r="V80" s="18">
        <f t="shared" ca="1" si="39"/>
        <v>13.387585532746824</v>
      </c>
      <c r="W80" s="29">
        <f t="shared" ca="1" si="40"/>
        <v>191.25122189638319</v>
      </c>
      <c r="X80" s="19">
        <f t="shared" ca="1" si="41"/>
        <v>81.964809384164226</v>
      </c>
      <c r="Y80" s="19">
        <f t="shared" ca="1" si="42"/>
        <v>0</v>
      </c>
      <c r="Z80" s="31">
        <f t="shared" ca="1" si="43"/>
        <v>273.21603128054744</v>
      </c>
      <c r="AA80" s="31">
        <f t="shared" ca="1" si="44"/>
        <v>290</v>
      </c>
      <c r="AB80" s="20">
        <f t="shared" ca="1" si="45"/>
        <v>4.2977802673344536</v>
      </c>
      <c r="AC80" s="20">
        <f t="shared" ca="1" si="46"/>
        <v>8.3764170713007916E-2</v>
      </c>
      <c r="AD80" s="6">
        <f t="shared" ca="1" si="47"/>
        <v>14.413489736070389</v>
      </c>
      <c r="AE80" s="21">
        <f t="shared" ca="1" si="48"/>
        <v>0.32389864575439076</v>
      </c>
    </row>
    <row r="81" spans="1:31" hidden="1" x14ac:dyDescent="0.25">
      <c r="A81" s="24" t="e">
        <f t="shared" ca="1" si="32"/>
        <v>#VALUE!</v>
      </c>
      <c r="B81" s="24">
        <v>12</v>
      </c>
      <c r="C81" s="24">
        <v>43</v>
      </c>
      <c r="D81" s="24">
        <v>35</v>
      </c>
      <c r="E81">
        <v>384055</v>
      </c>
      <c r="F81" s="2" t="s">
        <v>2</v>
      </c>
      <c r="G81" s="2" t="str">
        <f t="shared" si="33"/>
        <v>https://www.oreht.ru/modules.php?name=orehtPriceLS&amp;op=Search&amp;page=1&amp;stext=384055</v>
      </c>
      <c r="I81">
        <v>384055</v>
      </c>
      <c r="J81" t="s">
        <v>2</v>
      </c>
      <c r="K81" t="s">
        <v>202</v>
      </c>
      <c r="L81" t="s">
        <v>203</v>
      </c>
      <c r="M81">
        <v>47</v>
      </c>
      <c r="O81" s="26">
        <f>Таблица1_2[[#This Row],[Цена]]</f>
        <v>47</v>
      </c>
      <c r="P81" s="17">
        <v>0.36</v>
      </c>
      <c r="Q81" s="26">
        <f t="shared" si="34"/>
        <v>16.919999999999998</v>
      </c>
      <c r="R81" s="8">
        <f t="shared" si="35"/>
        <v>0.12</v>
      </c>
      <c r="S81" s="18" t="e">
        <f t="shared" ca="1" si="36"/>
        <v>#VALUE!</v>
      </c>
      <c r="T81" s="18" t="e">
        <f t="shared" ca="1" si="37"/>
        <v>#VALUE!</v>
      </c>
      <c r="U81" s="18" t="e">
        <f t="shared" ca="1" si="38"/>
        <v>#VALUE!</v>
      </c>
      <c r="V81" s="18" t="e">
        <f t="shared" ca="1" si="39"/>
        <v>#VALUE!</v>
      </c>
      <c r="W81" s="29" t="e">
        <f t="shared" ca="1" si="40"/>
        <v>#VALUE!</v>
      </c>
      <c r="X81" s="19" t="e">
        <f t="shared" ca="1" si="41"/>
        <v>#VALUE!</v>
      </c>
      <c r="Y81" s="19" t="e">
        <f t="shared" ca="1" si="42"/>
        <v>#VALUE!</v>
      </c>
      <c r="Z81" s="31" t="e">
        <f t="shared" ca="1" si="43"/>
        <v>#VALUE!</v>
      </c>
      <c r="AA81" s="31" t="e">
        <f t="shared" ca="1" si="44"/>
        <v>#VALUE!</v>
      </c>
      <c r="AB81" s="20" t="e">
        <f t="shared" ca="1" si="45"/>
        <v>#VALUE!</v>
      </c>
      <c r="AC81" s="20" t="e">
        <f t="shared" ca="1" si="46"/>
        <v>#VALUE!</v>
      </c>
      <c r="AD81" s="6" t="e">
        <f t="shared" ca="1" si="47"/>
        <v>#VALUE!</v>
      </c>
      <c r="AE81" s="21" t="e">
        <f t="shared" ca="1" si="48"/>
        <v>#VALUE!</v>
      </c>
    </row>
    <row r="82" spans="1:31" hidden="1" x14ac:dyDescent="0.25">
      <c r="A82" s="24" t="e">
        <f t="shared" ca="1" si="32"/>
        <v>#VALUE!</v>
      </c>
      <c r="B82" s="24">
        <v>12</v>
      </c>
      <c r="C82" s="24">
        <v>45</v>
      </c>
      <c r="D82" s="24">
        <v>35</v>
      </c>
      <c r="E82">
        <v>250921</v>
      </c>
      <c r="F82" s="2" t="s">
        <v>2</v>
      </c>
      <c r="G82" s="2" t="str">
        <f>HYPERLINK(F82&amp;E82)</f>
        <v>https://www.oreht.ru/modules.php?name=orehtPriceLS&amp;op=Search&amp;page=1&amp;stext=250921</v>
      </c>
      <c r="I82">
        <v>250921</v>
      </c>
      <c r="J82" t="s">
        <v>2</v>
      </c>
      <c r="K82" t="s">
        <v>204</v>
      </c>
      <c r="L82" t="s">
        <v>205</v>
      </c>
      <c r="M82">
        <v>50</v>
      </c>
      <c r="O82" s="26">
        <f>Таблица1_2[[#This Row],[Цена]]</f>
        <v>50</v>
      </c>
      <c r="P82" s="17">
        <v>0.37</v>
      </c>
      <c r="Q82" s="26">
        <f t="shared" si="34"/>
        <v>18.5</v>
      </c>
      <c r="R82" s="8">
        <f t="shared" si="35"/>
        <v>0.12</v>
      </c>
      <c r="S82" s="18" t="e">
        <f t="shared" ca="1" si="36"/>
        <v>#VALUE!</v>
      </c>
      <c r="T82" s="18" t="e">
        <f t="shared" ca="1" si="37"/>
        <v>#VALUE!</v>
      </c>
      <c r="U82" s="18" t="e">
        <f t="shared" ca="1" si="38"/>
        <v>#VALUE!</v>
      </c>
      <c r="V82" s="18" t="e">
        <f t="shared" ca="1" si="39"/>
        <v>#VALUE!</v>
      </c>
      <c r="W82" s="29" t="e">
        <f t="shared" ca="1" si="40"/>
        <v>#VALUE!</v>
      </c>
      <c r="X82" s="19" t="e">
        <f t="shared" ca="1" si="41"/>
        <v>#VALUE!</v>
      </c>
      <c r="Y82" s="19" t="e">
        <f t="shared" ca="1" si="42"/>
        <v>#VALUE!</v>
      </c>
      <c r="Z82" s="31" t="e">
        <f t="shared" ca="1" si="43"/>
        <v>#VALUE!</v>
      </c>
      <c r="AA82" s="31" t="e">
        <f t="shared" ca="1" si="44"/>
        <v>#VALUE!</v>
      </c>
      <c r="AB82" s="20" t="e">
        <f t="shared" ca="1" si="45"/>
        <v>#VALUE!</v>
      </c>
      <c r="AC82" s="20" t="e">
        <f t="shared" ca="1" si="46"/>
        <v>#VALUE!</v>
      </c>
      <c r="AD82" s="6" t="e">
        <f t="shared" ca="1" si="47"/>
        <v>#VALUE!</v>
      </c>
      <c r="AE82" s="21" t="e">
        <f t="shared" ca="1" si="48"/>
        <v>#VALUE!</v>
      </c>
    </row>
    <row r="83" spans="1:31" hidden="1" x14ac:dyDescent="0.25">
      <c r="A83" s="24" t="e">
        <f t="shared" ca="1" si="32"/>
        <v>#VALUE!</v>
      </c>
      <c r="B83" s="24">
        <v>12</v>
      </c>
      <c r="C83" s="24">
        <v>45</v>
      </c>
      <c r="D83" s="24">
        <v>35</v>
      </c>
      <c r="E83">
        <v>384018</v>
      </c>
      <c r="F83" s="2" t="s">
        <v>2</v>
      </c>
      <c r="G83" s="2" t="str">
        <f t="shared" si="33"/>
        <v>https://www.oreht.ru/modules.php?name=orehtPriceLS&amp;op=Search&amp;page=1&amp;stext=384018</v>
      </c>
      <c r="I83">
        <v>384018</v>
      </c>
      <c r="J83" t="s">
        <v>2</v>
      </c>
      <c r="K83" t="s">
        <v>206</v>
      </c>
      <c r="L83" t="s">
        <v>207</v>
      </c>
      <c r="M83">
        <v>47</v>
      </c>
      <c r="O83" s="26">
        <f>Таблица1_2[[#This Row],[Цена]]</f>
        <v>47</v>
      </c>
      <c r="P83" s="17">
        <v>0.36</v>
      </c>
      <c r="Q83" s="26">
        <f t="shared" si="34"/>
        <v>16.919999999999998</v>
      </c>
      <c r="R83" s="8">
        <f t="shared" si="35"/>
        <v>0.12</v>
      </c>
      <c r="S83" s="18" t="e">
        <f t="shared" ca="1" si="36"/>
        <v>#VALUE!</v>
      </c>
      <c r="T83" s="18" t="e">
        <f t="shared" ca="1" si="37"/>
        <v>#VALUE!</v>
      </c>
      <c r="U83" s="18" t="e">
        <f t="shared" ca="1" si="38"/>
        <v>#VALUE!</v>
      </c>
      <c r="V83" s="18" t="e">
        <f t="shared" ca="1" si="39"/>
        <v>#VALUE!</v>
      </c>
      <c r="W83" s="29" t="e">
        <f t="shared" ca="1" si="40"/>
        <v>#VALUE!</v>
      </c>
      <c r="X83" s="19" t="e">
        <f t="shared" ca="1" si="41"/>
        <v>#VALUE!</v>
      </c>
      <c r="Y83" s="19" t="e">
        <f t="shared" ca="1" si="42"/>
        <v>#VALUE!</v>
      </c>
      <c r="Z83" s="31" t="e">
        <f t="shared" ca="1" si="43"/>
        <v>#VALUE!</v>
      </c>
      <c r="AA83" s="31" t="e">
        <f t="shared" ca="1" si="44"/>
        <v>#VALUE!</v>
      </c>
      <c r="AB83" s="20" t="e">
        <f t="shared" ca="1" si="45"/>
        <v>#VALUE!</v>
      </c>
      <c r="AC83" s="20" t="e">
        <f t="shared" ca="1" si="46"/>
        <v>#VALUE!</v>
      </c>
      <c r="AD83" s="6" t="e">
        <f t="shared" ca="1" si="47"/>
        <v>#VALUE!</v>
      </c>
      <c r="AE83" s="21" t="e">
        <f t="shared" ca="1" si="48"/>
        <v>#VALUE!</v>
      </c>
    </row>
    <row r="84" spans="1:31" hidden="1" x14ac:dyDescent="0.25">
      <c r="A84" s="24">
        <f t="shared" ca="1" si="32"/>
        <v>20</v>
      </c>
      <c r="B84" s="24">
        <v>12</v>
      </c>
      <c r="C84" s="24">
        <v>49</v>
      </c>
      <c r="D84" s="24">
        <v>35</v>
      </c>
      <c r="E84">
        <v>261190</v>
      </c>
      <c r="F84" s="2" t="s">
        <v>2</v>
      </c>
      <c r="G84" s="2" t="str">
        <f t="shared" si="33"/>
        <v>https://www.oreht.ru/modules.php?name=orehtPriceLS&amp;op=Search&amp;page=1&amp;stext=261190</v>
      </c>
      <c r="I84">
        <v>261190</v>
      </c>
      <c r="J84" t="s">
        <v>2</v>
      </c>
      <c r="K84" t="s">
        <v>208</v>
      </c>
      <c r="L84" t="s">
        <v>209</v>
      </c>
      <c r="M84" t="s">
        <v>210</v>
      </c>
      <c r="O84" s="26" t="str">
        <f>Таблица1_2[[#This Row],[Цена]]</f>
        <v xml:space="preserve">46,9 </v>
      </c>
      <c r="P84" s="17">
        <v>0.36</v>
      </c>
      <c r="Q84" s="26">
        <f t="shared" si="34"/>
        <v>16.884</v>
      </c>
      <c r="R84" s="8">
        <f t="shared" si="35"/>
        <v>0.12</v>
      </c>
      <c r="S84" s="18">
        <f t="shared" ca="1" si="36"/>
        <v>24.601759530791789</v>
      </c>
      <c r="T84" s="18">
        <f t="shared" ca="1" si="37"/>
        <v>104</v>
      </c>
      <c r="U84" s="18">
        <f t="shared" ca="1" si="38"/>
        <v>104</v>
      </c>
      <c r="V84" s="18">
        <f t="shared" ca="1" si="39"/>
        <v>14.351026392961879</v>
      </c>
      <c r="W84" s="29">
        <f t="shared" ca="1" si="40"/>
        <v>205.01466275659826</v>
      </c>
      <c r="X84" s="19">
        <f t="shared" ca="1" si="41"/>
        <v>87.863426895684967</v>
      </c>
      <c r="Y84" s="19">
        <f t="shared" ca="1" si="42"/>
        <v>0</v>
      </c>
      <c r="Z84" s="31">
        <f t="shared" ca="1" si="43"/>
        <v>292.87808965228322</v>
      </c>
      <c r="AA84" s="31">
        <f t="shared" ca="1" si="44"/>
        <v>290</v>
      </c>
      <c r="AB84" s="20">
        <f t="shared" ca="1" si="45"/>
        <v>4.3713147709296001</v>
      </c>
      <c r="AC84" s="20">
        <f t="shared" ca="1" si="46"/>
        <v>8.2355085109426407E-2</v>
      </c>
      <c r="AD84" s="6">
        <f t="shared" ca="1" si="47"/>
        <v>15.161876832844598</v>
      </c>
      <c r="AE84" s="21">
        <f t="shared" ca="1" si="48"/>
        <v>0.32328095592419187</v>
      </c>
    </row>
    <row r="85" spans="1:31" hidden="1" x14ac:dyDescent="0.25">
      <c r="A85" s="24">
        <f t="shared" ca="1" si="32"/>
        <v>20</v>
      </c>
      <c r="B85" s="24">
        <v>12</v>
      </c>
      <c r="C85" s="24">
        <v>41</v>
      </c>
      <c r="D85" s="24">
        <v>35</v>
      </c>
      <c r="E85">
        <v>442161</v>
      </c>
      <c r="F85" s="2" t="s">
        <v>2</v>
      </c>
      <c r="G85" s="2" t="str">
        <f t="shared" si="33"/>
        <v>https://www.oreht.ru/modules.php?name=orehtPriceLS&amp;op=Search&amp;page=1&amp;stext=442161</v>
      </c>
      <c r="I85">
        <v>442161</v>
      </c>
      <c r="J85" t="s">
        <v>2</v>
      </c>
      <c r="K85" t="s">
        <v>211</v>
      </c>
      <c r="L85" t="s">
        <v>212</v>
      </c>
      <c r="M85" t="s">
        <v>210</v>
      </c>
      <c r="O85" s="26" t="str">
        <f>Таблица1_2[[#This Row],[Цена]]</f>
        <v xml:space="preserve">46,9 </v>
      </c>
      <c r="P85" s="17">
        <v>0.36</v>
      </c>
      <c r="Q85" s="26">
        <f t="shared" si="34"/>
        <v>16.884</v>
      </c>
      <c r="R85" s="8">
        <f t="shared" si="35"/>
        <v>0.12</v>
      </c>
      <c r="S85" s="18">
        <f t="shared" ca="1" si="36"/>
        <v>23.428739002932552</v>
      </c>
      <c r="T85" s="18">
        <f t="shared" ca="1" si="37"/>
        <v>96</v>
      </c>
      <c r="U85" s="18">
        <f t="shared" ca="1" si="38"/>
        <v>96</v>
      </c>
      <c r="V85" s="18">
        <f t="shared" ca="1" si="39"/>
        <v>13.666764418377323</v>
      </c>
      <c r="W85" s="29">
        <f t="shared" ca="1" si="40"/>
        <v>195.2394916911046</v>
      </c>
      <c r="X85" s="19">
        <f t="shared" ca="1" si="41"/>
        <v>83.674067867616259</v>
      </c>
      <c r="Y85" s="19">
        <f t="shared" ca="1" si="42"/>
        <v>0</v>
      </c>
      <c r="Z85" s="31">
        <f t="shared" ca="1" si="43"/>
        <v>278.91355955872086</v>
      </c>
      <c r="AA85" s="31">
        <f t="shared" ca="1" si="44"/>
        <v>290</v>
      </c>
      <c r="AB85" s="20">
        <f t="shared" ca="1" si="45"/>
        <v>4.162888948637625</v>
      </c>
      <c r="AC85" s="20">
        <f t="shared" ca="1" si="46"/>
        <v>8.6478405847894652E-2</v>
      </c>
      <c r="AD85" s="6">
        <f t="shared" ca="1" si="47"/>
        <v>15.243988269794741</v>
      </c>
      <c r="AE85" s="21">
        <f t="shared" ca="1" si="48"/>
        <v>0.32503173283144438</v>
      </c>
    </row>
    <row r="86" spans="1:31" hidden="1" x14ac:dyDescent="0.25">
      <c r="A86" s="24">
        <f t="shared" ca="1" si="32"/>
        <v>20</v>
      </c>
      <c r="B86" s="24">
        <v>12</v>
      </c>
      <c r="C86" s="24">
        <v>43</v>
      </c>
      <c r="D86" s="24">
        <v>35</v>
      </c>
      <c r="E86">
        <v>201259</v>
      </c>
      <c r="F86" s="2" t="s">
        <v>2</v>
      </c>
      <c r="G86" s="2" t="str">
        <f t="shared" si="33"/>
        <v>https://www.oreht.ru/modules.php?name=orehtPriceLS&amp;op=Search&amp;page=1&amp;stext=201259</v>
      </c>
      <c r="I86">
        <v>201259</v>
      </c>
      <c r="J86" t="s">
        <v>2</v>
      </c>
      <c r="K86" t="s">
        <v>213</v>
      </c>
      <c r="L86" t="s">
        <v>214</v>
      </c>
      <c r="M86" t="s">
        <v>215</v>
      </c>
      <c r="O86" s="26" t="str">
        <f>Таблица1_2[[#This Row],[Цена]]</f>
        <v xml:space="preserve">47,2 </v>
      </c>
      <c r="P86" s="17">
        <v>0.36</v>
      </c>
      <c r="Q86" s="26">
        <f t="shared" si="34"/>
        <v>16.992000000000001</v>
      </c>
      <c r="R86" s="8">
        <f t="shared" si="35"/>
        <v>0.12</v>
      </c>
      <c r="S86" s="18">
        <f t="shared" ca="1" si="36"/>
        <v>23.781818181818181</v>
      </c>
      <c r="T86" s="18">
        <f t="shared" ca="1" si="37"/>
        <v>98</v>
      </c>
      <c r="U86" s="18">
        <f t="shared" ca="1" si="38"/>
        <v>98</v>
      </c>
      <c r="V86" s="18">
        <f t="shared" ca="1" si="39"/>
        <v>13.872727272727275</v>
      </c>
      <c r="W86" s="29">
        <f t="shared" ca="1" si="40"/>
        <v>198.18181818181819</v>
      </c>
      <c r="X86" s="19">
        <f t="shared" ca="1" si="41"/>
        <v>84.935064935064929</v>
      </c>
      <c r="Y86" s="19">
        <f t="shared" ca="1" si="42"/>
        <v>0</v>
      </c>
      <c r="Z86" s="31">
        <f t="shared" ca="1" si="43"/>
        <v>283.11688311688312</v>
      </c>
      <c r="AA86" s="31">
        <f t="shared" ca="1" si="44"/>
        <v>290</v>
      </c>
      <c r="AB86" s="20">
        <f t="shared" ca="1" si="45"/>
        <v>4.1987673343605545</v>
      </c>
      <c r="AC86" s="20">
        <f t="shared" ca="1" si="46"/>
        <v>8.5739449541284402E-2</v>
      </c>
      <c r="AD86" s="6">
        <f t="shared" ca="1" si="47"/>
        <v>15.327272727272728</v>
      </c>
      <c r="AE86" s="21">
        <f t="shared" ca="1" si="48"/>
        <v>0.32473035439137132</v>
      </c>
    </row>
    <row r="87" spans="1:31" hidden="1" x14ac:dyDescent="0.25">
      <c r="A87" s="24">
        <f t="shared" ca="1" si="32"/>
        <v>20</v>
      </c>
      <c r="B87" s="24">
        <v>10</v>
      </c>
      <c r="C87" s="24">
        <v>43</v>
      </c>
      <c r="D87" s="24">
        <v>35</v>
      </c>
      <c r="E87">
        <v>189608</v>
      </c>
      <c r="F87" s="2" t="s">
        <v>2</v>
      </c>
      <c r="G87" s="2" t="str">
        <f t="shared" si="33"/>
        <v>https://www.oreht.ru/modules.php?name=orehtPriceLS&amp;op=Search&amp;page=1&amp;stext=189608</v>
      </c>
      <c r="I87">
        <v>189608</v>
      </c>
      <c r="J87" t="s">
        <v>2</v>
      </c>
      <c r="K87" t="s">
        <v>216</v>
      </c>
      <c r="L87" t="s">
        <v>217</v>
      </c>
      <c r="M87" t="s">
        <v>218</v>
      </c>
      <c r="O87" s="26" t="str">
        <f>Таблица1_2[[#This Row],[Цена]]</f>
        <v xml:space="preserve">47,4 </v>
      </c>
      <c r="P87" s="17">
        <v>0.36</v>
      </c>
      <c r="Q87" s="26">
        <f t="shared" si="34"/>
        <v>17.064</v>
      </c>
      <c r="R87" s="8">
        <f t="shared" si="35"/>
        <v>0.1</v>
      </c>
      <c r="S87" s="18">
        <f t="shared" ca="1" si="36"/>
        <v>19.410274790919956</v>
      </c>
      <c r="T87" s="18">
        <f t="shared" ca="1" si="37"/>
        <v>98</v>
      </c>
      <c r="U87" s="18">
        <f t="shared" ca="1" si="38"/>
        <v>98</v>
      </c>
      <c r="V87" s="18">
        <f t="shared" ca="1" si="39"/>
        <v>13.587192353643969</v>
      </c>
      <c r="W87" s="29">
        <f t="shared" ca="1" si="40"/>
        <v>194.10274790919954</v>
      </c>
      <c r="X87" s="19">
        <f t="shared" ca="1" si="41"/>
        <v>83.186891961085507</v>
      </c>
      <c r="Y87" s="19">
        <f t="shared" ca="1" si="42"/>
        <v>0</v>
      </c>
      <c r="Z87" s="31">
        <f t="shared" ca="1" si="43"/>
        <v>277.28963987028504</v>
      </c>
      <c r="AA87" s="31">
        <f t="shared" ca="1" si="44"/>
        <v>290</v>
      </c>
      <c r="AB87" s="20">
        <f t="shared" ca="1" si="45"/>
        <v>4.0949946816286822</v>
      </c>
      <c r="AC87" s="20">
        <f t="shared" ca="1" si="46"/>
        <v>8.7912202087847141E-2</v>
      </c>
      <c r="AD87" s="6">
        <f t="shared" ca="1" si="47"/>
        <v>15.705280764635624</v>
      </c>
      <c r="AE87" s="21">
        <f t="shared" ca="1" si="48"/>
        <v>0.33133503722859969</v>
      </c>
    </row>
    <row r="88" spans="1:31" hidden="1" x14ac:dyDescent="0.25">
      <c r="A88" s="24">
        <f t="shared" ca="1" si="32"/>
        <v>20</v>
      </c>
      <c r="B88" s="24">
        <v>10</v>
      </c>
      <c r="C88" s="24">
        <v>43</v>
      </c>
      <c r="D88" s="24">
        <v>35</v>
      </c>
      <c r="E88">
        <v>189616</v>
      </c>
      <c r="F88" s="2" t="s">
        <v>2</v>
      </c>
      <c r="G88" s="2" t="str">
        <f t="shared" si="33"/>
        <v>https://www.oreht.ru/modules.php?name=orehtPriceLS&amp;op=Search&amp;page=1&amp;stext=189616</v>
      </c>
      <c r="I88">
        <v>189616</v>
      </c>
      <c r="J88" t="s">
        <v>2</v>
      </c>
      <c r="K88" t="s">
        <v>219</v>
      </c>
      <c r="L88" t="s">
        <v>220</v>
      </c>
      <c r="M88" t="s">
        <v>218</v>
      </c>
      <c r="O88" s="26" t="str">
        <f>Таблица1_2[[#This Row],[Цена]]</f>
        <v xml:space="preserve">47,4 </v>
      </c>
      <c r="P88" s="17">
        <v>0.36</v>
      </c>
      <c r="Q88" s="26">
        <f t="shared" si="34"/>
        <v>17.064</v>
      </c>
      <c r="R88" s="8">
        <f t="shared" si="35"/>
        <v>0.1</v>
      </c>
      <c r="S88" s="18">
        <f t="shared" ca="1" si="36"/>
        <v>19.410274790919956</v>
      </c>
      <c r="T88" s="18">
        <f t="shared" ca="1" si="37"/>
        <v>98</v>
      </c>
      <c r="U88" s="18">
        <f t="shared" ca="1" si="38"/>
        <v>98</v>
      </c>
      <c r="V88" s="18">
        <f t="shared" ca="1" si="39"/>
        <v>13.587192353643969</v>
      </c>
      <c r="W88" s="29">
        <f t="shared" ca="1" si="40"/>
        <v>194.10274790919954</v>
      </c>
      <c r="X88" s="19">
        <f t="shared" ca="1" si="41"/>
        <v>83.186891961085507</v>
      </c>
      <c r="Y88" s="19">
        <f t="shared" ca="1" si="42"/>
        <v>0</v>
      </c>
      <c r="Z88" s="31">
        <f t="shared" ca="1" si="43"/>
        <v>277.28963987028504</v>
      </c>
      <c r="AA88" s="31">
        <f t="shared" ca="1" si="44"/>
        <v>290</v>
      </c>
      <c r="AB88" s="20">
        <f t="shared" ca="1" si="45"/>
        <v>4.0949946816286822</v>
      </c>
      <c r="AC88" s="20">
        <f t="shared" ca="1" si="46"/>
        <v>8.7912202087847141E-2</v>
      </c>
      <c r="AD88" s="6">
        <f t="shared" ca="1" si="47"/>
        <v>15.705280764635624</v>
      </c>
      <c r="AE88" s="21">
        <f t="shared" ca="1" si="48"/>
        <v>0.33133503722859969</v>
      </c>
    </row>
    <row r="89" spans="1:31" hidden="1" x14ac:dyDescent="0.25">
      <c r="A89" s="24">
        <f t="shared" ca="1" si="32"/>
        <v>20</v>
      </c>
      <c r="B89" s="24">
        <v>10</v>
      </c>
      <c r="C89" s="24">
        <v>43</v>
      </c>
      <c r="D89" s="24">
        <v>35</v>
      </c>
      <c r="E89">
        <v>189609</v>
      </c>
      <c r="F89" s="2" t="s">
        <v>2</v>
      </c>
      <c r="G89" s="2" t="str">
        <f t="shared" si="33"/>
        <v>https://www.oreht.ru/modules.php?name=orehtPriceLS&amp;op=Search&amp;page=1&amp;stext=189609</v>
      </c>
      <c r="I89">
        <v>189609</v>
      </c>
      <c r="J89" t="s">
        <v>2</v>
      </c>
      <c r="K89" t="s">
        <v>221</v>
      </c>
      <c r="L89" t="s">
        <v>222</v>
      </c>
      <c r="M89" t="s">
        <v>218</v>
      </c>
      <c r="O89" s="26" t="str">
        <f>Таблица1_2[[#This Row],[Цена]]</f>
        <v xml:space="preserve">47,4 </v>
      </c>
      <c r="P89" s="17">
        <v>0.37</v>
      </c>
      <c r="Q89" s="26">
        <f t="shared" si="34"/>
        <v>17.538</v>
      </c>
      <c r="R89" s="8">
        <f t="shared" si="35"/>
        <v>0.1</v>
      </c>
      <c r="S89" s="18">
        <f t="shared" ca="1" si="36"/>
        <v>19.466905615292713</v>
      </c>
      <c r="T89" s="18">
        <f t="shared" ca="1" si="37"/>
        <v>98</v>
      </c>
      <c r="U89" s="18">
        <f t="shared" ca="1" si="38"/>
        <v>98</v>
      </c>
      <c r="V89" s="18">
        <f t="shared" ca="1" si="39"/>
        <v>13.626833930704899</v>
      </c>
      <c r="W89" s="29">
        <f t="shared" ca="1" si="40"/>
        <v>194.66905615292711</v>
      </c>
      <c r="X89" s="19">
        <f t="shared" ca="1" si="41"/>
        <v>83.429595494111624</v>
      </c>
      <c r="Y89" s="19">
        <f t="shared" ca="1" si="42"/>
        <v>0</v>
      </c>
      <c r="Z89" s="31">
        <f t="shared" ca="1" si="43"/>
        <v>278.09865164703876</v>
      </c>
      <c r="AA89" s="31">
        <f t="shared" ca="1" si="44"/>
        <v>290</v>
      </c>
      <c r="AB89" s="20">
        <f t="shared" ca="1" si="45"/>
        <v>4.1069421129309518</v>
      </c>
      <c r="AC89" s="20">
        <f t="shared" ca="1" si="46"/>
        <v>9.0091359903767085E-2</v>
      </c>
      <c r="AD89" s="6">
        <f t="shared" ca="1" si="47"/>
        <v>16.175316606929506</v>
      </c>
      <c r="AE89" s="21">
        <f t="shared" ca="1" si="48"/>
        <v>0.34125140520948327</v>
      </c>
    </row>
    <row r="90" spans="1:31" hidden="1" x14ac:dyDescent="0.25">
      <c r="A90" s="24">
        <f t="shared" ca="1" si="32"/>
        <v>20</v>
      </c>
      <c r="B90" s="24">
        <v>12</v>
      </c>
      <c r="C90" s="24">
        <v>41</v>
      </c>
      <c r="D90" s="24">
        <v>35</v>
      </c>
      <c r="E90">
        <v>322812</v>
      </c>
      <c r="F90" s="2" t="s">
        <v>2</v>
      </c>
      <c r="G90" s="2" t="str">
        <f t="shared" si="33"/>
        <v>https://www.oreht.ru/modules.php?name=orehtPriceLS&amp;op=Search&amp;page=1&amp;stext=322812</v>
      </c>
      <c r="I90">
        <v>322812</v>
      </c>
      <c r="J90" t="s">
        <v>2</v>
      </c>
      <c r="K90" t="s">
        <v>223</v>
      </c>
      <c r="L90" t="s">
        <v>224</v>
      </c>
      <c r="M90" t="s">
        <v>225</v>
      </c>
      <c r="O90" s="26" t="str">
        <f>Таблица1_2[[#This Row],[Цена]]</f>
        <v xml:space="preserve">47,7 </v>
      </c>
      <c r="P90" s="17">
        <v>0.37</v>
      </c>
      <c r="Q90" s="26">
        <f t="shared" si="34"/>
        <v>17.649000000000001</v>
      </c>
      <c r="R90" s="8">
        <f t="shared" si="35"/>
        <v>0.12</v>
      </c>
      <c r="S90" s="18">
        <f t="shared" ca="1" si="36"/>
        <v>23.658211143695013</v>
      </c>
      <c r="T90" s="18">
        <f t="shared" ca="1" si="37"/>
        <v>96</v>
      </c>
      <c r="U90" s="18">
        <f t="shared" ca="1" si="38"/>
        <v>96</v>
      </c>
      <c r="V90" s="18">
        <f t="shared" ca="1" si="39"/>
        <v>13.800623167155427</v>
      </c>
      <c r="W90" s="29">
        <f t="shared" ca="1" si="40"/>
        <v>197.15175953079179</v>
      </c>
      <c r="X90" s="19">
        <f t="shared" ca="1" si="41"/>
        <v>84.493611227482191</v>
      </c>
      <c r="Y90" s="19">
        <f t="shared" ca="1" si="42"/>
        <v>0</v>
      </c>
      <c r="Z90" s="31">
        <f t="shared" ca="1" si="43"/>
        <v>281.645370758274</v>
      </c>
      <c r="AA90" s="31">
        <f t="shared" ca="1" si="44"/>
        <v>290</v>
      </c>
      <c r="AB90" s="20">
        <f t="shared" ca="1" si="45"/>
        <v>4.1331605771654463</v>
      </c>
      <c r="AC90" s="20">
        <f t="shared" ca="1" si="46"/>
        <v>8.9519870591078965E-2</v>
      </c>
      <c r="AD90" s="6">
        <f t="shared" ca="1" si="47"/>
        <v>15.992925219941341</v>
      </c>
      <c r="AE90" s="21">
        <f t="shared" ca="1" si="48"/>
        <v>0.33528145115181007</v>
      </c>
    </row>
    <row r="91" spans="1:31" hidden="1" x14ac:dyDescent="0.25">
      <c r="A91" s="24" t="e">
        <f t="shared" ca="1" si="32"/>
        <v>#VALUE!</v>
      </c>
      <c r="B91" s="24">
        <v>12</v>
      </c>
      <c r="C91" s="24">
        <v>65</v>
      </c>
      <c r="D91" s="24">
        <v>35</v>
      </c>
      <c r="E91">
        <v>305086</v>
      </c>
      <c r="F91" s="2" t="s">
        <v>2</v>
      </c>
      <c r="G91" s="2" t="str">
        <f t="shared" si="33"/>
        <v>https://www.oreht.ru/modules.php?name=orehtPriceLS&amp;op=Search&amp;page=1&amp;stext=305086</v>
      </c>
      <c r="I91">
        <v>305086</v>
      </c>
      <c r="J91" t="s">
        <v>2</v>
      </c>
      <c r="K91" t="s">
        <v>226</v>
      </c>
      <c r="L91" t="s">
        <v>227</v>
      </c>
      <c r="M91">
        <v>47</v>
      </c>
      <c r="O91" s="26">
        <f>Таблица1_2[[#This Row],[Цена]]</f>
        <v>47</v>
      </c>
      <c r="P91" s="17">
        <v>0.37</v>
      </c>
      <c r="Q91" s="26">
        <f t="shared" si="34"/>
        <v>17.39</v>
      </c>
      <c r="R91" s="8">
        <f t="shared" si="35"/>
        <v>0.12</v>
      </c>
      <c r="S91" s="18" t="e">
        <f t="shared" ca="1" si="36"/>
        <v>#VALUE!</v>
      </c>
      <c r="T91" s="18" t="e">
        <f t="shared" ca="1" si="37"/>
        <v>#VALUE!</v>
      </c>
      <c r="U91" s="18" t="e">
        <f t="shared" ca="1" si="38"/>
        <v>#VALUE!</v>
      </c>
      <c r="V91" s="18" t="e">
        <f t="shared" ca="1" si="39"/>
        <v>#VALUE!</v>
      </c>
      <c r="W91" s="29" t="e">
        <f t="shared" ca="1" si="40"/>
        <v>#VALUE!</v>
      </c>
      <c r="X91" s="19" t="e">
        <f t="shared" ca="1" si="41"/>
        <v>#VALUE!</v>
      </c>
      <c r="Y91" s="19" t="e">
        <f t="shared" ca="1" si="42"/>
        <v>#VALUE!</v>
      </c>
      <c r="Z91" s="31" t="e">
        <f t="shared" ca="1" si="43"/>
        <v>#VALUE!</v>
      </c>
      <c r="AA91" s="31" t="e">
        <f t="shared" ca="1" si="44"/>
        <v>#VALUE!</v>
      </c>
      <c r="AB91" s="20" t="e">
        <f t="shared" ca="1" si="45"/>
        <v>#VALUE!</v>
      </c>
      <c r="AC91" s="20" t="e">
        <f t="shared" ca="1" si="46"/>
        <v>#VALUE!</v>
      </c>
      <c r="AD91" s="6" t="e">
        <f t="shared" ca="1" si="47"/>
        <v>#VALUE!</v>
      </c>
      <c r="AE91" s="21" t="e">
        <f t="shared" ca="1" si="48"/>
        <v>#VALUE!</v>
      </c>
    </row>
    <row r="92" spans="1:31" hidden="1" x14ac:dyDescent="0.25">
      <c r="A92" s="24" t="e">
        <f t="shared" ca="1" si="32"/>
        <v>#VALUE!</v>
      </c>
      <c r="B92" s="24">
        <v>12</v>
      </c>
      <c r="C92" s="24">
        <v>45</v>
      </c>
      <c r="D92" s="24">
        <v>35</v>
      </c>
      <c r="E92">
        <v>293420</v>
      </c>
      <c r="F92" s="2" t="s">
        <v>2</v>
      </c>
      <c r="G92" s="2" t="str">
        <f t="shared" si="33"/>
        <v>https://www.oreht.ru/modules.php?name=orehtPriceLS&amp;op=Search&amp;page=1&amp;stext=293420</v>
      </c>
      <c r="I92">
        <v>293420</v>
      </c>
      <c r="J92" t="s">
        <v>2</v>
      </c>
      <c r="K92" t="s">
        <v>228</v>
      </c>
      <c r="L92" t="s">
        <v>229</v>
      </c>
      <c r="M92">
        <v>48</v>
      </c>
      <c r="O92" s="26">
        <f>Таблица1_2[[#This Row],[Цена]]</f>
        <v>48</v>
      </c>
      <c r="P92" s="17">
        <v>0.37</v>
      </c>
      <c r="Q92" s="26">
        <f t="shared" si="34"/>
        <v>17.759999999999998</v>
      </c>
      <c r="R92" s="8">
        <f t="shared" si="35"/>
        <v>0.12</v>
      </c>
      <c r="S92" s="18" t="e">
        <f t="shared" ca="1" si="36"/>
        <v>#VALUE!</v>
      </c>
      <c r="T92" s="18" t="e">
        <f t="shared" ca="1" si="37"/>
        <v>#VALUE!</v>
      </c>
      <c r="U92" s="18" t="e">
        <f t="shared" ca="1" si="38"/>
        <v>#VALUE!</v>
      </c>
      <c r="V92" s="18" t="e">
        <f t="shared" ca="1" si="39"/>
        <v>#VALUE!</v>
      </c>
      <c r="W92" s="29" t="e">
        <f t="shared" ca="1" si="40"/>
        <v>#VALUE!</v>
      </c>
      <c r="X92" s="19" t="e">
        <f t="shared" ca="1" si="41"/>
        <v>#VALUE!</v>
      </c>
      <c r="Y92" s="19" t="e">
        <f t="shared" ca="1" si="42"/>
        <v>#VALUE!</v>
      </c>
      <c r="Z92" s="31" t="e">
        <f t="shared" ca="1" si="43"/>
        <v>#VALUE!</v>
      </c>
      <c r="AA92" s="31" t="e">
        <f t="shared" ca="1" si="44"/>
        <v>#VALUE!</v>
      </c>
      <c r="AB92" s="20" t="e">
        <f t="shared" ca="1" si="45"/>
        <v>#VALUE!</v>
      </c>
      <c r="AC92" s="20" t="e">
        <f t="shared" ca="1" si="46"/>
        <v>#VALUE!</v>
      </c>
      <c r="AD92" s="6" t="e">
        <f t="shared" ca="1" si="47"/>
        <v>#VALUE!</v>
      </c>
      <c r="AE92" s="21" t="e">
        <f t="shared" ca="1" si="48"/>
        <v>#VALUE!</v>
      </c>
    </row>
    <row r="93" spans="1:31" hidden="1" x14ac:dyDescent="0.25">
      <c r="A93" s="24" t="e">
        <f t="shared" ca="1" si="32"/>
        <v>#VALUE!</v>
      </c>
      <c r="B93" s="24">
        <v>12</v>
      </c>
      <c r="C93" s="24">
        <v>43</v>
      </c>
      <c r="D93" s="24">
        <v>35</v>
      </c>
      <c r="E93">
        <v>322807</v>
      </c>
      <c r="F93" s="2" t="s">
        <v>2</v>
      </c>
      <c r="G93" s="2" t="str">
        <f t="shared" si="33"/>
        <v>https://www.oreht.ru/modules.php?name=orehtPriceLS&amp;op=Search&amp;page=1&amp;stext=322807</v>
      </c>
      <c r="I93">
        <v>322807</v>
      </c>
      <c r="J93" t="s">
        <v>2</v>
      </c>
      <c r="K93" t="s">
        <v>230</v>
      </c>
      <c r="L93" t="s">
        <v>231</v>
      </c>
      <c r="M93">
        <v>49</v>
      </c>
      <c r="O93" s="26">
        <f>Таблица1_2[[#This Row],[Цена]]</f>
        <v>49</v>
      </c>
      <c r="P93" s="17">
        <v>0.36</v>
      </c>
      <c r="Q93" s="26">
        <f t="shared" si="34"/>
        <v>17.64</v>
      </c>
      <c r="R93" s="8">
        <f t="shared" si="35"/>
        <v>0.12</v>
      </c>
      <c r="S93" s="18" t="e">
        <f t="shared" ca="1" si="36"/>
        <v>#VALUE!</v>
      </c>
      <c r="T93" s="18" t="e">
        <f t="shared" ca="1" si="37"/>
        <v>#VALUE!</v>
      </c>
      <c r="U93" s="18" t="e">
        <f t="shared" ca="1" si="38"/>
        <v>#VALUE!</v>
      </c>
      <c r="V93" s="18" t="e">
        <f t="shared" ca="1" si="39"/>
        <v>#VALUE!</v>
      </c>
      <c r="W93" s="29" t="e">
        <f t="shared" ca="1" si="40"/>
        <v>#VALUE!</v>
      </c>
      <c r="X93" s="19" t="e">
        <f t="shared" ca="1" si="41"/>
        <v>#VALUE!</v>
      </c>
      <c r="Y93" s="19" t="e">
        <f t="shared" ca="1" si="42"/>
        <v>#VALUE!</v>
      </c>
      <c r="Z93" s="31" t="e">
        <f t="shared" ca="1" si="43"/>
        <v>#VALUE!</v>
      </c>
      <c r="AA93" s="31" t="e">
        <f t="shared" ca="1" si="44"/>
        <v>#VALUE!</v>
      </c>
      <c r="AB93" s="20" t="e">
        <f t="shared" ca="1" si="45"/>
        <v>#VALUE!</v>
      </c>
      <c r="AC93" s="20" t="e">
        <f t="shared" ca="1" si="46"/>
        <v>#VALUE!</v>
      </c>
      <c r="AD93" s="6" t="e">
        <f t="shared" ca="1" si="47"/>
        <v>#VALUE!</v>
      </c>
      <c r="AE93" s="21" t="e">
        <f t="shared" ca="1" si="48"/>
        <v>#VALUE!</v>
      </c>
    </row>
    <row r="94" spans="1:31" hidden="1" x14ac:dyDescent="0.25">
      <c r="A94" s="24" t="e">
        <f t="shared" ca="1" si="32"/>
        <v>#VALUE!</v>
      </c>
      <c r="B94" s="24">
        <v>12</v>
      </c>
      <c r="C94" s="24">
        <v>40</v>
      </c>
      <c r="D94" s="24">
        <v>35</v>
      </c>
      <c r="E94">
        <v>293114</v>
      </c>
      <c r="F94" s="2" t="s">
        <v>2</v>
      </c>
      <c r="G94" s="2" t="str">
        <f t="shared" si="33"/>
        <v>https://www.oreht.ru/modules.php?name=orehtPriceLS&amp;op=Search&amp;page=1&amp;stext=293114</v>
      </c>
      <c r="I94">
        <v>293114</v>
      </c>
      <c r="J94" t="s">
        <v>2</v>
      </c>
      <c r="K94" t="s">
        <v>232</v>
      </c>
      <c r="L94" t="s">
        <v>233</v>
      </c>
      <c r="M94">
        <v>49</v>
      </c>
      <c r="O94" s="26">
        <f>Таблица1_2[[#This Row],[Цена]]</f>
        <v>49</v>
      </c>
      <c r="P94" s="17">
        <v>0.36</v>
      </c>
      <c r="Q94" s="26">
        <f t="shared" si="34"/>
        <v>17.64</v>
      </c>
      <c r="R94" s="8">
        <f t="shared" si="35"/>
        <v>0.12</v>
      </c>
      <c r="S94" s="18" t="e">
        <f t="shared" ca="1" si="36"/>
        <v>#VALUE!</v>
      </c>
      <c r="T94" s="18" t="e">
        <f t="shared" ca="1" si="37"/>
        <v>#VALUE!</v>
      </c>
      <c r="U94" s="18" t="e">
        <f t="shared" ca="1" si="38"/>
        <v>#VALUE!</v>
      </c>
      <c r="V94" s="18" t="e">
        <f t="shared" ca="1" si="39"/>
        <v>#VALUE!</v>
      </c>
      <c r="W94" s="29" t="e">
        <f t="shared" ca="1" si="40"/>
        <v>#VALUE!</v>
      </c>
      <c r="X94" s="19" t="e">
        <f t="shared" ca="1" si="41"/>
        <v>#VALUE!</v>
      </c>
      <c r="Y94" s="19" t="e">
        <f t="shared" ca="1" si="42"/>
        <v>#VALUE!</v>
      </c>
      <c r="Z94" s="31" t="e">
        <f t="shared" ca="1" si="43"/>
        <v>#VALUE!</v>
      </c>
      <c r="AA94" s="31" t="e">
        <f t="shared" ca="1" si="44"/>
        <v>#VALUE!</v>
      </c>
      <c r="AB94" s="20" t="e">
        <f t="shared" ca="1" si="45"/>
        <v>#VALUE!</v>
      </c>
      <c r="AC94" s="20" t="e">
        <f t="shared" ca="1" si="46"/>
        <v>#VALUE!</v>
      </c>
      <c r="AD94" s="6" t="e">
        <f t="shared" ca="1" si="47"/>
        <v>#VALUE!</v>
      </c>
      <c r="AE94" s="21" t="e">
        <f t="shared" ca="1" si="48"/>
        <v>#VALUE!</v>
      </c>
    </row>
    <row r="95" spans="1:31" hidden="1" x14ac:dyDescent="0.25">
      <c r="A95" s="24">
        <f t="shared" ca="1" si="32"/>
        <v>20</v>
      </c>
      <c r="B95" s="24">
        <v>12</v>
      </c>
      <c r="C95" s="24">
        <v>41</v>
      </c>
      <c r="D95" s="24">
        <v>35</v>
      </c>
      <c r="E95">
        <v>423181</v>
      </c>
      <c r="F95" s="2" t="s">
        <v>2</v>
      </c>
      <c r="G95" s="2" t="str">
        <f t="shared" si="33"/>
        <v>https://www.oreht.ru/modules.php?name=orehtPriceLS&amp;op=Search&amp;page=1&amp;stext=423181</v>
      </c>
      <c r="I95">
        <v>423181</v>
      </c>
      <c r="J95" t="s">
        <v>2</v>
      </c>
      <c r="K95" t="s">
        <v>234</v>
      </c>
      <c r="L95" t="s">
        <v>235</v>
      </c>
      <c r="M95" t="s">
        <v>236</v>
      </c>
      <c r="O95" s="26" t="str">
        <f>Таблица1_2[[#This Row],[Цена]]</f>
        <v xml:space="preserve">48,1 </v>
      </c>
      <c r="P95" s="17">
        <v>0.36</v>
      </c>
      <c r="Q95" s="26">
        <f t="shared" si="34"/>
        <v>17.315999999999999</v>
      </c>
      <c r="R95" s="8">
        <f t="shared" si="35"/>
        <v>0.12</v>
      </c>
      <c r="S95" s="18">
        <f t="shared" ca="1" si="36"/>
        <v>23.668035190615836</v>
      </c>
      <c r="T95" s="18">
        <f t="shared" ca="1" si="37"/>
        <v>96</v>
      </c>
      <c r="U95" s="18">
        <f t="shared" ca="1" si="38"/>
        <v>96</v>
      </c>
      <c r="V95" s="18">
        <f t="shared" ca="1" si="39"/>
        <v>13.806353861192573</v>
      </c>
      <c r="W95" s="29">
        <f t="shared" ca="1" si="40"/>
        <v>197.23362658846531</v>
      </c>
      <c r="X95" s="19">
        <f t="shared" ca="1" si="41"/>
        <v>84.528697109342289</v>
      </c>
      <c r="Y95" s="19">
        <f t="shared" ca="1" si="42"/>
        <v>0</v>
      </c>
      <c r="Z95" s="31">
        <f t="shared" ca="1" si="43"/>
        <v>281.76232369780763</v>
      </c>
      <c r="AA95" s="31">
        <f t="shared" ca="1" si="44"/>
        <v>290</v>
      </c>
      <c r="AB95" s="20">
        <f t="shared" ca="1" si="45"/>
        <v>4.1004911972653906</v>
      </c>
      <c r="AC95" s="20">
        <f t="shared" ca="1" si="46"/>
        <v>8.7794359914754413E-2</v>
      </c>
      <c r="AD95" s="6">
        <f t="shared" ca="1" si="47"/>
        <v>15.659237536656896</v>
      </c>
      <c r="AE95" s="21">
        <f t="shared" ca="1" si="48"/>
        <v>0.32555587394297081</v>
      </c>
    </row>
    <row r="96" spans="1:31" hidden="1" x14ac:dyDescent="0.25">
      <c r="A96" s="24">
        <f t="shared" ca="1" si="32"/>
        <v>20</v>
      </c>
      <c r="B96" s="24">
        <v>12</v>
      </c>
      <c r="C96" s="24">
        <v>40</v>
      </c>
      <c r="D96" s="24">
        <v>35</v>
      </c>
      <c r="E96">
        <v>273807</v>
      </c>
      <c r="F96" s="2" t="s">
        <v>2</v>
      </c>
      <c r="G96" s="2" t="str">
        <f t="shared" si="33"/>
        <v>https://www.oreht.ru/modules.php?name=orehtPriceLS&amp;op=Search&amp;page=1&amp;stext=273807</v>
      </c>
      <c r="I96">
        <v>273807</v>
      </c>
      <c r="J96" t="s">
        <v>2</v>
      </c>
      <c r="K96" t="s">
        <v>237</v>
      </c>
      <c r="L96" t="s">
        <v>238</v>
      </c>
      <c r="M96" t="s">
        <v>236</v>
      </c>
      <c r="O96" s="26" t="str">
        <f>Таблица1_2[[#This Row],[Цена]]</f>
        <v xml:space="preserve">48,1 </v>
      </c>
      <c r="P96" s="17">
        <v>0.36</v>
      </c>
      <c r="Q96" s="26">
        <f t="shared" si="34"/>
        <v>17.315999999999999</v>
      </c>
      <c r="R96" s="8">
        <f t="shared" si="35"/>
        <v>0.12</v>
      </c>
      <c r="S96" s="18">
        <f t="shared" ca="1" si="36"/>
        <v>23.521407624633433</v>
      </c>
      <c r="T96" s="18">
        <f t="shared" ca="1" si="37"/>
        <v>95</v>
      </c>
      <c r="U96" s="18">
        <f t="shared" ca="1" si="38"/>
        <v>95</v>
      </c>
      <c r="V96" s="18">
        <f t="shared" ca="1" si="39"/>
        <v>13.720821114369503</v>
      </c>
      <c r="W96" s="29">
        <f t="shared" ca="1" si="40"/>
        <v>196.01173020527861</v>
      </c>
      <c r="X96" s="19">
        <f t="shared" ca="1" si="41"/>
        <v>84.00502723083369</v>
      </c>
      <c r="Y96" s="19">
        <f t="shared" ca="1" si="42"/>
        <v>0</v>
      </c>
      <c r="Z96" s="31">
        <f t="shared" ca="1" si="43"/>
        <v>280.0167574361123</v>
      </c>
      <c r="AA96" s="31">
        <f t="shared" ca="1" si="44"/>
        <v>290</v>
      </c>
      <c r="AB96" s="20">
        <f t="shared" ca="1" si="45"/>
        <v>4.0750879460556879</v>
      </c>
      <c r="AC96" s="20">
        <f t="shared" ca="1" si="46"/>
        <v>8.8341651705565516E-2</v>
      </c>
      <c r="AD96" s="6">
        <f t="shared" ca="1" si="47"/>
        <v>15.669501466275676</v>
      </c>
      <c r="AE96" s="21">
        <f t="shared" ca="1" si="48"/>
        <v>0.32576926125313255</v>
      </c>
    </row>
    <row r="97" spans="1:31" hidden="1" x14ac:dyDescent="0.25">
      <c r="A97" s="24" t="e">
        <f t="shared" ca="1" si="32"/>
        <v>#VALUE!</v>
      </c>
      <c r="B97" s="24">
        <v>10</v>
      </c>
      <c r="C97" s="24">
        <v>79</v>
      </c>
      <c r="D97" s="24">
        <v>35</v>
      </c>
      <c r="E97">
        <v>445789</v>
      </c>
      <c r="F97" s="2" t="s">
        <v>2</v>
      </c>
      <c r="G97" s="2" t="str">
        <f t="shared" si="33"/>
        <v>https://www.oreht.ru/modules.php?name=orehtPriceLS&amp;op=Search&amp;page=1&amp;stext=445789</v>
      </c>
      <c r="I97">
        <v>445789</v>
      </c>
      <c r="J97" t="s">
        <v>2</v>
      </c>
      <c r="K97" t="s">
        <v>239</v>
      </c>
      <c r="L97" t="s">
        <v>240</v>
      </c>
      <c r="M97">
        <v>49</v>
      </c>
      <c r="O97" s="26">
        <f>Таблица1_2[[#This Row],[Цена]]</f>
        <v>49</v>
      </c>
      <c r="P97" s="17">
        <v>0.36</v>
      </c>
      <c r="Q97" s="26">
        <f t="shared" si="34"/>
        <v>17.64</v>
      </c>
      <c r="R97" s="8">
        <f t="shared" si="35"/>
        <v>0.1</v>
      </c>
      <c r="S97" s="18" t="e">
        <f t="shared" ca="1" si="36"/>
        <v>#VALUE!</v>
      </c>
      <c r="T97" s="18" t="e">
        <f t="shared" ca="1" si="37"/>
        <v>#VALUE!</v>
      </c>
      <c r="U97" s="18" t="e">
        <f t="shared" ca="1" si="38"/>
        <v>#VALUE!</v>
      </c>
      <c r="V97" s="18" t="e">
        <f t="shared" ca="1" si="39"/>
        <v>#VALUE!</v>
      </c>
      <c r="W97" s="29" t="e">
        <f t="shared" ca="1" si="40"/>
        <v>#VALUE!</v>
      </c>
      <c r="X97" s="19" t="e">
        <f t="shared" ca="1" si="41"/>
        <v>#VALUE!</v>
      </c>
      <c r="Y97" s="19" t="e">
        <f t="shared" ca="1" si="42"/>
        <v>#VALUE!</v>
      </c>
      <c r="Z97" s="31" t="e">
        <f t="shared" ca="1" si="43"/>
        <v>#VALUE!</v>
      </c>
      <c r="AA97" s="31" t="e">
        <f t="shared" ca="1" si="44"/>
        <v>#VALUE!</v>
      </c>
      <c r="AB97" s="20" t="e">
        <f t="shared" ca="1" si="45"/>
        <v>#VALUE!</v>
      </c>
      <c r="AC97" s="20" t="e">
        <f t="shared" ca="1" si="46"/>
        <v>#VALUE!</v>
      </c>
      <c r="AD97" s="6" t="e">
        <f t="shared" ca="1" si="47"/>
        <v>#VALUE!</v>
      </c>
      <c r="AE97" s="21" t="e">
        <f t="shared" ca="1" si="48"/>
        <v>#VALUE!</v>
      </c>
    </row>
    <row r="98" spans="1:31" hidden="1" x14ac:dyDescent="0.25">
      <c r="A98" s="24">
        <f t="shared" ca="1" si="32"/>
        <v>20</v>
      </c>
      <c r="B98" s="24">
        <v>12</v>
      </c>
      <c r="C98" s="24">
        <v>41</v>
      </c>
      <c r="D98" s="24">
        <v>35</v>
      </c>
      <c r="E98">
        <v>398862</v>
      </c>
      <c r="F98" s="2" t="s">
        <v>2</v>
      </c>
      <c r="G98" s="2" t="str">
        <f t="shared" si="33"/>
        <v>https://www.oreht.ru/modules.php?name=orehtPriceLS&amp;op=Search&amp;page=1&amp;stext=398862</v>
      </c>
      <c r="I98">
        <v>398862</v>
      </c>
      <c r="J98" t="s">
        <v>2</v>
      </c>
      <c r="K98" t="s">
        <v>241</v>
      </c>
      <c r="L98" t="s">
        <v>242</v>
      </c>
      <c r="M98" t="s">
        <v>243</v>
      </c>
      <c r="O98" s="26" t="str">
        <f>Таблица1_2[[#This Row],[Цена]]</f>
        <v xml:space="preserve">48,4 </v>
      </c>
      <c r="P98" s="17">
        <v>0.36</v>
      </c>
      <c r="Q98" s="26">
        <f t="shared" si="34"/>
        <v>17.423999999999999</v>
      </c>
      <c r="R98" s="8">
        <f t="shared" si="35"/>
        <v>0.12</v>
      </c>
      <c r="S98" s="18">
        <f t="shared" ca="1" si="36"/>
        <v>23.727859237536659</v>
      </c>
      <c r="T98" s="18">
        <f t="shared" ca="1" si="37"/>
        <v>96</v>
      </c>
      <c r="U98" s="18">
        <f t="shared" ca="1" si="38"/>
        <v>96</v>
      </c>
      <c r="V98" s="18">
        <f t="shared" ca="1" si="39"/>
        <v>13.841251221896385</v>
      </c>
      <c r="W98" s="29">
        <f t="shared" ca="1" si="40"/>
        <v>197.73216031280549</v>
      </c>
      <c r="X98" s="19">
        <f t="shared" ca="1" si="41"/>
        <v>84.742354419773775</v>
      </c>
      <c r="Y98" s="19">
        <f t="shared" ca="1" si="42"/>
        <v>0</v>
      </c>
      <c r="Z98" s="31">
        <f t="shared" ca="1" si="43"/>
        <v>282.47451473257928</v>
      </c>
      <c r="AA98" s="31">
        <f t="shared" ca="1" si="44"/>
        <v>290</v>
      </c>
      <c r="AB98" s="20">
        <f t="shared" ca="1" si="45"/>
        <v>4.085375213074494</v>
      </c>
      <c r="AC98" s="20">
        <f t="shared" ca="1" si="46"/>
        <v>8.8119201107375908E-2</v>
      </c>
      <c r="AD98" s="6">
        <f t="shared" ca="1" si="47"/>
        <v>15.763049853372443</v>
      </c>
      <c r="AE98" s="21">
        <f t="shared" ca="1" si="48"/>
        <v>0.32568284821017446</v>
      </c>
    </row>
    <row r="99" spans="1:31" hidden="1" x14ac:dyDescent="0.25">
      <c r="A99" s="24" t="e">
        <f t="shared" ca="1" si="32"/>
        <v>#VALUE!</v>
      </c>
      <c r="B99" s="24">
        <v>12</v>
      </c>
      <c r="C99" s="24">
        <v>41</v>
      </c>
      <c r="D99" s="24">
        <v>35</v>
      </c>
      <c r="E99">
        <v>415011</v>
      </c>
      <c r="F99" s="2" t="s">
        <v>2</v>
      </c>
      <c r="G99" s="2" t="str">
        <f t="shared" si="33"/>
        <v>https://www.oreht.ru/modules.php?name=orehtPriceLS&amp;op=Search&amp;page=1&amp;stext=415011</v>
      </c>
      <c r="I99">
        <v>415011</v>
      </c>
      <c r="J99" t="s">
        <v>2</v>
      </c>
      <c r="K99" t="s">
        <v>244</v>
      </c>
      <c r="L99" t="s">
        <v>245</v>
      </c>
      <c r="M99">
        <v>49</v>
      </c>
      <c r="O99" s="26">
        <f>Таблица1_2[[#This Row],[Цена]]</f>
        <v>49</v>
      </c>
      <c r="P99" s="17">
        <v>0.36</v>
      </c>
      <c r="Q99" s="26">
        <f t="shared" si="34"/>
        <v>17.64</v>
      </c>
      <c r="R99" s="8">
        <f t="shared" si="35"/>
        <v>0.12</v>
      </c>
      <c r="S99" s="18" t="e">
        <f t="shared" ca="1" si="36"/>
        <v>#VALUE!</v>
      </c>
      <c r="T99" s="18" t="e">
        <f t="shared" ca="1" si="37"/>
        <v>#VALUE!</v>
      </c>
      <c r="U99" s="18" t="e">
        <f t="shared" ca="1" si="38"/>
        <v>#VALUE!</v>
      </c>
      <c r="V99" s="18" t="e">
        <f t="shared" ca="1" si="39"/>
        <v>#VALUE!</v>
      </c>
      <c r="W99" s="29" t="e">
        <f t="shared" ca="1" si="40"/>
        <v>#VALUE!</v>
      </c>
      <c r="X99" s="19" t="e">
        <f t="shared" ca="1" si="41"/>
        <v>#VALUE!</v>
      </c>
      <c r="Y99" s="19" t="e">
        <f t="shared" ca="1" si="42"/>
        <v>#VALUE!</v>
      </c>
      <c r="Z99" s="31" t="e">
        <f t="shared" ca="1" si="43"/>
        <v>#VALUE!</v>
      </c>
      <c r="AA99" s="31" t="e">
        <f t="shared" ca="1" si="44"/>
        <v>#VALUE!</v>
      </c>
      <c r="AB99" s="20" t="e">
        <f t="shared" ca="1" si="45"/>
        <v>#VALUE!</v>
      </c>
      <c r="AC99" s="20" t="e">
        <f t="shared" ca="1" si="46"/>
        <v>#VALUE!</v>
      </c>
      <c r="AD99" s="6" t="e">
        <f t="shared" ca="1" si="47"/>
        <v>#VALUE!</v>
      </c>
      <c r="AE99" s="21" t="e">
        <f t="shared" ca="1" si="48"/>
        <v>#VALUE!</v>
      </c>
    </row>
    <row r="100" spans="1:31" hidden="1" x14ac:dyDescent="0.25">
      <c r="A100" s="24">
        <f t="shared" ca="1" si="32"/>
        <v>20</v>
      </c>
      <c r="B100" s="24">
        <v>12</v>
      </c>
      <c r="C100" s="24">
        <v>45</v>
      </c>
      <c r="D100" s="24">
        <v>35</v>
      </c>
      <c r="E100">
        <v>341275</v>
      </c>
      <c r="F100" s="2" t="s">
        <v>2</v>
      </c>
      <c r="G100" s="2" t="str">
        <f t="shared" si="33"/>
        <v>https://www.oreht.ru/modules.php?name=orehtPriceLS&amp;op=Search&amp;page=1&amp;stext=341275</v>
      </c>
      <c r="I100">
        <v>341275</v>
      </c>
      <c r="J100" t="s">
        <v>2</v>
      </c>
      <c r="K100" t="s">
        <v>246</v>
      </c>
      <c r="L100" t="s">
        <v>247</v>
      </c>
      <c r="M100" t="s">
        <v>248</v>
      </c>
      <c r="O100" s="26" t="str">
        <f>Таблица1_2[[#This Row],[Цена]]</f>
        <v xml:space="preserve">48,7 </v>
      </c>
      <c r="P100" s="17">
        <v>0.36</v>
      </c>
      <c r="Q100" s="26">
        <f t="shared" si="34"/>
        <v>17.532</v>
      </c>
      <c r="R100" s="8">
        <f t="shared" si="35"/>
        <v>0.12</v>
      </c>
      <c r="S100" s="18">
        <f t="shared" ca="1" si="36"/>
        <v>24.374193548387098</v>
      </c>
      <c r="T100" s="18">
        <f t="shared" ca="1" si="37"/>
        <v>100</v>
      </c>
      <c r="U100" s="18">
        <f t="shared" ca="1" si="38"/>
        <v>100</v>
      </c>
      <c r="V100" s="18">
        <f t="shared" ca="1" si="39"/>
        <v>14.218279569892475</v>
      </c>
      <c r="W100" s="29">
        <f t="shared" ca="1" si="40"/>
        <v>203.11827956989248</v>
      </c>
      <c r="X100" s="19">
        <f t="shared" ca="1" si="41"/>
        <v>87.050691244239644</v>
      </c>
      <c r="Y100" s="19">
        <f t="shared" ca="1" si="42"/>
        <v>0</v>
      </c>
      <c r="Z100" s="31">
        <f t="shared" ca="1" si="43"/>
        <v>290.16897081413214</v>
      </c>
      <c r="AA100" s="31">
        <f t="shared" ca="1" si="44"/>
        <v>290</v>
      </c>
      <c r="AB100" s="20">
        <f t="shared" ca="1" si="45"/>
        <v>4.170806562010112</v>
      </c>
      <c r="AC100" s="20">
        <f t="shared" ca="1" si="46"/>
        <v>8.6314240338803597E-2</v>
      </c>
      <c r="AD100" s="6">
        <f t="shared" ca="1" si="47"/>
        <v>15.825806451612905</v>
      </c>
      <c r="AE100" s="21">
        <f t="shared" ca="1" si="48"/>
        <v>0.32496522487911506</v>
      </c>
    </row>
    <row r="101" spans="1:31" hidden="1" x14ac:dyDescent="0.25">
      <c r="A101" s="24" t="e">
        <f t="shared" ca="1" si="32"/>
        <v>#VALUE!</v>
      </c>
      <c r="B101" s="24">
        <v>12</v>
      </c>
      <c r="C101" s="24">
        <v>67</v>
      </c>
      <c r="D101" s="24">
        <v>35</v>
      </c>
      <c r="E101">
        <v>211917</v>
      </c>
      <c r="F101" s="2" t="s">
        <v>2</v>
      </c>
      <c r="G101" s="2" t="str">
        <f t="shared" si="33"/>
        <v>https://www.oreht.ru/modules.php?name=orehtPriceLS&amp;op=Search&amp;page=1&amp;stext=211917</v>
      </c>
      <c r="I101">
        <v>211917</v>
      </c>
      <c r="J101" t="s">
        <v>2</v>
      </c>
      <c r="K101" t="s">
        <v>249</v>
      </c>
      <c r="L101" t="s">
        <v>250</v>
      </c>
      <c r="M101">
        <v>49</v>
      </c>
      <c r="O101" s="26">
        <f>Таблица1_2[[#This Row],[Цена]]</f>
        <v>49</v>
      </c>
      <c r="P101" s="17">
        <v>0.36</v>
      </c>
      <c r="Q101" s="26">
        <f t="shared" si="34"/>
        <v>17.64</v>
      </c>
      <c r="R101" s="8">
        <f t="shared" si="35"/>
        <v>0.12</v>
      </c>
      <c r="S101" s="18" t="e">
        <f t="shared" ca="1" si="36"/>
        <v>#VALUE!</v>
      </c>
      <c r="T101" s="18" t="e">
        <f t="shared" ca="1" si="37"/>
        <v>#VALUE!</v>
      </c>
      <c r="U101" s="18" t="e">
        <f t="shared" ca="1" si="38"/>
        <v>#VALUE!</v>
      </c>
      <c r="V101" s="18" t="e">
        <f t="shared" ca="1" si="39"/>
        <v>#VALUE!</v>
      </c>
      <c r="W101" s="29" t="e">
        <f t="shared" ca="1" si="40"/>
        <v>#VALUE!</v>
      </c>
      <c r="X101" s="19" t="e">
        <f t="shared" ca="1" si="41"/>
        <v>#VALUE!</v>
      </c>
      <c r="Y101" s="19" t="e">
        <f t="shared" ca="1" si="42"/>
        <v>#VALUE!</v>
      </c>
      <c r="Z101" s="31" t="e">
        <f t="shared" ca="1" si="43"/>
        <v>#VALUE!</v>
      </c>
      <c r="AA101" s="31" t="e">
        <f t="shared" ca="1" si="44"/>
        <v>#VALUE!</v>
      </c>
      <c r="AB101" s="20" t="e">
        <f t="shared" ca="1" si="45"/>
        <v>#VALUE!</v>
      </c>
      <c r="AC101" s="20" t="e">
        <f t="shared" ca="1" si="46"/>
        <v>#VALUE!</v>
      </c>
      <c r="AD101" s="6" t="e">
        <f t="shared" ca="1" si="47"/>
        <v>#VALUE!</v>
      </c>
      <c r="AE101" s="21" t="e">
        <f t="shared" ca="1" si="48"/>
        <v>#VALUE!</v>
      </c>
    </row>
    <row r="102" spans="1:31" hidden="1" x14ac:dyDescent="0.25">
      <c r="A102" s="24" t="e">
        <f t="shared" ca="1" si="32"/>
        <v>#VALUE!</v>
      </c>
      <c r="B102" s="24">
        <v>12</v>
      </c>
      <c r="C102" s="24">
        <v>45</v>
      </c>
      <c r="D102" s="24">
        <v>35</v>
      </c>
      <c r="E102">
        <v>432333</v>
      </c>
      <c r="F102" s="2" t="s">
        <v>2</v>
      </c>
      <c r="G102" s="2" t="str">
        <f t="shared" si="33"/>
        <v>https://www.oreht.ru/modules.php?name=orehtPriceLS&amp;op=Search&amp;page=1&amp;stext=432333</v>
      </c>
      <c r="I102">
        <v>432333</v>
      </c>
      <c r="J102" t="s">
        <v>2</v>
      </c>
      <c r="K102" t="s">
        <v>251</v>
      </c>
      <c r="L102" t="s">
        <v>252</v>
      </c>
      <c r="M102">
        <v>50</v>
      </c>
      <c r="O102" s="26">
        <f>Таблица1_2[[#This Row],[Цена]]</f>
        <v>50</v>
      </c>
      <c r="P102" s="17">
        <v>0.36</v>
      </c>
      <c r="Q102" s="26">
        <f t="shared" si="34"/>
        <v>18</v>
      </c>
      <c r="R102" s="8">
        <f t="shared" si="35"/>
        <v>0.12</v>
      </c>
      <c r="S102" s="18" t="e">
        <f t="shared" ca="1" si="36"/>
        <v>#VALUE!</v>
      </c>
      <c r="T102" s="18" t="e">
        <f t="shared" ca="1" si="37"/>
        <v>#VALUE!</v>
      </c>
      <c r="U102" s="18" t="e">
        <f t="shared" ca="1" si="38"/>
        <v>#VALUE!</v>
      </c>
      <c r="V102" s="18" t="e">
        <f t="shared" ca="1" si="39"/>
        <v>#VALUE!</v>
      </c>
      <c r="W102" s="29" t="e">
        <f t="shared" ca="1" si="40"/>
        <v>#VALUE!</v>
      </c>
      <c r="X102" s="19" t="e">
        <f t="shared" ca="1" si="41"/>
        <v>#VALUE!</v>
      </c>
      <c r="Y102" s="19" t="e">
        <f t="shared" ca="1" si="42"/>
        <v>#VALUE!</v>
      </c>
      <c r="Z102" s="31" t="e">
        <f t="shared" ca="1" si="43"/>
        <v>#VALUE!</v>
      </c>
      <c r="AA102" s="31" t="e">
        <f t="shared" ca="1" si="44"/>
        <v>#VALUE!</v>
      </c>
      <c r="AB102" s="20" t="e">
        <f t="shared" ca="1" si="45"/>
        <v>#VALUE!</v>
      </c>
      <c r="AC102" s="20" t="e">
        <f t="shared" ca="1" si="46"/>
        <v>#VALUE!</v>
      </c>
      <c r="AD102" s="6" t="e">
        <f t="shared" ca="1" si="47"/>
        <v>#VALUE!</v>
      </c>
      <c r="AE102" s="21" t="e">
        <f t="shared" ca="1" si="48"/>
        <v>#VALUE!</v>
      </c>
    </row>
    <row r="103" spans="1:31" hidden="1" x14ac:dyDescent="0.25">
      <c r="A103" s="24">
        <f t="shared" ca="1" si="32"/>
        <v>20</v>
      </c>
      <c r="B103" s="24">
        <v>12</v>
      </c>
      <c r="C103" s="24">
        <v>43</v>
      </c>
      <c r="D103" s="24">
        <v>35</v>
      </c>
      <c r="E103">
        <v>407123</v>
      </c>
      <c r="F103" s="2" t="s">
        <v>2</v>
      </c>
      <c r="G103" s="2" t="str">
        <f t="shared" si="33"/>
        <v>https://www.oreht.ru/modules.php?name=orehtPriceLS&amp;op=Search&amp;page=1&amp;stext=407123</v>
      </c>
      <c r="I103">
        <v>407123</v>
      </c>
      <c r="J103" t="s">
        <v>2</v>
      </c>
      <c r="K103" t="s">
        <v>253</v>
      </c>
      <c r="L103" t="s">
        <v>254</v>
      </c>
      <c r="M103" t="s">
        <v>243</v>
      </c>
      <c r="O103" s="26" t="str">
        <f>Таблица1_2[[#This Row],[Цена]]</f>
        <v xml:space="preserve">48,4 </v>
      </c>
      <c r="P103" s="17">
        <v>0.36</v>
      </c>
      <c r="Q103" s="26">
        <f t="shared" si="34"/>
        <v>17.423999999999999</v>
      </c>
      <c r="R103" s="8">
        <f t="shared" si="35"/>
        <v>0.12</v>
      </c>
      <c r="S103" s="18">
        <f t="shared" ca="1" si="36"/>
        <v>24.021114369501468</v>
      </c>
      <c r="T103" s="18">
        <f t="shared" ca="1" si="37"/>
        <v>98</v>
      </c>
      <c r="U103" s="18">
        <f t="shared" ca="1" si="38"/>
        <v>98</v>
      </c>
      <c r="V103" s="18">
        <f t="shared" ca="1" si="39"/>
        <v>14.012316715542527</v>
      </c>
      <c r="W103" s="29">
        <f t="shared" ca="1" si="40"/>
        <v>200.17595307917892</v>
      </c>
      <c r="X103" s="19">
        <f t="shared" ca="1" si="41"/>
        <v>85.78969417679096</v>
      </c>
      <c r="Y103" s="19">
        <f t="shared" ca="1" si="42"/>
        <v>0</v>
      </c>
      <c r="Z103" s="31">
        <f t="shared" ca="1" si="43"/>
        <v>285.96564725596988</v>
      </c>
      <c r="AA103" s="31">
        <f t="shared" ca="1" si="44"/>
        <v>290</v>
      </c>
      <c r="AB103" s="20">
        <f t="shared" ca="1" si="45"/>
        <v>4.1358667991565898</v>
      </c>
      <c r="AC103" s="20">
        <f t="shared" ca="1" si="46"/>
        <v>8.7043422209200097E-2</v>
      </c>
      <c r="AD103" s="6">
        <f t="shared" ca="1" si="47"/>
        <v>15.742521994134911</v>
      </c>
      <c r="AE103" s="21">
        <f t="shared" ca="1" si="48"/>
        <v>0.32525871888708496</v>
      </c>
    </row>
    <row r="104" spans="1:31" hidden="1" x14ac:dyDescent="0.25">
      <c r="A104" s="24">
        <f t="shared" ca="1" si="32"/>
        <v>20</v>
      </c>
      <c r="B104" s="24">
        <v>12</v>
      </c>
      <c r="C104" s="24">
        <v>45</v>
      </c>
      <c r="D104" s="24">
        <v>35</v>
      </c>
      <c r="E104">
        <v>400079</v>
      </c>
      <c r="F104" s="2" t="s">
        <v>2</v>
      </c>
      <c r="G104" s="2" t="str">
        <f t="shared" si="33"/>
        <v>https://www.oreht.ru/modules.php?name=orehtPriceLS&amp;op=Search&amp;page=1&amp;stext=400079</v>
      </c>
      <c r="I104">
        <v>400079</v>
      </c>
      <c r="J104" t="s">
        <v>2</v>
      </c>
      <c r="K104" t="s">
        <v>255</v>
      </c>
      <c r="L104" t="s">
        <v>256</v>
      </c>
      <c r="M104" t="s">
        <v>236</v>
      </c>
      <c r="O104" s="26" t="str">
        <f>Таблица1_2[[#This Row],[Цена]]</f>
        <v xml:space="preserve">48,1 </v>
      </c>
      <c r="P104" s="17">
        <v>0.36</v>
      </c>
      <c r="Q104" s="26">
        <f t="shared" si="34"/>
        <v>17.315999999999999</v>
      </c>
      <c r="R104" s="8">
        <f t="shared" si="35"/>
        <v>0.12</v>
      </c>
      <c r="S104" s="18">
        <f t="shared" ca="1" si="36"/>
        <v>24.254545454545454</v>
      </c>
      <c r="T104" s="18">
        <f t="shared" ca="1" si="37"/>
        <v>100</v>
      </c>
      <c r="U104" s="18">
        <f t="shared" ca="1" si="38"/>
        <v>100</v>
      </c>
      <c r="V104" s="18">
        <f t="shared" ca="1" si="39"/>
        <v>14.14848484848485</v>
      </c>
      <c r="W104" s="29">
        <f t="shared" ca="1" si="40"/>
        <v>202.12121212121212</v>
      </c>
      <c r="X104" s="19">
        <f t="shared" ca="1" si="41"/>
        <v>86.623376623376629</v>
      </c>
      <c r="Y104" s="19">
        <f t="shared" ca="1" si="42"/>
        <v>0</v>
      </c>
      <c r="Z104" s="31">
        <f t="shared" ca="1" si="43"/>
        <v>288.74458874458878</v>
      </c>
      <c r="AA104" s="31">
        <f t="shared" ca="1" si="44"/>
        <v>290</v>
      </c>
      <c r="AB104" s="20">
        <f t="shared" ca="1" si="45"/>
        <v>4.2021042021042021</v>
      </c>
      <c r="AC104" s="20">
        <f t="shared" ca="1" si="46"/>
        <v>8.5671364317841073E-2</v>
      </c>
      <c r="AD104" s="6">
        <f t="shared" ca="1" si="47"/>
        <v>15.618181818181817</v>
      </c>
      <c r="AE104" s="21">
        <f t="shared" ca="1" si="48"/>
        <v>0.32470232470232469</v>
      </c>
    </row>
    <row r="105" spans="1:31" hidden="1" x14ac:dyDescent="0.25">
      <c r="A105" s="24">
        <f t="shared" ca="1" si="32"/>
        <v>20</v>
      </c>
      <c r="B105" s="24">
        <v>12</v>
      </c>
      <c r="C105" s="24">
        <v>40</v>
      </c>
      <c r="D105" s="24">
        <v>35</v>
      </c>
      <c r="E105">
        <v>366662</v>
      </c>
      <c r="F105" s="2" t="s">
        <v>2</v>
      </c>
      <c r="G105" s="2" t="str">
        <f t="shared" si="33"/>
        <v>https://www.oreht.ru/modules.php?name=orehtPriceLS&amp;op=Search&amp;page=1&amp;stext=366662</v>
      </c>
      <c r="I105">
        <v>366662</v>
      </c>
      <c r="J105" t="s">
        <v>2</v>
      </c>
      <c r="K105" t="s">
        <v>257</v>
      </c>
      <c r="L105" t="s">
        <v>258</v>
      </c>
      <c r="M105" t="s">
        <v>259</v>
      </c>
      <c r="O105" s="26" t="str">
        <f>Таблица1_2[[#This Row],[Цена]]</f>
        <v xml:space="preserve">51,2 </v>
      </c>
      <c r="P105" s="17">
        <v>0.36</v>
      </c>
      <c r="Q105" s="26">
        <f t="shared" si="34"/>
        <v>18.431999999999999</v>
      </c>
      <c r="R105" s="8">
        <f t="shared" si="35"/>
        <v>0.12</v>
      </c>
      <c r="S105" s="18">
        <f t="shared" ca="1" si="36"/>
        <v>24.13958944281525</v>
      </c>
      <c r="T105" s="18">
        <f t="shared" ca="1" si="37"/>
        <v>95</v>
      </c>
      <c r="U105" s="18">
        <f t="shared" ca="1" si="38"/>
        <v>95</v>
      </c>
      <c r="V105" s="18">
        <f t="shared" ca="1" si="39"/>
        <v>14.081427174975564</v>
      </c>
      <c r="W105" s="29">
        <f t="shared" ca="1" si="40"/>
        <v>201.16324535679377</v>
      </c>
      <c r="X105" s="19">
        <f t="shared" ca="1" si="41"/>
        <v>86.2128194386259</v>
      </c>
      <c r="Y105" s="19">
        <f t="shared" ca="1" si="42"/>
        <v>0</v>
      </c>
      <c r="Z105" s="31">
        <f t="shared" ca="1" si="43"/>
        <v>287.37606479541967</v>
      </c>
      <c r="AA105" s="31">
        <f t="shared" ca="1" si="44"/>
        <v>290</v>
      </c>
      <c r="AB105" s="20">
        <f t="shared" ca="1" si="45"/>
        <v>3.928969635874878</v>
      </c>
      <c r="AC105" s="20">
        <f t="shared" ca="1" si="46"/>
        <v>9.1627076145585282E-2</v>
      </c>
      <c r="AD105" s="6">
        <f t="shared" ca="1" si="47"/>
        <v>16.74222873900294</v>
      </c>
      <c r="AE105" s="21">
        <f t="shared" ca="1" si="48"/>
        <v>0.32699665505865116</v>
      </c>
    </row>
    <row r="106" spans="1:31" hidden="1" x14ac:dyDescent="0.25">
      <c r="A106" s="24">
        <f t="shared" ca="1" si="32"/>
        <v>20</v>
      </c>
      <c r="B106" s="24">
        <v>10</v>
      </c>
      <c r="C106" s="24">
        <v>45</v>
      </c>
      <c r="D106" s="24">
        <v>35</v>
      </c>
      <c r="E106">
        <v>400730</v>
      </c>
      <c r="F106" s="2" t="s">
        <v>2</v>
      </c>
      <c r="G106" s="2" t="str">
        <f t="shared" si="33"/>
        <v>https://www.oreht.ru/modules.php?name=orehtPriceLS&amp;op=Search&amp;page=1&amp;stext=400730</v>
      </c>
      <c r="I106">
        <v>400730</v>
      </c>
      <c r="J106" t="s">
        <v>2</v>
      </c>
      <c r="K106" t="s">
        <v>260</v>
      </c>
      <c r="L106" t="s">
        <v>261</v>
      </c>
      <c r="M106" t="s">
        <v>259</v>
      </c>
      <c r="O106" s="26" t="str">
        <f>Таблица1_2[[#This Row],[Цена]]</f>
        <v xml:space="preserve">51,2 </v>
      </c>
      <c r="P106" s="17">
        <v>0.36</v>
      </c>
      <c r="Q106" s="26">
        <f t="shared" si="34"/>
        <v>18.431999999999999</v>
      </c>
      <c r="R106" s="8">
        <f t="shared" si="35"/>
        <v>0.1</v>
      </c>
      <c r="S106" s="18">
        <f t="shared" ca="1" si="36"/>
        <v>20.266666666666666</v>
      </c>
      <c r="T106" s="18">
        <f t="shared" ca="1" si="37"/>
        <v>100</v>
      </c>
      <c r="U106" s="18">
        <f t="shared" ca="1" si="38"/>
        <v>100</v>
      </c>
      <c r="V106" s="18">
        <f t="shared" ca="1" si="39"/>
        <v>14.186666666666667</v>
      </c>
      <c r="W106" s="29">
        <f t="shared" ca="1" si="40"/>
        <v>202.66666666666666</v>
      </c>
      <c r="X106" s="19">
        <f t="shared" ca="1" si="41"/>
        <v>86.857142857142847</v>
      </c>
      <c r="Y106" s="19">
        <f t="shared" ca="1" si="42"/>
        <v>0</v>
      </c>
      <c r="Z106" s="31">
        <f t="shared" ca="1" si="43"/>
        <v>289.52380952380952</v>
      </c>
      <c r="AA106" s="31">
        <f t="shared" ca="1" si="44"/>
        <v>290</v>
      </c>
      <c r="AB106" s="20">
        <f t="shared" ca="1" si="45"/>
        <v>3.958333333333333</v>
      </c>
      <c r="AC106" s="20">
        <f t="shared" ca="1" si="46"/>
        <v>9.0947368421052624E-2</v>
      </c>
      <c r="AD106" s="6">
        <f t="shared" ca="1" si="47"/>
        <v>17.013333333333321</v>
      </c>
      <c r="AE106" s="21">
        <f t="shared" ca="1" si="48"/>
        <v>0.33229166666666643</v>
      </c>
    </row>
    <row r="107" spans="1:31" hidden="1" x14ac:dyDescent="0.25">
      <c r="A107" s="24">
        <f t="shared" ca="1" si="32"/>
        <v>20</v>
      </c>
      <c r="B107" s="24">
        <v>12</v>
      </c>
      <c r="C107" s="24">
        <v>40</v>
      </c>
      <c r="D107" s="24">
        <v>35</v>
      </c>
      <c r="E107">
        <v>418592</v>
      </c>
      <c r="F107" s="2" t="s">
        <v>2</v>
      </c>
      <c r="G107" s="2" t="str">
        <f t="shared" si="33"/>
        <v>https://www.oreht.ru/modules.php?name=orehtPriceLS&amp;op=Search&amp;page=1&amp;stext=418592</v>
      </c>
      <c r="I107">
        <v>418592</v>
      </c>
      <c r="J107" t="s">
        <v>2</v>
      </c>
      <c r="K107" t="s">
        <v>262</v>
      </c>
      <c r="L107" t="s">
        <v>263</v>
      </c>
      <c r="M107" t="s">
        <v>264</v>
      </c>
      <c r="O107" s="26" t="str">
        <f>Таблица1_2[[#This Row],[Цена]]</f>
        <v xml:space="preserve">51,4 </v>
      </c>
      <c r="P107" s="17">
        <v>0.36</v>
      </c>
      <c r="Q107" s="26">
        <f t="shared" si="34"/>
        <v>18.503999999999998</v>
      </c>
      <c r="R107" s="8">
        <f t="shared" si="35"/>
        <v>0.12</v>
      </c>
      <c r="S107" s="18">
        <f t="shared" ca="1" si="36"/>
        <v>24.179472140762464</v>
      </c>
      <c r="T107" s="18">
        <f t="shared" ca="1" si="37"/>
        <v>95</v>
      </c>
      <c r="U107" s="18">
        <f t="shared" ca="1" si="38"/>
        <v>95</v>
      </c>
      <c r="V107" s="18">
        <f t="shared" ca="1" si="39"/>
        <v>14.104692082111439</v>
      </c>
      <c r="W107" s="29">
        <f t="shared" ca="1" si="40"/>
        <v>201.49560117302053</v>
      </c>
      <c r="X107" s="19">
        <f t="shared" ca="1" si="41"/>
        <v>86.355257645580238</v>
      </c>
      <c r="Y107" s="19">
        <f t="shared" ca="1" si="42"/>
        <v>0</v>
      </c>
      <c r="Z107" s="31">
        <f t="shared" ca="1" si="43"/>
        <v>287.85085881860078</v>
      </c>
      <c r="AA107" s="31">
        <f t="shared" ca="1" si="44"/>
        <v>290</v>
      </c>
      <c r="AB107" s="20">
        <f t="shared" ca="1" si="45"/>
        <v>3.9201478827435903</v>
      </c>
      <c r="AC107" s="20">
        <f t="shared" ca="1" si="46"/>
        <v>9.1833270266336767E-2</v>
      </c>
      <c r="AD107" s="6">
        <f t="shared" ca="1" si="47"/>
        <v>16.811436950146636</v>
      </c>
      <c r="AE107" s="21">
        <f t="shared" ca="1" si="48"/>
        <v>0.32707075778495404</v>
      </c>
    </row>
    <row r="108" spans="1:31" hidden="1" x14ac:dyDescent="0.25">
      <c r="A108" s="24">
        <f t="shared" ca="1" si="32"/>
        <v>20</v>
      </c>
      <c r="B108" s="24">
        <v>12</v>
      </c>
      <c r="C108" s="24">
        <v>45</v>
      </c>
      <c r="D108" s="24">
        <v>35</v>
      </c>
      <c r="E108">
        <v>402231</v>
      </c>
      <c r="F108" s="2" t="s">
        <v>2</v>
      </c>
      <c r="G108" s="2" t="str">
        <f t="shared" si="33"/>
        <v>https://www.oreht.ru/modules.php?name=orehtPriceLS&amp;op=Search&amp;page=1&amp;stext=402231</v>
      </c>
      <c r="I108">
        <v>402231</v>
      </c>
      <c r="J108" t="s">
        <v>2</v>
      </c>
      <c r="K108" t="s">
        <v>265</v>
      </c>
      <c r="L108" t="s">
        <v>266</v>
      </c>
      <c r="M108" t="s">
        <v>264</v>
      </c>
      <c r="O108" s="26" t="str">
        <f>Таблица1_2[[#This Row],[Цена]]</f>
        <v xml:space="preserve">51,4 </v>
      </c>
      <c r="P108" s="17">
        <v>0.36</v>
      </c>
      <c r="Q108" s="26">
        <f t="shared" si="34"/>
        <v>18.503999999999998</v>
      </c>
      <c r="R108" s="8">
        <f t="shared" si="35"/>
        <v>0.12</v>
      </c>
      <c r="S108" s="18">
        <f t="shared" ca="1" si="36"/>
        <v>24.912609970674485</v>
      </c>
      <c r="T108" s="18">
        <f t="shared" ca="1" si="37"/>
        <v>100</v>
      </c>
      <c r="U108" s="18">
        <f t="shared" ca="1" si="38"/>
        <v>100</v>
      </c>
      <c r="V108" s="18">
        <f t="shared" ca="1" si="39"/>
        <v>14.532355816226785</v>
      </c>
      <c r="W108" s="29">
        <f t="shared" ca="1" si="40"/>
        <v>207.60508308895405</v>
      </c>
      <c r="X108" s="19">
        <f t="shared" ca="1" si="41"/>
        <v>88.973607038123163</v>
      </c>
      <c r="Y108" s="19">
        <f t="shared" ca="1" si="42"/>
        <v>0</v>
      </c>
      <c r="Z108" s="31">
        <f t="shared" ca="1" si="43"/>
        <v>296.57869012707721</v>
      </c>
      <c r="AA108" s="31">
        <f t="shared" ca="1" si="44"/>
        <v>290</v>
      </c>
      <c r="AB108" s="20">
        <f t="shared" ca="1" si="45"/>
        <v>4.0390093986177833</v>
      </c>
      <c r="AC108" s="20">
        <f t="shared" ca="1" si="46"/>
        <v>8.9130765608814388E-2</v>
      </c>
      <c r="AD108" s="6">
        <f t="shared" ca="1" si="47"/>
        <v>16.760117302052784</v>
      </c>
      <c r="AE108" s="21">
        <f t="shared" ca="1" si="48"/>
        <v>0.3260723210516106</v>
      </c>
    </row>
    <row r="109" spans="1:31" hidden="1" x14ac:dyDescent="0.25">
      <c r="A109" s="24">
        <f t="shared" ca="1" si="32"/>
        <v>20</v>
      </c>
      <c r="B109" s="24">
        <v>12</v>
      </c>
      <c r="C109" s="24">
        <v>40</v>
      </c>
      <c r="D109" s="24">
        <v>35</v>
      </c>
      <c r="E109">
        <v>415051</v>
      </c>
      <c r="F109" s="2" t="s">
        <v>2</v>
      </c>
      <c r="G109" s="2" t="str">
        <f t="shared" si="33"/>
        <v>https://www.oreht.ru/modules.php?name=orehtPriceLS&amp;op=Search&amp;page=1&amp;stext=415051</v>
      </c>
      <c r="I109">
        <v>415051</v>
      </c>
      <c r="J109" t="s">
        <v>2</v>
      </c>
      <c r="K109" t="s">
        <v>267</v>
      </c>
      <c r="L109" t="s">
        <v>268</v>
      </c>
      <c r="M109" t="s">
        <v>269</v>
      </c>
      <c r="O109" s="26" t="str">
        <f>Таблица1_2[[#This Row],[Цена]]</f>
        <v xml:space="preserve">51,6 </v>
      </c>
      <c r="P109" s="17">
        <v>0.36</v>
      </c>
      <c r="Q109" s="26">
        <f t="shared" si="34"/>
        <v>18.576000000000001</v>
      </c>
      <c r="R109" s="8">
        <f t="shared" si="35"/>
        <v>0.12</v>
      </c>
      <c r="S109" s="18">
        <f t="shared" ca="1" si="36"/>
        <v>24.219354838709677</v>
      </c>
      <c r="T109" s="18">
        <f t="shared" ca="1" si="37"/>
        <v>95</v>
      </c>
      <c r="U109" s="18">
        <f t="shared" ca="1" si="38"/>
        <v>95</v>
      </c>
      <c r="V109" s="18">
        <f t="shared" ca="1" si="39"/>
        <v>14.127956989247314</v>
      </c>
      <c r="W109" s="29">
        <f t="shared" ca="1" si="40"/>
        <v>201.82795698924733</v>
      </c>
      <c r="X109" s="19">
        <f t="shared" ca="1" si="41"/>
        <v>86.497695852534562</v>
      </c>
      <c r="Y109" s="19">
        <f t="shared" ca="1" si="42"/>
        <v>0</v>
      </c>
      <c r="Z109" s="31">
        <f t="shared" ca="1" si="43"/>
        <v>288.3256528417819</v>
      </c>
      <c r="AA109" s="31">
        <f t="shared" ca="1" si="44"/>
        <v>290</v>
      </c>
      <c r="AB109" s="20">
        <f t="shared" ca="1" si="45"/>
        <v>3.9113945152954908</v>
      </c>
      <c r="AC109" s="20">
        <f t="shared" ca="1" si="46"/>
        <v>9.20387852956846E-2</v>
      </c>
      <c r="AD109" s="6">
        <f t="shared" ca="1" si="47"/>
        <v>16.880645161290339</v>
      </c>
      <c r="AE109" s="21">
        <f t="shared" ca="1" si="48"/>
        <v>0.32714428607151819</v>
      </c>
    </row>
    <row r="110" spans="1:31" hidden="1" x14ac:dyDescent="0.25">
      <c r="A110" s="24">
        <f t="shared" ca="1" si="32"/>
        <v>20</v>
      </c>
      <c r="B110" s="24">
        <v>12</v>
      </c>
      <c r="C110" s="24">
        <v>43</v>
      </c>
      <c r="D110" s="24">
        <v>35</v>
      </c>
      <c r="E110">
        <v>410949</v>
      </c>
      <c r="F110" s="2" t="s">
        <v>2</v>
      </c>
      <c r="G110" s="2" t="str">
        <f t="shared" si="33"/>
        <v>https://www.oreht.ru/modules.php?name=orehtPriceLS&amp;op=Search&amp;page=1&amp;stext=410949</v>
      </c>
      <c r="I110">
        <v>410949</v>
      </c>
      <c r="J110" t="s">
        <v>2</v>
      </c>
      <c r="K110" t="s">
        <v>270</v>
      </c>
      <c r="L110" t="s">
        <v>271</v>
      </c>
      <c r="M110" t="s">
        <v>272</v>
      </c>
      <c r="O110" s="26" t="str">
        <f>Таблица1_2[[#This Row],[Цена]]</f>
        <v xml:space="preserve">48,9 </v>
      </c>
      <c r="P110" s="17">
        <v>0.36</v>
      </c>
      <c r="Q110" s="26">
        <f t="shared" si="34"/>
        <v>17.603999999999999</v>
      </c>
      <c r="R110" s="8">
        <f t="shared" si="35"/>
        <v>0.12</v>
      </c>
      <c r="S110" s="18">
        <f t="shared" ca="1" si="36"/>
        <v>24.120821114369502</v>
      </c>
      <c r="T110" s="18">
        <f t="shared" ca="1" si="37"/>
        <v>98</v>
      </c>
      <c r="U110" s="18">
        <f t="shared" ca="1" si="38"/>
        <v>98</v>
      </c>
      <c r="V110" s="18">
        <f t="shared" ca="1" si="39"/>
        <v>14.070478983382213</v>
      </c>
      <c r="W110" s="29">
        <f t="shared" ca="1" si="40"/>
        <v>201.00684261974587</v>
      </c>
      <c r="X110" s="19">
        <f t="shared" ca="1" si="41"/>
        <v>86.145789694176813</v>
      </c>
      <c r="Y110" s="19">
        <f t="shared" ca="1" si="42"/>
        <v>0</v>
      </c>
      <c r="Z110" s="31">
        <f t="shared" ca="1" si="43"/>
        <v>287.15263231392271</v>
      </c>
      <c r="AA110" s="31">
        <f t="shared" ca="1" si="44"/>
        <v>290</v>
      </c>
      <c r="AB110" s="20">
        <f t="shared" ca="1" si="45"/>
        <v>4.1105693787269093</v>
      </c>
      <c r="AC110" s="20">
        <f t="shared" ca="1" si="46"/>
        <v>8.7579108106793743E-2</v>
      </c>
      <c r="AD110" s="6">
        <f t="shared" ca="1" si="47"/>
        <v>15.915542521994162</v>
      </c>
      <c r="AE110" s="21">
        <f t="shared" ca="1" si="48"/>
        <v>0.32547121721869454</v>
      </c>
    </row>
    <row r="111" spans="1:31" hidden="1" x14ac:dyDescent="0.25">
      <c r="A111" s="24" t="e">
        <f t="shared" ca="1" si="32"/>
        <v>#VALUE!</v>
      </c>
      <c r="B111" s="24">
        <v>12</v>
      </c>
      <c r="C111" s="24">
        <v>45</v>
      </c>
      <c r="D111" s="24">
        <v>35</v>
      </c>
      <c r="E111">
        <v>421613</v>
      </c>
      <c r="F111" s="2" t="s">
        <v>2</v>
      </c>
      <c r="G111" s="2" t="str">
        <f t="shared" si="33"/>
        <v>https://www.oreht.ru/modules.php?name=orehtPriceLS&amp;op=Search&amp;page=1&amp;stext=421613</v>
      </c>
      <c r="I111">
        <v>421613</v>
      </c>
      <c r="J111" t="s">
        <v>2</v>
      </c>
      <c r="K111" t="s">
        <v>273</v>
      </c>
      <c r="L111" t="s">
        <v>274</v>
      </c>
      <c r="M111">
        <v>53</v>
      </c>
      <c r="O111" s="26">
        <f>Таблица1_2[[#This Row],[Цена]]</f>
        <v>53</v>
      </c>
      <c r="P111" s="17">
        <v>0.37</v>
      </c>
      <c r="Q111" s="26">
        <f t="shared" si="34"/>
        <v>19.61</v>
      </c>
      <c r="R111" s="8">
        <f t="shared" si="35"/>
        <v>0.12</v>
      </c>
      <c r="S111" s="18" t="e">
        <f t="shared" ca="1" si="36"/>
        <v>#VALUE!</v>
      </c>
      <c r="T111" s="18" t="e">
        <f t="shared" ca="1" si="37"/>
        <v>#VALUE!</v>
      </c>
      <c r="U111" s="18" t="e">
        <f t="shared" ca="1" si="38"/>
        <v>#VALUE!</v>
      </c>
      <c r="V111" s="18" t="e">
        <f t="shared" ca="1" si="39"/>
        <v>#VALUE!</v>
      </c>
      <c r="W111" s="29" t="e">
        <f t="shared" ca="1" si="40"/>
        <v>#VALUE!</v>
      </c>
      <c r="X111" s="19" t="e">
        <f t="shared" ca="1" si="41"/>
        <v>#VALUE!</v>
      </c>
      <c r="Y111" s="19" t="e">
        <f t="shared" ca="1" si="42"/>
        <v>#VALUE!</v>
      </c>
      <c r="Z111" s="31" t="e">
        <f t="shared" ca="1" si="43"/>
        <v>#VALUE!</v>
      </c>
      <c r="AA111" s="31" t="e">
        <f t="shared" ca="1" si="44"/>
        <v>#VALUE!</v>
      </c>
      <c r="AB111" s="20" t="e">
        <f t="shared" ca="1" si="45"/>
        <v>#VALUE!</v>
      </c>
      <c r="AC111" s="20" t="e">
        <f t="shared" ca="1" si="46"/>
        <v>#VALUE!</v>
      </c>
      <c r="AD111" s="6" t="e">
        <f t="shared" ca="1" si="47"/>
        <v>#VALUE!</v>
      </c>
      <c r="AE111" s="21" t="e">
        <f t="shared" ca="1" si="48"/>
        <v>#VALUE!</v>
      </c>
    </row>
    <row r="112" spans="1:31" hidden="1" x14ac:dyDescent="0.25">
      <c r="A112" s="24">
        <f t="shared" ca="1" si="32"/>
        <v>20</v>
      </c>
      <c r="B112" s="24">
        <v>12</v>
      </c>
      <c r="C112" s="24">
        <v>45</v>
      </c>
      <c r="D112" s="24">
        <v>35</v>
      </c>
      <c r="E112">
        <v>262901</v>
      </c>
      <c r="F112" s="2" t="s">
        <v>2</v>
      </c>
      <c r="G112" s="2" t="str">
        <f t="shared" si="33"/>
        <v>https://www.oreht.ru/modules.php?name=orehtPriceLS&amp;op=Search&amp;page=1&amp;stext=262901</v>
      </c>
      <c r="I112">
        <v>262901</v>
      </c>
      <c r="J112" t="s">
        <v>2</v>
      </c>
      <c r="K112" t="s">
        <v>275</v>
      </c>
      <c r="M112">
        <v>51</v>
      </c>
      <c r="O112" s="26">
        <f>Таблица1_2[[#This Row],[Цена]]</f>
        <v>51</v>
      </c>
      <c r="P112" s="17">
        <v>0.37</v>
      </c>
      <c r="Q112" s="26">
        <f t="shared" si="34"/>
        <v>18.87</v>
      </c>
      <c r="R112" s="8">
        <f t="shared" si="35"/>
        <v>0.12</v>
      </c>
      <c r="S112" s="18">
        <f t="shared" ca="1" si="36"/>
        <v>24.907624633431084</v>
      </c>
      <c r="T112" s="18">
        <f t="shared" ca="1" si="37"/>
        <v>100</v>
      </c>
      <c r="U112" s="18">
        <f t="shared" ca="1" si="38"/>
        <v>100</v>
      </c>
      <c r="V112" s="18">
        <f t="shared" ca="1" si="39"/>
        <v>14.529447702834801</v>
      </c>
      <c r="W112" s="29">
        <f t="shared" ca="1" si="40"/>
        <v>207.56353861192571</v>
      </c>
      <c r="X112" s="19">
        <f t="shared" ca="1" si="41"/>
        <v>88.955802262253869</v>
      </c>
      <c r="Y112" s="19">
        <f t="shared" ca="1" si="42"/>
        <v>0</v>
      </c>
      <c r="Z112" s="31">
        <f t="shared" ca="1" si="43"/>
        <v>296.51934087417959</v>
      </c>
      <c r="AA112" s="31">
        <f t="shared" ca="1" si="44"/>
        <v>290</v>
      </c>
      <c r="AB112" s="20">
        <f t="shared" ca="1" si="45"/>
        <v>4.0698733061161905</v>
      </c>
      <c r="AC112" s="20">
        <f t="shared" ca="1" si="46"/>
        <v>9.0911920880673458E-2</v>
      </c>
      <c r="AD112" s="6">
        <f t="shared" ca="1" si="47"/>
        <v>17.126466275659823</v>
      </c>
      <c r="AE112" s="21">
        <f t="shared" ca="1" si="48"/>
        <v>0.33581306422862395</v>
      </c>
    </row>
    <row r="113" spans="1:31" hidden="1" x14ac:dyDescent="0.25">
      <c r="A113" s="24">
        <f t="shared" ca="1" si="32"/>
        <v>20</v>
      </c>
      <c r="B113" s="24">
        <v>12</v>
      </c>
      <c r="C113" s="24">
        <v>40</v>
      </c>
      <c r="D113" s="24">
        <v>35</v>
      </c>
      <c r="E113">
        <v>383569</v>
      </c>
      <c r="F113" s="2" t="s">
        <v>2</v>
      </c>
      <c r="G113" s="2" t="str">
        <f t="shared" si="33"/>
        <v>https://www.oreht.ru/modules.php?name=orehtPriceLS&amp;op=Search&amp;page=1&amp;stext=383569</v>
      </c>
      <c r="I113">
        <v>383569</v>
      </c>
      <c r="J113" t="s">
        <v>2</v>
      </c>
      <c r="K113" t="s">
        <v>276</v>
      </c>
      <c r="L113" t="s">
        <v>277</v>
      </c>
      <c r="M113" t="s">
        <v>278</v>
      </c>
      <c r="O113" s="26" t="str">
        <f>Таблица1_2[[#This Row],[Цена]]</f>
        <v xml:space="preserve">52,1 </v>
      </c>
      <c r="P113" s="17">
        <v>0.37</v>
      </c>
      <c r="Q113" s="26">
        <f t="shared" si="34"/>
        <v>19.277000000000001</v>
      </c>
      <c r="R113" s="8">
        <f t="shared" si="35"/>
        <v>0.12</v>
      </c>
      <c r="S113" s="18">
        <f t="shared" ca="1" si="36"/>
        <v>24.395454545454548</v>
      </c>
      <c r="T113" s="18">
        <f t="shared" ca="1" si="37"/>
        <v>95</v>
      </c>
      <c r="U113" s="18">
        <f t="shared" ca="1" si="38"/>
        <v>95</v>
      </c>
      <c r="V113" s="18">
        <f t="shared" ca="1" si="39"/>
        <v>14.23068181818182</v>
      </c>
      <c r="W113" s="29">
        <f t="shared" ca="1" si="40"/>
        <v>203.29545454545456</v>
      </c>
      <c r="X113" s="19">
        <f t="shared" ca="1" si="41"/>
        <v>87.126623376623385</v>
      </c>
      <c r="Y113" s="19">
        <f t="shared" ca="1" si="42"/>
        <v>0</v>
      </c>
      <c r="Z113" s="31">
        <f t="shared" ca="1" si="43"/>
        <v>290.42207792207796</v>
      </c>
      <c r="AA113" s="31">
        <f t="shared" ca="1" si="44"/>
        <v>290</v>
      </c>
      <c r="AB113" s="20">
        <f t="shared" ca="1" si="45"/>
        <v>3.902024079567266</v>
      </c>
      <c r="AC113" s="20">
        <f t="shared" ca="1" si="46"/>
        <v>9.482258244829514E-2</v>
      </c>
      <c r="AD113" s="6">
        <f t="shared" ca="1" si="47"/>
        <v>17.569318181818197</v>
      </c>
      <c r="AE113" s="21">
        <f t="shared" ca="1" si="48"/>
        <v>0.33722299773163522</v>
      </c>
    </row>
    <row r="114" spans="1:31" hidden="1" x14ac:dyDescent="0.25">
      <c r="A114" s="24">
        <f t="shared" ca="1" si="32"/>
        <v>20</v>
      </c>
      <c r="B114" s="24">
        <v>12</v>
      </c>
      <c r="C114" s="24">
        <v>43</v>
      </c>
      <c r="D114" s="24">
        <v>35</v>
      </c>
      <c r="E114">
        <v>322820</v>
      </c>
      <c r="F114" s="2" t="s">
        <v>2</v>
      </c>
      <c r="G114" s="2" t="str">
        <f t="shared" si="33"/>
        <v>https://www.oreht.ru/modules.php?name=orehtPriceLS&amp;op=Search&amp;page=1&amp;stext=322820</v>
      </c>
      <c r="I114">
        <v>322820</v>
      </c>
      <c r="J114" t="s">
        <v>2</v>
      </c>
      <c r="K114" t="s">
        <v>279</v>
      </c>
      <c r="L114" t="s">
        <v>280</v>
      </c>
      <c r="M114" t="s">
        <v>281</v>
      </c>
      <c r="O114" s="26" t="str">
        <f>Таблица1_2[[#This Row],[Цена]]</f>
        <v xml:space="preserve">52,3 </v>
      </c>
      <c r="P114" s="17">
        <v>0.36</v>
      </c>
      <c r="Q114" s="26">
        <f t="shared" si="34"/>
        <v>18.827999999999999</v>
      </c>
      <c r="R114" s="8">
        <f t="shared" si="35"/>
        <v>0.12</v>
      </c>
      <c r="S114" s="18">
        <f t="shared" ca="1" si="36"/>
        <v>24.798826979472139</v>
      </c>
      <c r="T114" s="18">
        <f t="shared" ca="1" si="37"/>
        <v>98</v>
      </c>
      <c r="U114" s="18">
        <f t="shared" ca="1" si="38"/>
        <v>98</v>
      </c>
      <c r="V114" s="18">
        <f t="shared" ca="1" si="39"/>
        <v>14.465982404692083</v>
      </c>
      <c r="W114" s="29">
        <f t="shared" ca="1" si="40"/>
        <v>206.65689149560117</v>
      </c>
      <c r="X114" s="19">
        <f t="shared" ca="1" si="41"/>
        <v>88.567239212400494</v>
      </c>
      <c r="Y114" s="19">
        <f t="shared" ca="1" si="42"/>
        <v>0</v>
      </c>
      <c r="Z114" s="31">
        <f t="shared" ca="1" si="43"/>
        <v>295.22413070800167</v>
      </c>
      <c r="AA114" s="31">
        <f t="shared" ca="1" si="44"/>
        <v>290</v>
      </c>
      <c r="AB114" s="20">
        <f t="shared" ca="1" si="45"/>
        <v>3.951374598386256</v>
      </c>
      <c r="AC114" s="20">
        <f t="shared" ca="1" si="46"/>
        <v>9.1107535121328229E-2</v>
      </c>
      <c r="AD114" s="6">
        <f t="shared" ca="1" si="47"/>
        <v>17.092082111436952</v>
      </c>
      <c r="AE114" s="21">
        <f t="shared" ca="1" si="48"/>
        <v>0.32680845337355552</v>
      </c>
    </row>
    <row r="115" spans="1:31" hidden="1" x14ac:dyDescent="0.25">
      <c r="A115" s="24" t="e">
        <f t="shared" ca="1" si="32"/>
        <v>#VALUE!</v>
      </c>
      <c r="B115" s="24">
        <v>12</v>
      </c>
      <c r="C115" s="24">
        <v>45</v>
      </c>
      <c r="D115" s="24">
        <v>35</v>
      </c>
      <c r="E115">
        <v>270676</v>
      </c>
      <c r="F115" s="2" t="s">
        <v>2</v>
      </c>
      <c r="G115" s="2" t="str">
        <f t="shared" si="33"/>
        <v>https://www.oreht.ru/modules.php?name=orehtPriceLS&amp;op=Search&amp;page=1&amp;stext=270676</v>
      </c>
      <c r="I115">
        <v>270676</v>
      </c>
      <c r="J115" t="s">
        <v>2</v>
      </c>
      <c r="K115" t="s">
        <v>282</v>
      </c>
      <c r="L115" t="s">
        <v>283</v>
      </c>
      <c r="M115">
        <v>52</v>
      </c>
      <c r="O115" s="26">
        <f>Таблица1_2[[#This Row],[Цена]]</f>
        <v>52</v>
      </c>
      <c r="P115" s="17">
        <v>0.36</v>
      </c>
      <c r="Q115" s="26">
        <f t="shared" si="34"/>
        <v>18.72</v>
      </c>
      <c r="R115" s="8">
        <f t="shared" si="35"/>
        <v>0.12</v>
      </c>
      <c r="S115" s="18" t="e">
        <f t="shared" ca="1" si="36"/>
        <v>#VALUE!</v>
      </c>
      <c r="T115" s="18" t="e">
        <f t="shared" ca="1" si="37"/>
        <v>#VALUE!</v>
      </c>
      <c r="U115" s="18" t="e">
        <f t="shared" ca="1" si="38"/>
        <v>#VALUE!</v>
      </c>
      <c r="V115" s="18" t="e">
        <f t="shared" ca="1" si="39"/>
        <v>#VALUE!</v>
      </c>
      <c r="W115" s="29" t="e">
        <f t="shared" ca="1" si="40"/>
        <v>#VALUE!</v>
      </c>
      <c r="X115" s="19" t="e">
        <f t="shared" ca="1" si="41"/>
        <v>#VALUE!</v>
      </c>
      <c r="Y115" s="19" t="e">
        <f t="shared" ca="1" si="42"/>
        <v>#VALUE!</v>
      </c>
      <c r="Z115" s="31" t="e">
        <f t="shared" ca="1" si="43"/>
        <v>#VALUE!</v>
      </c>
      <c r="AA115" s="31" t="e">
        <f t="shared" ca="1" si="44"/>
        <v>#VALUE!</v>
      </c>
      <c r="AB115" s="20" t="e">
        <f t="shared" ca="1" si="45"/>
        <v>#VALUE!</v>
      </c>
      <c r="AC115" s="20" t="e">
        <f t="shared" ca="1" si="46"/>
        <v>#VALUE!</v>
      </c>
      <c r="AD115" s="6" t="e">
        <f t="shared" ca="1" si="47"/>
        <v>#VALUE!</v>
      </c>
      <c r="AE115" s="21" t="e">
        <f t="shared" ca="1" si="48"/>
        <v>#VALUE!</v>
      </c>
    </row>
    <row r="116" spans="1:31" hidden="1" x14ac:dyDescent="0.25">
      <c r="A116" s="24">
        <f t="shared" ca="1" si="32"/>
        <v>20</v>
      </c>
      <c r="B116" s="24">
        <v>12</v>
      </c>
      <c r="C116" s="24">
        <v>40</v>
      </c>
      <c r="D116" s="24">
        <v>35</v>
      </c>
      <c r="E116">
        <v>278717</v>
      </c>
      <c r="F116" s="2" t="s">
        <v>2</v>
      </c>
      <c r="G116" s="2" t="str">
        <f t="shared" si="33"/>
        <v>https://www.oreht.ru/modules.php?name=orehtPriceLS&amp;op=Search&amp;page=1&amp;stext=278717</v>
      </c>
      <c r="I116">
        <v>278717</v>
      </c>
      <c r="J116" t="s">
        <v>2</v>
      </c>
      <c r="K116" t="s">
        <v>284</v>
      </c>
      <c r="L116" t="s">
        <v>285</v>
      </c>
      <c r="M116" t="s">
        <v>286</v>
      </c>
      <c r="O116" s="26" t="str">
        <f>Таблица1_2[[#This Row],[Цена]]</f>
        <v xml:space="preserve">51,5 </v>
      </c>
      <c r="P116" s="17">
        <v>0.36</v>
      </c>
      <c r="Q116" s="26">
        <f t="shared" si="34"/>
        <v>18.54</v>
      </c>
      <c r="R116" s="8">
        <f t="shared" si="35"/>
        <v>0.12</v>
      </c>
      <c r="S116" s="18">
        <f t="shared" ca="1" si="36"/>
        <v>24.19941348973607</v>
      </c>
      <c r="T116" s="18">
        <f t="shared" ca="1" si="37"/>
        <v>95</v>
      </c>
      <c r="U116" s="18">
        <f t="shared" ca="1" si="38"/>
        <v>95</v>
      </c>
      <c r="V116" s="18">
        <f t="shared" ca="1" si="39"/>
        <v>14.116324535679375</v>
      </c>
      <c r="W116" s="29">
        <f t="shared" ca="1" si="40"/>
        <v>201.66177908113391</v>
      </c>
      <c r="X116" s="19">
        <f t="shared" ca="1" si="41"/>
        <v>86.426476749057386</v>
      </c>
      <c r="Y116" s="19">
        <f t="shared" ca="1" si="42"/>
        <v>0</v>
      </c>
      <c r="Z116" s="31">
        <f t="shared" ca="1" si="43"/>
        <v>288.08825583019131</v>
      </c>
      <c r="AA116" s="31">
        <f t="shared" ca="1" si="44"/>
        <v>290</v>
      </c>
      <c r="AB116" s="20">
        <f t="shared" ca="1" si="45"/>
        <v>3.9157627006045419</v>
      </c>
      <c r="AC116" s="20">
        <f t="shared" ca="1" si="46"/>
        <v>9.1936112457586039E-2</v>
      </c>
      <c r="AD116" s="6">
        <f t="shared" ca="1" si="47"/>
        <v>16.846041055718459</v>
      </c>
      <c r="AE116" s="21">
        <f t="shared" ca="1" si="48"/>
        <v>0.32710759331492151</v>
      </c>
    </row>
    <row r="117" spans="1:31" hidden="1" x14ac:dyDescent="0.25">
      <c r="A117" s="24">
        <f t="shared" ca="1" si="32"/>
        <v>20</v>
      </c>
      <c r="B117" s="24">
        <v>12</v>
      </c>
      <c r="C117" s="24">
        <v>47</v>
      </c>
      <c r="D117" s="24">
        <v>35</v>
      </c>
      <c r="E117">
        <v>445252</v>
      </c>
      <c r="F117" s="2" t="s">
        <v>2</v>
      </c>
      <c r="G117" s="2" t="str">
        <f t="shared" si="33"/>
        <v>https://www.oreht.ru/modules.php?name=orehtPriceLS&amp;op=Search&amp;page=1&amp;stext=445252</v>
      </c>
      <c r="I117">
        <v>445252</v>
      </c>
      <c r="J117" t="s">
        <v>2</v>
      </c>
      <c r="K117" t="s">
        <v>287</v>
      </c>
      <c r="L117" t="s">
        <v>288</v>
      </c>
      <c r="M117" t="s">
        <v>289</v>
      </c>
      <c r="O117" s="26" t="str">
        <f>Таблица1_2[[#This Row],[Цена]]</f>
        <v xml:space="preserve">53,8 </v>
      </c>
      <c r="P117" s="17">
        <v>0.36</v>
      </c>
      <c r="Q117" s="26">
        <f t="shared" si="34"/>
        <v>19.367999999999999</v>
      </c>
      <c r="R117" s="8">
        <f t="shared" si="35"/>
        <v>0.12</v>
      </c>
      <c r="S117" s="18">
        <f t="shared" ca="1" si="36"/>
        <v>25.684457478005868</v>
      </c>
      <c r="T117" s="18">
        <f t="shared" ca="1" si="37"/>
        <v>102</v>
      </c>
      <c r="U117" s="18">
        <f t="shared" ca="1" si="38"/>
        <v>102</v>
      </c>
      <c r="V117" s="18">
        <f t="shared" ca="1" si="39"/>
        <v>14.982600195503425</v>
      </c>
      <c r="W117" s="29">
        <f t="shared" ca="1" si="40"/>
        <v>214.0371456500489</v>
      </c>
      <c r="X117" s="19">
        <f t="shared" ca="1" si="41"/>
        <v>91.730205278592379</v>
      </c>
      <c r="Y117" s="19">
        <f t="shared" ca="1" si="42"/>
        <v>0</v>
      </c>
      <c r="Z117" s="31">
        <f t="shared" ca="1" si="43"/>
        <v>305.76735092864129</v>
      </c>
      <c r="AA117" s="31">
        <f t="shared" ca="1" si="44"/>
        <v>390</v>
      </c>
      <c r="AB117" s="20">
        <f t="shared" ca="1" si="45"/>
        <v>3.9783856068782324</v>
      </c>
      <c r="AC117" s="20">
        <f t="shared" ca="1" si="46"/>
        <v>9.0488966021191067E-2</v>
      </c>
      <c r="AD117" s="6">
        <f t="shared" ca="1" si="47"/>
        <v>17.570087976539597</v>
      </c>
      <c r="AE117" s="21">
        <f t="shared" ca="1" si="48"/>
        <v>0.32658156090222301</v>
      </c>
    </row>
    <row r="118" spans="1:31" hidden="1" x14ac:dyDescent="0.25">
      <c r="A118" s="24">
        <f t="shared" ca="1" si="32"/>
        <v>20</v>
      </c>
      <c r="B118" s="24">
        <v>12</v>
      </c>
      <c r="C118" s="24">
        <v>43</v>
      </c>
      <c r="D118" s="24">
        <v>35</v>
      </c>
      <c r="E118">
        <v>322803</v>
      </c>
      <c r="F118" s="2" t="s">
        <v>2</v>
      </c>
      <c r="G118" s="2" t="str">
        <f t="shared" si="33"/>
        <v>https://www.oreht.ru/modules.php?name=orehtPriceLS&amp;op=Search&amp;page=1&amp;stext=322803</v>
      </c>
      <c r="I118">
        <v>322803</v>
      </c>
      <c r="J118" t="s">
        <v>2</v>
      </c>
      <c r="K118" t="s">
        <v>290</v>
      </c>
      <c r="L118" t="s">
        <v>291</v>
      </c>
      <c r="M118" t="s">
        <v>292</v>
      </c>
      <c r="O118" s="26" t="str">
        <f>Таблица1_2[[#This Row],[Цена]]</f>
        <v xml:space="preserve">53,2 </v>
      </c>
      <c r="P118" s="17">
        <v>0.36</v>
      </c>
      <c r="Q118" s="26">
        <f t="shared" si="34"/>
        <v>19.152000000000001</v>
      </c>
      <c r="R118" s="8">
        <f t="shared" si="35"/>
        <v>0.12</v>
      </c>
      <c r="S118" s="18">
        <f t="shared" ca="1" si="36"/>
        <v>24.978299120234606</v>
      </c>
      <c r="T118" s="18">
        <f t="shared" ca="1" si="37"/>
        <v>98</v>
      </c>
      <c r="U118" s="18">
        <f t="shared" ca="1" si="38"/>
        <v>98</v>
      </c>
      <c r="V118" s="18">
        <f t="shared" ca="1" si="39"/>
        <v>14.570674486803522</v>
      </c>
      <c r="W118" s="29">
        <f t="shared" ca="1" si="40"/>
        <v>208.15249266862173</v>
      </c>
      <c r="X118" s="19">
        <f t="shared" ca="1" si="41"/>
        <v>89.208211143695038</v>
      </c>
      <c r="Y118" s="19">
        <f t="shared" ca="1" si="42"/>
        <v>0</v>
      </c>
      <c r="Z118" s="31">
        <f t="shared" ca="1" si="43"/>
        <v>297.36070381231679</v>
      </c>
      <c r="AA118" s="31">
        <f t="shared" ca="1" si="44"/>
        <v>290</v>
      </c>
      <c r="AB118" s="20">
        <f t="shared" ca="1" si="45"/>
        <v>3.9126408396357468</v>
      </c>
      <c r="AC118" s="20">
        <f t="shared" ca="1" si="46"/>
        <v>9.2009467455621288E-2</v>
      </c>
      <c r="AD118" s="6">
        <f t="shared" ca="1" si="47"/>
        <v>17.403519061583609</v>
      </c>
      <c r="AE118" s="21">
        <f t="shared" ca="1" si="48"/>
        <v>0.32713381694706029</v>
      </c>
    </row>
    <row r="119" spans="1:31" hidden="1" x14ac:dyDescent="0.25">
      <c r="A119" s="24">
        <f t="shared" ca="1" si="32"/>
        <v>20</v>
      </c>
      <c r="B119" s="24">
        <v>12</v>
      </c>
      <c r="C119" s="24">
        <v>42</v>
      </c>
      <c r="D119" s="24">
        <v>35</v>
      </c>
      <c r="E119">
        <v>322804</v>
      </c>
      <c r="F119" s="2" t="s">
        <v>2</v>
      </c>
      <c r="G119" s="2" t="str">
        <f t="shared" si="33"/>
        <v>https://www.oreht.ru/modules.php?name=orehtPriceLS&amp;op=Search&amp;page=1&amp;stext=322804</v>
      </c>
      <c r="I119">
        <v>322804</v>
      </c>
      <c r="J119" t="s">
        <v>2</v>
      </c>
      <c r="K119" t="s">
        <v>293</v>
      </c>
      <c r="L119" t="s">
        <v>294</v>
      </c>
      <c r="M119" t="s">
        <v>292</v>
      </c>
      <c r="O119" s="26" t="str">
        <f>Таблица1_2[[#This Row],[Цена]]</f>
        <v xml:space="preserve">53,2 </v>
      </c>
      <c r="P119" s="17">
        <v>0.36</v>
      </c>
      <c r="Q119" s="26">
        <f t="shared" si="34"/>
        <v>19.152000000000001</v>
      </c>
      <c r="R119" s="8">
        <f t="shared" si="35"/>
        <v>0.12</v>
      </c>
      <c r="S119" s="18">
        <f t="shared" ca="1" si="36"/>
        <v>24.8316715542522</v>
      </c>
      <c r="T119" s="18">
        <f t="shared" ca="1" si="37"/>
        <v>97</v>
      </c>
      <c r="U119" s="18">
        <f t="shared" ca="1" si="38"/>
        <v>97</v>
      </c>
      <c r="V119" s="18">
        <f t="shared" ca="1" si="39"/>
        <v>14.485141739980451</v>
      </c>
      <c r="W119" s="29">
        <f t="shared" ca="1" si="40"/>
        <v>206.930596285435</v>
      </c>
      <c r="X119" s="19">
        <f t="shared" ca="1" si="41"/>
        <v>88.684541265186439</v>
      </c>
      <c r="Y119" s="19">
        <f t="shared" ca="1" si="42"/>
        <v>0</v>
      </c>
      <c r="Z119" s="31">
        <f t="shared" ca="1" si="43"/>
        <v>295.61513755062145</v>
      </c>
      <c r="AA119" s="31">
        <f t="shared" ca="1" si="44"/>
        <v>290</v>
      </c>
      <c r="AB119" s="20">
        <f t="shared" ca="1" si="45"/>
        <v>3.8896728625081765</v>
      </c>
      <c r="AC119" s="20">
        <f t="shared" ca="1" si="46"/>
        <v>9.2552770560725597E-2</v>
      </c>
      <c r="AD119" s="6">
        <f t="shared" ca="1" si="47"/>
        <v>17.413782991202339</v>
      </c>
      <c r="AE119" s="21">
        <f t="shared" ca="1" si="48"/>
        <v>0.32732674795493116</v>
      </c>
    </row>
    <row r="120" spans="1:31" hidden="1" x14ac:dyDescent="0.25">
      <c r="A120" s="24" t="e">
        <f t="shared" ca="1" si="32"/>
        <v>#VALUE!</v>
      </c>
      <c r="B120" s="24">
        <v>12</v>
      </c>
      <c r="C120" s="24">
        <v>42</v>
      </c>
      <c r="D120" s="24">
        <v>35</v>
      </c>
      <c r="E120">
        <v>444912</v>
      </c>
      <c r="F120" s="2" t="s">
        <v>2</v>
      </c>
      <c r="G120" s="2" t="str">
        <f t="shared" si="33"/>
        <v>https://www.oreht.ru/modules.php?name=orehtPriceLS&amp;op=Search&amp;page=1&amp;stext=444912</v>
      </c>
      <c r="I120">
        <v>444912</v>
      </c>
      <c r="J120" t="s">
        <v>2</v>
      </c>
      <c r="K120" t="s">
        <v>295</v>
      </c>
      <c r="L120" t="s">
        <v>296</v>
      </c>
      <c r="M120">
        <v>54</v>
      </c>
      <c r="O120" s="26">
        <f>Таблица1_2[[#This Row],[Цена]]</f>
        <v>54</v>
      </c>
      <c r="P120" s="17">
        <v>0.36</v>
      </c>
      <c r="Q120" s="26">
        <f t="shared" si="34"/>
        <v>19.439999999999998</v>
      </c>
      <c r="R120" s="8">
        <f t="shared" si="35"/>
        <v>0.12</v>
      </c>
      <c r="S120" s="18" t="e">
        <f t="shared" ca="1" si="36"/>
        <v>#VALUE!</v>
      </c>
      <c r="T120" s="18" t="e">
        <f t="shared" ca="1" si="37"/>
        <v>#VALUE!</v>
      </c>
      <c r="U120" s="18" t="e">
        <f t="shared" ca="1" si="38"/>
        <v>#VALUE!</v>
      </c>
      <c r="V120" s="18" t="e">
        <f t="shared" ca="1" si="39"/>
        <v>#VALUE!</v>
      </c>
      <c r="W120" s="29" t="e">
        <f t="shared" ca="1" si="40"/>
        <v>#VALUE!</v>
      </c>
      <c r="X120" s="19" t="e">
        <f t="shared" ca="1" si="41"/>
        <v>#VALUE!</v>
      </c>
      <c r="Y120" s="19" t="e">
        <f t="shared" ca="1" si="42"/>
        <v>#VALUE!</v>
      </c>
      <c r="Z120" s="31" t="e">
        <f t="shared" ca="1" si="43"/>
        <v>#VALUE!</v>
      </c>
      <c r="AA120" s="31" t="e">
        <f t="shared" ca="1" si="44"/>
        <v>#VALUE!</v>
      </c>
      <c r="AB120" s="20" t="e">
        <f t="shared" ca="1" si="45"/>
        <v>#VALUE!</v>
      </c>
      <c r="AC120" s="20" t="e">
        <f t="shared" ca="1" si="46"/>
        <v>#VALUE!</v>
      </c>
      <c r="AD120" s="6" t="e">
        <f t="shared" ca="1" si="47"/>
        <v>#VALUE!</v>
      </c>
      <c r="AE120" s="21" t="e">
        <f t="shared" ca="1" si="48"/>
        <v>#VALUE!</v>
      </c>
    </row>
    <row r="121" spans="1:31" hidden="1" x14ac:dyDescent="0.25">
      <c r="A121" s="24">
        <f t="shared" ca="1" si="32"/>
        <v>20</v>
      </c>
      <c r="B121" s="24">
        <v>12</v>
      </c>
      <c r="C121" s="24">
        <v>43</v>
      </c>
      <c r="D121" s="24">
        <v>35</v>
      </c>
      <c r="E121">
        <v>428147</v>
      </c>
      <c r="F121" s="2" t="s">
        <v>2</v>
      </c>
      <c r="G121" s="2" t="str">
        <f t="shared" si="33"/>
        <v>https://www.oreht.ru/modules.php?name=orehtPriceLS&amp;op=Search&amp;page=1&amp;stext=428147</v>
      </c>
      <c r="I121">
        <v>428147</v>
      </c>
      <c r="J121" t="s">
        <v>2</v>
      </c>
      <c r="K121" t="s">
        <v>297</v>
      </c>
      <c r="L121" t="s">
        <v>298</v>
      </c>
      <c r="M121" t="s">
        <v>299</v>
      </c>
      <c r="O121" s="26" t="str">
        <f>Таблица1_2[[#This Row],[Цена]]</f>
        <v xml:space="preserve">53,6 </v>
      </c>
      <c r="P121" s="17">
        <v>0.36</v>
      </c>
      <c r="Q121" s="26">
        <f t="shared" si="34"/>
        <v>19.295999999999999</v>
      </c>
      <c r="R121" s="8">
        <f t="shared" si="35"/>
        <v>0.12</v>
      </c>
      <c r="S121" s="18">
        <f t="shared" ca="1" si="36"/>
        <v>25.058064516129033</v>
      </c>
      <c r="T121" s="18">
        <f t="shared" ca="1" si="37"/>
        <v>98</v>
      </c>
      <c r="U121" s="18">
        <f t="shared" ca="1" si="38"/>
        <v>98</v>
      </c>
      <c r="V121" s="18">
        <f t="shared" ca="1" si="39"/>
        <v>14.617204301075272</v>
      </c>
      <c r="W121" s="29">
        <f t="shared" ca="1" si="40"/>
        <v>208.81720430107529</v>
      </c>
      <c r="X121" s="19">
        <f t="shared" ca="1" si="41"/>
        <v>89.493087557603701</v>
      </c>
      <c r="Y121" s="19">
        <f t="shared" ca="1" si="42"/>
        <v>0</v>
      </c>
      <c r="Z121" s="31">
        <f t="shared" ca="1" si="43"/>
        <v>298.31029185867902</v>
      </c>
      <c r="AA121" s="31">
        <f t="shared" ca="1" si="44"/>
        <v>290</v>
      </c>
      <c r="AB121" s="20">
        <f t="shared" ca="1" si="45"/>
        <v>3.8958433638260317</v>
      </c>
      <c r="AC121" s="20">
        <f t="shared" ca="1" si="46"/>
        <v>9.2406179196704422E-2</v>
      </c>
      <c r="AD121" s="6">
        <f t="shared" ca="1" si="47"/>
        <v>17.541935483870979</v>
      </c>
      <c r="AE121" s="21">
        <f t="shared" ca="1" si="48"/>
        <v>0.32727491574386153</v>
      </c>
    </row>
    <row r="122" spans="1:31" hidden="1" x14ac:dyDescent="0.25">
      <c r="A122" s="24">
        <f t="shared" ca="1" si="32"/>
        <v>20</v>
      </c>
      <c r="B122" s="24">
        <v>12</v>
      </c>
      <c r="C122" s="24">
        <v>42</v>
      </c>
      <c r="D122" s="24">
        <v>35</v>
      </c>
      <c r="E122">
        <v>322819</v>
      </c>
      <c r="F122" s="2" t="s">
        <v>2</v>
      </c>
      <c r="G122" s="2" t="str">
        <f t="shared" si="33"/>
        <v>https://www.oreht.ru/modules.php?name=orehtPriceLS&amp;op=Search&amp;page=1&amp;stext=322819</v>
      </c>
      <c r="I122">
        <v>322819</v>
      </c>
      <c r="J122" t="s">
        <v>2</v>
      </c>
      <c r="K122" t="s">
        <v>300</v>
      </c>
      <c r="L122" t="s">
        <v>301</v>
      </c>
      <c r="M122" t="s">
        <v>302</v>
      </c>
      <c r="O122" s="26" t="str">
        <f>Таблица1_2[[#This Row],[Цена]]</f>
        <v xml:space="preserve">53,7 </v>
      </c>
      <c r="P122" s="17">
        <v>0.36</v>
      </c>
      <c r="Q122" s="26">
        <f t="shared" si="34"/>
        <v>19.332000000000001</v>
      </c>
      <c r="R122" s="8">
        <f t="shared" si="35"/>
        <v>0.12</v>
      </c>
      <c r="S122" s="18">
        <f t="shared" ca="1" si="36"/>
        <v>24.931378299120237</v>
      </c>
      <c r="T122" s="18">
        <f t="shared" ca="1" si="37"/>
        <v>97</v>
      </c>
      <c r="U122" s="18">
        <f t="shared" ca="1" si="38"/>
        <v>97</v>
      </c>
      <c r="V122" s="18">
        <f t="shared" ca="1" si="39"/>
        <v>14.54330400782014</v>
      </c>
      <c r="W122" s="29">
        <f t="shared" ca="1" si="40"/>
        <v>207.76148582600197</v>
      </c>
      <c r="X122" s="19">
        <f t="shared" ca="1" si="41"/>
        <v>89.040636782572278</v>
      </c>
      <c r="Y122" s="19">
        <f t="shared" ca="1" si="42"/>
        <v>0</v>
      </c>
      <c r="Z122" s="31">
        <f t="shared" ca="1" si="43"/>
        <v>296.80212260857428</v>
      </c>
      <c r="AA122" s="31">
        <f t="shared" ca="1" si="44"/>
        <v>290</v>
      </c>
      <c r="AB122" s="20">
        <f t="shared" ca="1" si="45"/>
        <v>3.868928972551247</v>
      </c>
      <c r="AC122" s="20">
        <f t="shared" ca="1" si="46"/>
        <v>9.3049007245694926E-2</v>
      </c>
      <c r="AD122" s="6">
        <f t="shared" ca="1" si="47"/>
        <v>17.586803519061604</v>
      </c>
      <c r="AE122" s="21">
        <f t="shared" ca="1" si="48"/>
        <v>0.32750099663056992</v>
      </c>
    </row>
    <row r="123" spans="1:31" hidden="1" x14ac:dyDescent="0.25">
      <c r="A123" s="24" t="e">
        <f t="shared" ca="1" si="32"/>
        <v>#VALUE!</v>
      </c>
      <c r="B123" s="24">
        <v>12</v>
      </c>
      <c r="C123" s="24">
        <v>49</v>
      </c>
      <c r="D123" s="24">
        <v>35</v>
      </c>
      <c r="E123">
        <v>428515</v>
      </c>
      <c r="F123" s="2" t="s">
        <v>2</v>
      </c>
      <c r="G123" s="2" t="str">
        <f t="shared" si="33"/>
        <v>https://www.oreht.ru/modules.php?name=orehtPriceLS&amp;op=Search&amp;page=1&amp;stext=428515</v>
      </c>
      <c r="I123">
        <v>428515</v>
      </c>
      <c r="J123" t="s">
        <v>2</v>
      </c>
      <c r="K123" t="s">
        <v>303</v>
      </c>
      <c r="L123" t="s">
        <v>304</v>
      </c>
      <c r="M123">
        <v>54</v>
      </c>
      <c r="O123" s="26">
        <f>Таблица1_2[[#This Row],[Цена]]</f>
        <v>54</v>
      </c>
      <c r="P123" s="17">
        <v>0.36</v>
      </c>
      <c r="Q123" s="26">
        <f t="shared" si="34"/>
        <v>19.439999999999998</v>
      </c>
      <c r="R123" s="8">
        <f t="shared" si="35"/>
        <v>0.12</v>
      </c>
      <c r="S123" s="18" t="e">
        <f t="shared" ca="1" si="36"/>
        <v>#VALUE!</v>
      </c>
      <c r="T123" s="18" t="e">
        <f t="shared" ca="1" si="37"/>
        <v>#VALUE!</v>
      </c>
      <c r="U123" s="18" t="e">
        <f t="shared" ca="1" si="38"/>
        <v>#VALUE!</v>
      </c>
      <c r="V123" s="18" t="e">
        <f t="shared" ca="1" si="39"/>
        <v>#VALUE!</v>
      </c>
      <c r="W123" s="29" t="e">
        <f t="shared" ca="1" si="40"/>
        <v>#VALUE!</v>
      </c>
      <c r="X123" s="19" t="e">
        <f t="shared" ca="1" si="41"/>
        <v>#VALUE!</v>
      </c>
      <c r="Y123" s="19" t="e">
        <f t="shared" ca="1" si="42"/>
        <v>#VALUE!</v>
      </c>
      <c r="Z123" s="31" t="e">
        <f t="shared" ca="1" si="43"/>
        <v>#VALUE!</v>
      </c>
      <c r="AA123" s="31" t="e">
        <f t="shared" ca="1" si="44"/>
        <v>#VALUE!</v>
      </c>
      <c r="AB123" s="20" t="e">
        <f t="shared" ca="1" si="45"/>
        <v>#VALUE!</v>
      </c>
      <c r="AC123" s="20" t="e">
        <f t="shared" ca="1" si="46"/>
        <v>#VALUE!</v>
      </c>
      <c r="AD123" s="6" t="e">
        <f t="shared" ca="1" si="47"/>
        <v>#VALUE!</v>
      </c>
      <c r="AE123" s="21" t="e">
        <f t="shared" ca="1" si="48"/>
        <v>#VALUE!</v>
      </c>
    </row>
    <row r="124" spans="1:31" hidden="1" x14ac:dyDescent="0.25">
      <c r="A124" s="24" t="e">
        <f t="shared" ca="1" si="32"/>
        <v>#VALUE!</v>
      </c>
      <c r="B124" s="24">
        <v>12</v>
      </c>
      <c r="C124" s="24">
        <v>49</v>
      </c>
      <c r="D124" s="24">
        <v>35</v>
      </c>
      <c r="E124">
        <v>428517</v>
      </c>
      <c r="F124" s="2" t="s">
        <v>2</v>
      </c>
      <c r="G124" s="2" t="str">
        <f t="shared" si="33"/>
        <v>https://www.oreht.ru/modules.php?name=orehtPriceLS&amp;op=Search&amp;page=1&amp;stext=428517</v>
      </c>
      <c r="I124">
        <v>428517</v>
      </c>
      <c r="J124" t="s">
        <v>2</v>
      </c>
      <c r="K124" t="s">
        <v>305</v>
      </c>
      <c r="L124" t="s">
        <v>306</v>
      </c>
      <c r="M124">
        <v>54</v>
      </c>
      <c r="O124" s="26">
        <f>Таблица1_2[[#This Row],[Цена]]</f>
        <v>54</v>
      </c>
      <c r="P124" s="17">
        <v>0.36</v>
      </c>
      <c r="Q124" s="26">
        <f t="shared" si="34"/>
        <v>19.439999999999998</v>
      </c>
      <c r="R124" s="8">
        <f t="shared" si="35"/>
        <v>0.12</v>
      </c>
      <c r="S124" s="18" t="e">
        <f t="shared" ca="1" si="36"/>
        <v>#VALUE!</v>
      </c>
      <c r="T124" s="18" t="e">
        <f t="shared" ca="1" si="37"/>
        <v>#VALUE!</v>
      </c>
      <c r="U124" s="18" t="e">
        <f t="shared" ca="1" si="38"/>
        <v>#VALUE!</v>
      </c>
      <c r="V124" s="18" t="e">
        <f t="shared" ca="1" si="39"/>
        <v>#VALUE!</v>
      </c>
      <c r="W124" s="29" t="e">
        <f t="shared" ca="1" si="40"/>
        <v>#VALUE!</v>
      </c>
      <c r="X124" s="19" t="e">
        <f t="shared" ca="1" si="41"/>
        <v>#VALUE!</v>
      </c>
      <c r="Y124" s="19" t="e">
        <f t="shared" ca="1" si="42"/>
        <v>#VALUE!</v>
      </c>
      <c r="Z124" s="31" t="e">
        <f t="shared" ca="1" si="43"/>
        <v>#VALUE!</v>
      </c>
      <c r="AA124" s="31" t="e">
        <f t="shared" ca="1" si="44"/>
        <v>#VALUE!</v>
      </c>
      <c r="AB124" s="20" t="e">
        <f t="shared" ca="1" si="45"/>
        <v>#VALUE!</v>
      </c>
      <c r="AC124" s="20" t="e">
        <f t="shared" ca="1" si="46"/>
        <v>#VALUE!</v>
      </c>
      <c r="AD124" s="6" t="e">
        <f t="shared" ca="1" si="47"/>
        <v>#VALUE!</v>
      </c>
      <c r="AE124" s="21" t="e">
        <f t="shared" ca="1" si="48"/>
        <v>#VALUE!</v>
      </c>
    </row>
    <row r="125" spans="1:31" hidden="1" x14ac:dyDescent="0.25">
      <c r="A125" s="24" t="e">
        <f t="shared" ca="1" si="32"/>
        <v>#VALUE!</v>
      </c>
      <c r="B125" s="24">
        <v>12</v>
      </c>
      <c r="C125" s="24">
        <v>57</v>
      </c>
      <c r="D125" s="24">
        <v>35</v>
      </c>
      <c r="E125">
        <v>234192</v>
      </c>
      <c r="F125" s="2" t="s">
        <v>2</v>
      </c>
      <c r="G125" s="2" t="str">
        <f t="shared" si="33"/>
        <v>https://www.oreht.ru/modules.php?name=orehtPriceLS&amp;op=Search&amp;page=1&amp;stext=234192</v>
      </c>
      <c r="I125">
        <v>234192</v>
      </c>
      <c r="J125" t="s">
        <v>2</v>
      </c>
      <c r="K125" t="s">
        <v>307</v>
      </c>
      <c r="L125" t="s">
        <v>308</v>
      </c>
      <c r="M125">
        <v>54</v>
      </c>
      <c r="O125" s="26">
        <f>Таблица1_2[[#This Row],[Цена]]</f>
        <v>54</v>
      </c>
      <c r="P125" s="17">
        <v>0.37</v>
      </c>
      <c r="Q125" s="26">
        <f t="shared" si="34"/>
        <v>19.98</v>
      </c>
      <c r="R125" s="8">
        <f t="shared" si="35"/>
        <v>0.12</v>
      </c>
      <c r="S125" s="18" t="e">
        <f t="shared" ca="1" si="36"/>
        <v>#VALUE!</v>
      </c>
      <c r="T125" s="18" t="e">
        <f t="shared" ca="1" si="37"/>
        <v>#VALUE!</v>
      </c>
      <c r="U125" s="18" t="e">
        <f t="shared" ca="1" si="38"/>
        <v>#VALUE!</v>
      </c>
      <c r="V125" s="18" t="e">
        <f t="shared" ca="1" si="39"/>
        <v>#VALUE!</v>
      </c>
      <c r="W125" s="29" t="e">
        <f t="shared" ca="1" si="40"/>
        <v>#VALUE!</v>
      </c>
      <c r="X125" s="19" t="e">
        <f t="shared" ca="1" si="41"/>
        <v>#VALUE!</v>
      </c>
      <c r="Y125" s="19" t="e">
        <f t="shared" ca="1" si="42"/>
        <v>#VALUE!</v>
      </c>
      <c r="Z125" s="31" t="e">
        <f t="shared" ca="1" si="43"/>
        <v>#VALUE!</v>
      </c>
      <c r="AA125" s="31" t="e">
        <f t="shared" ca="1" si="44"/>
        <v>#VALUE!</v>
      </c>
      <c r="AB125" s="20" t="e">
        <f t="shared" ca="1" si="45"/>
        <v>#VALUE!</v>
      </c>
      <c r="AC125" s="20" t="e">
        <f t="shared" ca="1" si="46"/>
        <v>#VALUE!</v>
      </c>
      <c r="AD125" s="6" t="e">
        <f t="shared" ca="1" si="47"/>
        <v>#VALUE!</v>
      </c>
      <c r="AE125" s="21" t="e">
        <f t="shared" ca="1" si="48"/>
        <v>#VALUE!</v>
      </c>
    </row>
    <row r="126" spans="1:31" hidden="1" x14ac:dyDescent="0.25">
      <c r="A126" s="24" t="e">
        <f t="shared" ca="1" si="32"/>
        <v>#VALUE!</v>
      </c>
      <c r="B126" s="24">
        <v>12</v>
      </c>
      <c r="C126" s="24">
        <v>40</v>
      </c>
      <c r="D126" s="24">
        <v>35</v>
      </c>
      <c r="E126">
        <v>111565</v>
      </c>
      <c r="F126" s="2" t="s">
        <v>2</v>
      </c>
      <c r="G126" s="2" t="str">
        <f t="shared" si="33"/>
        <v>https://www.oreht.ru/modules.php?name=orehtPriceLS&amp;op=Search&amp;page=1&amp;stext=111565</v>
      </c>
      <c r="I126">
        <v>111565</v>
      </c>
      <c r="J126" t="s">
        <v>2</v>
      </c>
      <c r="K126" t="s">
        <v>309</v>
      </c>
      <c r="L126" t="s">
        <v>310</v>
      </c>
      <c r="M126">
        <v>55</v>
      </c>
      <c r="O126" s="26">
        <f>Таблица1_2[[#This Row],[Цена]]</f>
        <v>55</v>
      </c>
      <c r="P126" s="17">
        <v>0.36</v>
      </c>
      <c r="Q126" s="26">
        <f t="shared" si="34"/>
        <v>19.8</v>
      </c>
      <c r="R126" s="8">
        <f t="shared" si="35"/>
        <v>0.12</v>
      </c>
      <c r="S126" s="18" t="e">
        <f t="shared" ca="1" si="36"/>
        <v>#VALUE!</v>
      </c>
      <c r="T126" s="18" t="e">
        <f t="shared" ca="1" si="37"/>
        <v>#VALUE!</v>
      </c>
      <c r="U126" s="18" t="e">
        <f t="shared" ca="1" si="38"/>
        <v>#VALUE!</v>
      </c>
      <c r="V126" s="18" t="e">
        <f t="shared" ca="1" si="39"/>
        <v>#VALUE!</v>
      </c>
      <c r="W126" s="29" t="e">
        <f t="shared" ca="1" si="40"/>
        <v>#VALUE!</v>
      </c>
      <c r="X126" s="19" t="e">
        <f t="shared" ca="1" si="41"/>
        <v>#VALUE!</v>
      </c>
      <c r="Y126" s="19" t="e">
        <f t="shared" ca="1" si="42"/>
        <v>#VALUE!</v>
      </c>
      <c r="Z126" s="31" t="e">
        <f t="shared" ca="1" si="43"/>
        <v>#VALUE!</v>
      </c>
      <c r="AA126" s="31" t="e">
        <f t="shared" ca="1" si="44"/>
        <v>#VALUE!</v>
      </c>
      <c r="AB126" s="20" t="e">
        <f t="shared" ca="1" si="45"/>
        <v>#VALUE!</v>
      </c>
      <c r="AC126" s="20" t="e">
        <f t="shared" ca="1" si="46"/>
        <v>#VALUE!</v>
      </c>
      <c r="AD126" s="6" t="e">
        <f t="shared" ca="1" si="47"/>
        <v>#VALUE!</v>
      </c>
      <c r="AE126" s="21" t="e">
        <f t="shared" ca="1" si="48"/>
        <v>#VALUE!</v>
      </c>
    </row>
    <row r="127" spans="1:31" hidden="1" x14ac:dyDescent="0.25">
      <c r="A127" s="24">
        <f t="shared" ca="1" si="32"/>
        <v>20</v>
      </c>
      <c r="B127" s="24">
        <v>10</v>
      </c>
      <c r="C127" s="24">
        <v>41</v>
      </c>
      <c r="D127" s="24">
        <v>35</v>
      </c>
      <c r="E127">
        <v>245416</v>
      </c>
      <c r="F127" s="2" t="s">
        <v>2</v>
      </c>
      <c r="G127" s="2" t="str">
        <f t="shared" si="33"/>
        <v>https://www.oreht.ru/modules.php?name=orehtPriceLS&amp;op=Search&amp;page=1&amp;stext=245416</v>
      </c>
      <c r="I127">
        <v>245416</v>
      </c>
      <c r="J127" t="s">
        <v>2</v>
      </c>
      <c r="K127" t="s">
        <v>311</v>
      </c>
      <c r="L127" t="s">
        <v>312</v>
      </c>
      <c r="M127" t="s">
        <v>313</v>
      </c>
      <c r="O127" s="26" t="str">
        <f>Таблица1_2[[#This Row],[Цена]]</f>
        <v xml:space="preserve">55,4 </v>
      </c>
      <c r="P127" s="17">
        <v>0.37</v>
      </c>
      <c r="Q127" s="26">
        <f t="shared" si="34"/>
        <v>20.497999999999998</v>
      </c>
      <c r="R127" s="8">
        <f t="shared" si="35"/>
        <v>0.1</v>
      </c>
      <c r="S127" s="18">
        <f t="shared" ca="1" si="36"/>
        <v>20.537395459976107</v>
      </c>
      <c r="T127" s="18">
        <f t="shared" ca="1" si="37"/>
        <v>96</v>
      </c>
      <c r="U127" s="18">
        <f t="shared" ca="1" si="38"/>
        <v>96</v>
      </c>
      <c r="V127" s="18">
        <f t="shared" ca="1" si="39"/>
        <v>14.376176821983275</v>
      </c>
      <c r="W127" s="29">
        <f t="shared" ca="1" si="40"/>
        <v>205.37395459976105</v>
      </c>
      <c r="X127" s="19">
        <f t="shared" ca="1" si="41"/>
        <v>88.017409114183309</v>
      </c>
      <c r="Y127" s="19">
        <f t="shared" ca="1" si="42"/>
        <v>0</v>
      </c>
      <c r="Z127" s="31">
        <f t="shared" ca="1" si="43"/>
        <v>293.39136371394437</v>
      </c>
      <c r="AA127" s="31">
        <f t="shared" ca="1" si="44"/>
        <v>290</v>
      </c>
      <c r="AB127" s="20">
        <f t="shared" ca="1" si="45"/>
        <v>3.7071110938585026</v>
      </c>
      <c r="AC127" s="20">
        <f t="shared" ca="1" si="46"/>
        <v>9.98081769421401E-2</v>
      </c>
      <c r="AD127" s="6">
        <f t="shared" ca="1" si="47"/>
        <v>19.060382317801661</v>
      </c>
      <c r="AE127" s="21">
        <f t="shared" ca="1" si="48"/>
        <v>0.34405022234299026</v>
      </c>
    </row>
    <row r="128" spans="1:31" hidden="1" x14ac:dyDescent="0.25">
      <c r="A128" s="24" t="e">
        <f t="shared" ca="1" si="32"/>
        <v>#VALUE!</v>
      </c>
      <c r="B128" s="24">
        <v>12</v>
      </c>
      <c r="C128" s="24">
        <v>43</v>
      </c>
      <c r="D128" s="24">
        <v>35</v>
      </c>
      <c r="E128">
        <v>414128</v>
      </c>
      <c r="F128" s="2" t="s">
        <v>2</v>
      </c>
      <c r="G128" s="2" t="str">
        <f t="shared" si="33"/>
        <v>https://www.oreht.ru/modules.php?name=orehtPriceLS&amp;op=Search&amp;page=1&amp;stext=414128</v>
      </c>
      <c r="I128">
        <v>414128</v>
      </c>
      <c r="J128" t="s">
        <v>2</v>
      </c>
      <c r="K128" t="s">
        <v>314</v>
      </c>
      <c r="L128" t="s">
        <v>315</v>
      </c>
      <c r="M128">
        <v>56</v>
      </c>
      <c r="O128" s="26">
        <f>Таблица1_2[[#This Row],[Цена]]</f>
        <v>56</v>
      </c>
      <c r="P128" s="17">
        <v>0.37</v>
      </c>
      <c r="Q128" s="26">
        <f t="shared" si="34"/>
        <v>20.72</v>
      </c>
      <c r="R128" s="8">
        <f t="shared" si="35"/>
        <v>0.12</v>
      </c>
      <c r="S128" s="18" t="e">
        <f t="shared" ca="1" si="36"/>
        <v>#VALUE!</v>
      </c>
      <c r="T128" s="18" t="e">
        <f t="shared" ca="1" si="37"/>
        <v>#VALUE!</v>
      </c>
      <c r="U128" s="18" t="e">
        <f t="shared" ca="1" si="38"/>
        <v>#VALUE!</v>
      </c>
      <c r="V128" s="18" t="e">
        <f t="shared" ca="1" si="39"/>
        <v>#VALUE!</v>
      </c>
      <c r="W128" s="29" t="e">
        <f t="shared" ca="1" si="40"/>
        <v>#VALUE!</v>
      </c>
      <c r="X128" s="19" t="e">
        <f t="shared" ca="1" si="41"/>
        <v>#VALUE!</v>
      </c>
      <c r="Y128" s="19" t="e">
        <f t="shared" ca="1" si="42"/>
        <v>#VALUE!</v>
      </c>
      <c r="Z128" s="31" t="e">
        <f t="shared" ca="1" si="43"/>
        <v>#VALUE!</v>
      </c>
      <c r="AA128" s="31" t="e">
        <f t="shared" ca="1" si="44"/>
        <v>#VALUE!</v>
      </c>
      <c r="AB128" s="20" t="e">
        <f t="shared" ca="1" si="45"/>
        <v>#VALUE!</v>
      </c>
      <c r="AC128" s="20" t="e">
        <f t="shared" ca="1" si="46"/>
        <v>#VALUE!</v>
      </c>
      <c r="AD128" s="6" t="e">
        <f t="shared" ca="1" si="47"/>
        <v>#VALUE!</v>
      </c>
      <c r="AE128" s="21" t="e">
        <f t="shared" ca="1" si="48"/>
        <v>#VALUE!</v>
      </c>
    </row>
    <row r="129" spans="1:31" hidden="1" x14ac:dyDescent="0.25">
      <c r="A129" s="24" t="e">
        <f t="shared" ca="1" si="32"/>
        <v>#VALUE!</v>
      </c>
      <c r="B129" s="24">
        <v>12</v>
      </c>
      <c r="C129" s="24">
        <v>43</v>
      </c>
      <c r="D129" s="24">
        <v>35</v>
      </c>
      <c r="E129">
        <v>414129</v>
      </c>
      <c r="F129" s="2" t="s">
        <v>2</v>
      </c>
      <c r="G129" s="2" t="str">
        <f t="shared" si="33"/>
        <v>https://www.oreht.ru/modules.php?name=orehtPriceLS&amp;op=Search&amp;page=1&amp;stext=414129</v>
      </c>
      <c r="I129">
        <v>414129</v>
      </c>
      <c r="J129" t="s">
        <v>2</v>
      </c>
      <c r="K129" t="s">
        <v>316</v>
      </c>
      <c r="L129" t="s">
        <v>317</v>
      </c>
      <c r="M129">
        <v>56</v>
      </c>
      <c r="O129" s="26">
        <f>Таблица1_2[[#This Row],[Цена]]</f>
        <v>56</v>
      </c>
      <c r="P129" s="17">
        <v>0.36</v>
      </c>
      <c r="Q129" s="26">
        <f t="shared" si="34"/>
        <v>20.16</v>
      </c>
      <c r="R129" s="8">
        <f t="shared" si="35"/>
        <v>0.12</v>
      </c>
      <c r="S129" s="18" t="e">
        <f t="shared" ca="1" si="36"/>
        <v>#VALUE!</v>
      </c>
      <c r="T129" s="18" t="e">
        <f t="shared" ca="1" si="37"/>
        <v>#VALUE!</v>
      </c>
      <c r="U129" s="18" t="e">
        <f t="shared" ca="1" si="38"/>
        <v>#VALUE!</v>
      </c>
      <c r="V129" s="18" t="e">
        <f t="shared" ca="1" si="39"/>
        <v>#VALUE!</v>
      </c>
      <c r="W129" s="29" t="e">
        <f t="shared" ca="1" si="40"/>
        <v>#VALUE!</v>
      </c>
      <c r="X129" s="19" t="e">
        <f t="shared" ca="1" si="41"/>
        <v>#VALUE!</v>
      </c>
      <c r="Y129" s="19" t="e">
        <f t="shared" ca="1" si="42"/>
        <v>#VALUE!</v>
      </c>
      <c r="Z129" s="31" t="e">
        <f t="shared" ca="1" si="43"/>
        <v>#VALUE!</v>
      </c>
      <c r="AA129" s="31" t="e">
        <f t="shared" ca="1" si="44"/>
        <v>#VALUE!</v>
      </c>
      <c r="AB129" s="20" t="e">
        <f t="shared" ca="1" si="45"/>
        <v>#VALUE!</v>
      </c>
      <c r="AC129" s="20" t="e">
        <f t="shared" ca="1" si="46"/>
        <v>#VALUE!</v>
      </c>
      <c r="AD129" s="6" t="e">
        <f t="shared" ca="1" si="47"/>
        <v>#VALUE!</v>
      </c>
      <c r="AE129" s="21" t="e">
        <f t="shared" ca="1" si="48"/>
        <v>#VALUE!</v>
      </c>
    </row>
    <row r="130" spans="1:31" hidden="1" x14ac:dyDescent="0.25">
      <c r="A130" s="24">
        <f t="shared" si="32"/>
        <v>20</v>
      </c>
      <c r="B130" s="24">
        <v>12</v>
      </c>
      <c r="C130" s="24">
        <v>45</v>
      </c>
      <c r="E130" s="4">
        <v>266290</v>
      </c>
      <c r="F130" s="2" t="s">
        <v>2</v>
      </c>
      <c r="G130" s="2" t="str">
        <f t="shared" ref="G130:G193" si="49">HYPERLINK(F130&amp;E130)</f>
        <v>https://www.oreht.ru/modules.php?name=orehtPriceLS&amp;op=Search&amp;page=1&amp;stext=266290</v>
      </c>
      <c r="I130">
        <v>266290</v>
      </c>
      <c r="J130" t="s">
        <v>2</v>
      </c>
      <c r="K130" t="s">
        <v>674</v>
      </c>
      <c r="L130" t="s">
        <v>675</v>
      </c>
      <c r="M130">
        <v>56</v>
      </c>
    </row>
    <row r="131" spans="1:31" hidden="1" x14ac:dyDescent="0.25">
      <c r="A131" s="24">
        <f t="shared" si="32"/>
        <v>20</v>
      </c>
      <c r="B131" s="24">
        <v>12</v>
      </c>
      <c r="C131" s="24">
        <v>43</v>
      </c>
      <c r="E131" s="4">
        <v>362927</v>
      </c>
      <c r="F131" s="2" t="s">
        <v>2</v>
      </c>
      <c r="G131" s="2" t="str">
        <f t="shared" si="49"/>
        <v>https://www.oreht.ru/modules.php?name=orehtPriceLS&amp;op=Search&amp;page=1&amp;stext=362927</v>
      </c>
      <c r="I131">
        <v>362927</v>
      </c>
      <c r="J131" t="s">
        <v>2</v>
      </c>
      <c r="K131" t="s">
        <v>676</v>
      </c>
      <c r="L131" t="s">
        <v>677</v>
      </c>
      <c r="M131">
        <v>57</v>
      </c>
    </row>
    <row r="132" spans="1:31" hidden="1" x14ac:dyDescent="0.25">
      <c r="A132" s="24">
        <f t="shared" si="32"/>
        <v>20</v>
      </c>
      <c r="B132" s="24">
        <v>12</v>
      </c>
      <c r="C132" s="24">
        <v>43</v>
      </c>
      <c r="E132" s="4">
        <v>297106</v>
      </c>
      <c r="F132" s="2" t="s">
        <v>2</v>
      </c>
      <c r="G132" s="2" t="str">
        <f t="shared" si="49"/>
        <v>https://www.oreht.ru/modules.php?name=orehtPriceLS&amp;op=Search&amp;page=1&amp;stext=297106</v>
      </c>
      <c r="I132">
        <v>297106</v>
      </c>
      <c r="J132" t="s">
        <v>2</v>
      </c>
      <c r="K132" t="s">
        <v>678</v>
      </c>
      <c r="L132" t="s">
        <v>679</v>
      </c>
      <c r="M132" t="s">
        <v>680</v>
      </c>
    </row>
    <row r="133" spans="1:31" hidden="1" x14ac:dyDescent="0.25">
      <c r="A133" s="24">
        <f t="shared" ref="A133:A196" si="50">IF(W133*0.05&gt;=250,250,IF(W133*0.05&gt;=20,IF(W133*0.05&lt;20,20,W133*0.05),20))</f>
        <v>20</v>
      </c>
      <c r="B133" s="24">
        <v>12</v>
      </c>
      <c r="C133" s="24">
        <v>43</v>
      </c>
      <c r="E133" s="4">
        <v>297105</v>
      </c>
      <c r="F133" s="2" t="s">
        <v>2</v>
      </c>
      <c r="G133" s="2" t="str">
        <f t="shared" si="49"/>
        <v>https://www.oreht.ru/modules.php?name=orehtPriceLS&amp;op=Search&amp;page=1&amp;stext=297105</v>
      </c>
      <c r="I133">
        <v>297105</v>
      </c>
      <c r="J133" t="s">
        <v>2</v>
      </c>
      <c r="K133" t="s">
        <v>681</v>
      </c>
      <c r="L133" t="s">
        <v>682</v>
      </c>
      <c r="M133" t="s">
        <v>680</v>
      </c>
    </row>
    <row r="134" spans="1:31" hidden="1" x14ac:dyDescent="0.25">
      <c r="A134" s="24">
        <f t="shared" si="50"/>
        <v>20</v>
      </c>
      <c r="B134" s="24">
        <v>12</v>
      </c>
      <c r="C134" s="24">
        <v>43</v>
      </c>
      <c r="E134" s="4">
        <v>377312</v>
      </c>
      <c r="F134" s="2" t="s">
        <v>2</v>
      </c>
      <c r="G134" s="2" t="str">
        <f t="shared" si="49"/>
        <v>https://www.oreht.ru/modules.php?name=orehtPriceLS&amp;op=Search&amp;page=1&amp;stext=377312</v>
      </c>
      <c r="I134">
        <v>377312</v>
      </c>
      <c r="J134" t="s">
        <v>2</v>
      </c>
      <c r="K134" t="s">
        <v>683</v>
      </c>
      <c r="L134" t="s">
        <v>684</v>
      </c>
      <c r="M134" t="s">
        <v>680</v>
      </c>
    </row>
    <row r="135" spans="1:31" hidden="1" x14ac:dyDescent="0.25">
      <c r="A135" s="24">
        <f t="shared" si="50"/>
        <v>20</v>
      </c>
      <c r="B135" s="24">
        <v>12</v>
      </c>
      <c r="C135" s="24">
        <v>40</v>
      </c>
      <c r="E135" s="4">
        <v>423139</v>
      </c>
      <c r="F135" s="2" t="s">
        <v>2</v>
      </c>
      <c r="G135" s="2" t="str">
        <f t="shared" si="49"/>
        <v>https://www.oreht.ru/modules.php?name=orehtPriceLS&amp;op=Search&amp;page=1&amp;stext=423139</v>
      </c>
      <c r="I135">
        <v>423139</v>
      </c>
      <c r="J135" t="s">
        <v>2</v>
      </c>
      <c r="K135" t="s">
        <v>685</v>
      </c>
      <c r="L135" t="s">
        <v>686</v>
      </c>
      <c r="M135">
        <v>53</v>
      </c>
    </row>
    <row r="136" spans="1:31" hidden="1" x14ac:dyDescent="0.25">
      <c r="A136" s="24">
        <f t="shared" si="50"/>
        <v>20</v>
      </c>
      <c r="B136" s="24">
        <v>12</v>
      </c>
      <c r="C136" s="24">
        <v>43</v>
      </c>
      <c r="E136" s="4">
        <v>362933</v>
      </c>
      <c r="F136" s="2" t="s">
        <v>2</v>
      </c>
      <c r="G136" s="2" t="str">
        <f t="shared" si="49"/>
        <v>https://www.oreht.ru/modules.php?name=orehtPriceLS&amp;op=Search&amp;page=1&amp;stext=362933</v>
      </c>
      <c r="I136">
        <v>362933</v>
      </c>
      <c r="J136" t="s">
        <v>2</v>
      </c>
      <c r="K136" t="s">
        <v>687</v>
      </c>
      <c r="L136" t="s">
        <v>688</v>
      </c>
      <c r="M136" t="s">
        <v>689</v>
      </c>
    </row>
    <row r="137" spans="1:31" hidden="1" x14ac:dyDescent="0.25">
      <c r="A137" s="24">
        <f t="shared" si="50"/>
        <v>20</v>
      </c>
      <c r="B137" s="24">
        <v>12</v>
      </c>
      <c r="C137" s="24">
        <v>40</v>
      </c>
      <c r="E137" s="4">
        <v>371242</v>
      </c>
      <c r="F137" s="2" t="s">
        <v>2</v>
      </c>
      <c r="G137" s="2" t="str">
        <f t="shared" si="49"/>
        <v>https://www.oreht.ru/modules.php?name=orehtPriceLS&amp;op=Search&amp;page=1&amp;stext=371242</v>
      </c>
      <c r="I137">
        <v>371242</v>
      </c>
      <c r="J137" t="s">
        <v>2</v>
      </c>
      <c r="K137" t="s">
        <v>690</v>
      </c>
      <c r="L137" t="s">
        <v>691</v>
      </c>
      <c r="M137">
        <v>57</v>
      </c>
    </row>
    <row r="138" spans="1:31" hidden="1" x14ac:dyDescent="0.25">
      <c r="A138" s="24">
        <f t="shared" si="50"/>
        <v>20</v>
      </c>
      <c r="B138" s="24">
        <v>12</v>
      </c>
      <c r="C138" s="24">
        <v>43</v>
      </c>
      <c r="E138" s="4">
        <v>362932</v>
      </c>
      <c r="F138" s="2" t="s">
        <v>2</v>
      </c>
      <c r="G138" s="2" t="str">
        <f t="shared" si="49"/>
        <v>https://www.oreht.ru/modules.php?name=orehtPriceLS&amp;op=Search&amp;page=1&amp;stext=362932</v>
      </c>
      <c r="I138">
        <v>362932</v>
      </c>
      <c r="J138" t="s">
        <v>2</v>
      </c>
      <c r="K138" t="s">
        <v>692</v>
      </c>
      <c r="L138" t="s">
        <v>693</v>
      </c>
      <c r="M138" t="s">
        <v>694</v>
      </c>
    </row>
    <row r="139" spans="1:31" hidden="1" x14ac:dyDescent="0.25">
      <c r="A139" s="24">
        <f t="shared" si="50"/>
        <v>20</v>
      </c>
      <c r="B139" s="24">
        <v>12</v>
      </c>
      <c r="C139" s="24">
        <v>42</v>
      </c>
      <c r="E139" s="4">
        <v>111925</v>
      </c>
      <c r="F139" s="2" t="s">
        <v>2</v>
      </c>
      <c r="G139" s="2" t="str">
        <f t="shared" si="49"/>
        <v>https://www.oreht.ru/modules.php?name=orehtPriceLS&amp;op=Search&amp;page=1&amp;stext=111925</v>
      </c>
      <c r="I139">
        <v>111925</v>
      </c>
      <c r="J139" t="s">
        <v>2</v>
      </c>
      <c r="K139" t="s">
        <v>695</v>
      </c>
      <c r="L139" t="s">
        <v>696</v>
      </c>
      <c r="M139" t="s">
        <v>697</v>
      </c>
    </row>
    <row r="140" spans="1:31" hidden="1" x14ac:dyDescent="0.25">
      <c r="A140" s="24">
        <f t="shared" si="50"/>
        <v>20</v>
      </c>
      <c r="B140" s="24">
        <v>12</v>
      </c>
      <c r="C140" s="24">
        <v>43</v>
      </c>
      <c r="E140" s="4">
        <v>383606</v>
      </c>
      <c r="F140" s="2" t="s">
        <v>2</v>
      </c>
      <c r="G140" s="2" t="str">
        <f t="shared" si="49"/>
        <v>https://www.oreht.ru/modules.php?name=orehtPriceLS&amp;op=Search&amp;page=1&amp;stext=383606</v>
      </c>
      <c r="I140">
        <v>383606</v>
      </c>
      <c r="J140" t="s">
        <v>2</v>
      </c>
      <c r="K140" t="s">
        <v>698</v>
      </c>
      <c r="L140" t="s">
        <v>699</v>
      </c>
      <c r="M140" t="s">
        <v>700</v>
      </c>
    </row>
    <row r="141" spans="1:31" hidden="1" x14ac:dyDescent="0.25">
      <c r="A141" s="24">
        <f t="shared" si="50"/>
        <v>20</v>
      </c>
      <c r="B141" s="24">
        <v>12</v>
      </c>
      <c r="C141" s="24">
        <v>40</v>
      </c>
      <c r="E141" s="4">
        <v>197532</v>
      </c>
      <c r="F141" s="2" t="s">
        <v>2</v>
      </c>
      <c r="G141" s="2" t="str">
        <f t="shared" si="49"/>
        <v>https://www.oreht.ru/modules.php?name=orehtPriceLS&amp;op=Search&amp;page=1&amp;stext=197532</v>
      </c>
      <c r="I141">
        <v>197532</v>
      </c>
      <c r="J141" t="s">
        <v>2</v>
      </c>
      <c r="K141" t="s">
        <v>701</v>
      </c>
      <c r="L141" t="s">
        <v>702</v>
      </c>
      <c r="M141" t="s">
        <v>703</v>
      </c>
    </row>
    <row r="142" spans="1:31" hidden="1" x14ac:dyDescent="0.25">
      <c r="A142" s="24">
        <f t="shared" si="50"/>
        <v>20</v>
      </c>
      <c r="B142" s="24">
        <v>12</v>
      </c>
      <c r="C142" s="24">
        <v>43</v>
      </c>
      <c r="E142" s="4">
        <v>193690</v>
      </c>
      <c r="F142" s="2" t="s">
        <v>2</v>
      </c>
      <c r="G142" s="2" t="str">
        <f t="shared" si="49"/>
        <v>https://www.oreht.ru/modules.php?name=orehtPriceLS&amp;op=Search&amp;page=1&amp;stext=193690</v>
      </c>
      <c r="I142">
        <v>193690</v>
      </c>
      <c r="J142" t="s">
        <v>2</v>
      </c>
      <c r="K142" t="s">
        <v>704</v>
      </c>
      <c r="L142" t="s">
        <v>705</v>
      </c>
      <c r="M142" t="s">
        <v>706</v>
      </c>
    </row>
    <row r="143" spans="1:31" hidden="1" x14ac:dyDescent="0.25">
      <c r="A143" s="24">
        <f t="shared" si="50"/>
        <v>20</v>
      </c>
      <c r="B143" s="24">
        <v>12</v>
      </c>
      <c r="C143" s="24">
        <v>45</v>
      </c>
      <c r="E143" s="4">
        <v>402221</v>
      </c>
      <c r="F143" s="2" t="s">
        <v>2</v>
      </c>
      <c r="G143" s="2" t="str">
        <f t="shared" si="49"/>
        <v>https://www.oreht.ru/modules.php?name=orehtPriceLS&amp;op=Search&amp;page=1&amp;stext=402221</v>
      </c>
      <c r="I143">
        <v>402221</v>
      </c>
      <c r="J143" t="s">
        <v>2</v>
      </c>
      <c r="K143" t="s">
        <v>707</v>
      </c>
      <c r="L143" t="s">
        <v>708</v>
      </c>
      <c r="M143" t="s">
        <v>706</v>
      </c>
    </row>
    <row r="144" spans="1:31" hidden="1" x14ac:dyDescent="0.25">
      <c r="A144" s="24">
        <f t="shared" si="50"/>
        <v>20</v>
      </c>
      <c r="B144" s="24">
        <v>12</v>
      </c>
      <c r="C144" s="24">
        <v>43</v>
      </c>
      <c r="E144" s="4">
        <v>412982</v>
      </c>
      <c r="F144" s="2" t="s">
        <v>2</v>
      </c>
      <c r="G144" s="2" t="str">
        <f t="shared" si="49"/>
        <v>https://www.oreht.ru/modules.php?name=orehtPriceLS&amp;op=Search&amp;page=1&amp;stext=412982</v>
      </c>
      <c r="I144">
        <v>412982</v>
      </c>
      <c r="J144" t="s">
        <v>2</v>
      </c>
      <c r="K144" t="s">
        <v>709</v>
      </c>
      <c r="L144" t="s">
        <v>710</v>
      </c>
      <c r="M144">
        <v>58</v>
      </c>
    </row>
    <row r="145" spans="1:13" hidden="1" x14ac:dyDescent="0.25">
      <c r="A145" s="24">
        <f t="shared" si="50"/>
        <v>20</v>
      </c>
      <c r="B145" s="24">
        <v>12</v>
      </c>
      <c r="C145" s="24">
        <v>43</v>
      </c>
      <c r="E145" s="4">
        <v>379391</v>
      </c>
      <c r="F145" s="2" t="s">
        <v>2</v>
      </c>
      <c r="G145" s="2" t="str">
        <f t="shared" si="49"/>
        <v>https://www.oreht.ru/modules.php?name=orehtPriceLS&amp;op=Search&amp;page=1&amp;stext=379391</v>
      </c>
      <c r="I145">
        <v>379391</v>
      </c>
      <c r="J145" t="s">
        <v>2</v>
      </c>
      <c r="K145" t="s">
        <v>711</v>
      </c>
      <c r="L145" t="s">
        <v>712</v>
      </c>
      <c r="M145" t="s">
        <v>713</v>
      </c>
    </row>
    <row r="146" spans="1:13" hidden="1" x14ac:dyDescent="0.25">
      <c r="A146" s="24">
        <f t="shared" si="50"/>
        <v>20</v>
      </c>
      <c r="B146" s="24">
        <v>12</v>
      </c>
      <c r="C146" s="24">
        <v>67</v>
      </c>
      <c r="E146" s="4">
        <v>400833</v>
      </c>
      <c r="F146" s="2" t="s">
        <v>2</v>
      </c>
      <c r="G146" s="2" t="str">
        <f t="shared" si="49"/>
        <v>https://www.oreht.ru/modules.php?name=orehtPriceLS&amp;op=Search&amp;page=1&amp;stext=400833</v>
      </c>
      <c r="I146">
        <v>400833</v>
      </c>
      <c r="J146" t="s">
        <v>2</v>
      </c>
      <c r="K146" t="s">
        <v>714</v>
      </c>
      <c r="L146" t="s">
        <v>715</v>
      </c>
      <c r="M146" t="s">
        <v>716</v>
      </c>
    </row>
    <row r="147" spans="1:13" hidden="1" x14ac:dyDescent="0.25">
      <c r="A147" s="24">
        <f t="shared" si="50"/>
        <v>20</v>
      </c>
      <c r="B147" s="24">
        <v>12</v>
      </c>
      <c r="C147" s="24">
        <v>43</v>
      </c>
      <c r="E147" s="4">
        <v>397350</v>
      </c>
      <c r="F147" s="2" t="s">
        <v>2</v>
      </c>
      <c r="G147" s="2" t="str">
        <f t="shared" si="49"/>
        <v>https://www.oreht.ru/modules.php?name=orehtPriceLS&amp;op=Search&amp;page=1&amp;stext=397350</v>
      </c>
      <c r="I147">
        <v>397350</v>
      </c>
      <c r="J147" t="s">
        <v>2</v>
      </c>
      <c r="K147" t="s">
        <v>717</v>
      </c>
      <c r="L147" t="s">
        <v>718</v>
      </c>
      <c r="M147" t="s">
        <v>716</v>
      </c>
    </row>
    <row r="148" spans="1:13" hidden="1" x14ac:dyDescent="0.25">
      <c r="A148" s="24">
        <f t="shared" si="50"/>
        <v>20</v>
      </c>
      <c r="B148" s="24">
        <v>12</v>
      </c>
      <c r="C148" s="24">
        <v>40</v>
      </c>
      <c r="E148" s="4">
        <v>371227</v>
      </c>
      <c r="F148" s="2" t="s">
        <v>2</v>
      </c>
      <c r="G148" s="2" t="str">
        <f t="shared" si="49"/>
        <v>https://www.oreht.ru/modules.php?name=orehtPriceLS&amp;op=Search&amp;page=1&amp;stext=371227</v>
      </c>
      <c r="I148">
        <v>371227</v>
      </c>
      <c r="J148" t="s">
        <v>2</v>
      </c>
      <c r="K148" t="s">
        <v>719</v>
      </c>
      <c r="L148" t="s">
        <v>720</v>
      </c>
      <c r="M148" t="s">
        <v>721</v>
      </c>
    </row>
    <row r="149" spans="1:13" hidden="1" x14ac:dyDescent="0.25">
      <c r="A149" s="24">
        <f t="shared" si="50"/>
        <v>20</v>
      </c>
      <c r="B149" s="24">
        <v>12</v>
      </c>
      <c r="C149" s="24">
        <v>45</v>
      </c>
      <c r="E149" s="4">
        <v>315067</v>
      </c>
      <c r="F149" s="2" t="s">
        <v>2</v>
      </c>
      <c r="G149" s="2" t="str">
        <f t="shared" si="49"/>
        <v>https://www.oreht.ru/modules.php?name=orehtPriceLS&amp;op=Search&amp;page=1&amp;stext=315067</v>
      </c>
      <c r="I149">
        <v>315067</v>
      </c>
      <c r="J149" t="s">
        <v>2</v>
      </c>
      <c r="K149" t="s">
        <v>722</v>
      </c>
      <c r="L149" t="s">
        <v>723</v>
      </c>
      <c r="M149" t="s">
        <v>724</v>
      </c>
    </row>
    <row r="150" spans="1:13" hidden="1" x14ac:dyDescent="0.25">
      <c r="A150" s="24">
        <f t="shared" si="50"/>
        <v>20</v>
      </c>
      <c r="B150" s="24">
        <v>12</v>
      </c>
      <c r="C150" s="24">
        <v>41</v>
      </c>
      <c r="E150" s="4">
        <v>202319</v>
      </c>
      <c r="F150" s="2" t="s">
        <v>2</v>
      </c>
      <c r="G150" s="2" t="str">
        <f t="shared" si="49"/>
        <v>https://www.oreht.ru/modules.php?name=orehtPriceLS&amp;op=Search&amp;page=1&amp;stext=202319</v>
      </c>
      <c r="I150">
        <v>202319</v>
      </c>
      <c r="J150" t="s">
        <v>2</v>
      </c>
      <c r="K150" t="s">
        <v>725</v>
      </c>
      <c r="L150" t="s">
        <v>726</v>
      </c>
      <c r="M150" t="s">
        <v>727</v>
      </c>
    </row>
    <row r="151" spans="1:13" hidden="1" x14ac:dyDescent="0.25">
      <c r="A151" s="24">
        <f t="shared" si="50"/>
        <v>20</v>
      </c>
      <c r="B151" s="24">
        <v>12</v>
      </c>
      <c r="C151" s="24">
        <v>41</v>
      </c>
      <c r="E151" s="4">
        <v>414997</v>
      </c>
      <c r="F151" s="2" t="s">
        <v>2</v>
      </c>
      <c r="G151" s="2" t="str">
        <f t="shared" si="49"/>
        <v>https://www.oreht.ru/modules.php?name=orehtPriceLS&amp;op=Search&amp;page=1&amp;stext=414997</v>
      </c>
      <c r="I151">
        <v>414997</v>
      </c>
      <c r="J151" t="s">
        <v>2</v>
      </c>
      <c r="K151" t="s">
        <v>728</v>
      </c>
      <c r="L151" t="s">
        <v>729</v>
      </c>
      <c r="M151" t="s">
        <v>730</v>
      </c>
    </row>
    <row r="152" spans="1:13" hidden="1" x14ac:dyDescent="0.25">
      <c r="A152" s="24">
        <f t="shared" si="50"/>
        <v>20</v>
      </c>
      <c r="B152" s="24">
        <v>12</v>
      </c>
      <c r="C152" s="24">
        <v>43</v>
      </c>
      <c r="E152" s="4">
        <v>382826</v>
      </c>
      <c r="F152" s="2" t="s">
        <v>2</v>
      </c>
      <c r="G152" s="2" t="str">
        <f t="shared" si="49"/>
        <v>https://www.oreht.ru/modules.php?name=orehtPriceLS&amp;op=Search&amp;page=1&amp;stext=382826</v>
      </c>
      <c r="I152">
        <v>382826</v>
      </c>
      <c r="J152" t="s">
        <v>2</v>
      </c>
      <c r="K152" t="s">
        <v>731</v>
      </c>
      <c r="L152" t="s">
        <v>732</v>
      </c>
      <c r="M152" t="s">
        <v>733</v>
      </c>
    </row>
    <row r="153" spans="1:13" hidden="1" x14ac:dyDescent="0.25">
      <c r="A153" s="24">
        <f t="shared" si="50"/>
        <v>20</v>
      </c>
      <c r="B153" s="24">
        <v>12</v>
      </c>
      <c r="C153" s="24">
        <v>67</v>
      </c>
      <c r="E153" s="4">
        <v>425739</v>
      </c>
      <c r="F153" s="2" t="s">
        <v>2</v>
      </c>
      <c r="G153" s="2" t="str">
        <f t="shared" si="49"/>
        <v>https://www.oreht.ru/modules.php?name=orehtPriceLS&amp;op=Search&amp;page=1&amp;stext=425739</v>
      </c>
      <c r="I153">
        <v>425739</v>
      </c>
      <c r="J153" t="s">
        <v>2</v>
      </c>
      <c r="K153" t="s">
        <v>734</v>
      </c>
      <c r="L153" t="s">
        <v>735</v>
      </c>
      <c r="M153">
        <v>62</v>
      </c>
    </row>
    <row r="154" spans="1:13" hidden="1" x14ac:dyDescent="0.25">
      <c r="A154" s="24">
        <f t="shared" si="50"/>
        <v>20</v>
      </c>
      <c r="B154" s="24">
        <v>12</v>
      </c>
      <c r="C154" s="24">
        <v>43</v>
      </c>
      <c r="E154" s="4">
        <v>88267</v>
      </c>
      <c r="F154" s="2" t="s">
        <v>2</v>
      </c>
      <c r="G154" s="2" t="str">
        <f t="shared" si="49"/>
        <v>https://www.oreht.ru/modules.php?name=orehtPriceLS&amp;op=Search&amp;page=1&amp;stext=88267</v>
      </c>
      <c r="I154">
        <v>88267</v>
      </c>
      <c r="J154" t="s">
        <v>2</v>
      </c>
      <c r="K154" t="s">
        <v>736</v>
      </c>
      <c r="L154" t="s">
        <v>737</v>
      </c>
      <c r="M154">
        <v>61</v>
      </c>
    </row>
    <row r="155" spans="1:13" hidden="1" x14ac:dyDescent="0.25">
      <c r="A155" s="24">
        <f t="shared" si="50"/>
        <v>20</v>
      </c>
      <c r="B155" s="24">
        <v>12</v>
      </c>
      <c r="C155" s="24">
        <v>67</v>
      </c>
      <c r="E155" s="4">
        <v>400829</v>
      </c>
      <c r="F155" s="2" t="s">
        <v>2</v>
      </c>
      <c r="G155" s="2" t="str">
        <f t="shared" si="49"/>
        <v>https://www.oreht.ru/modules.php?name=orehtPriceLS&amp;op=Search&amp;page=1&amp;stext=400829</v>
      </c>
      <c r="I155">
        <v>400829</v>
      </c>
      <c r="J155" t="s">
        <v>2</v>
      </c>
      <c r="K155" t="s">
        <v>738</v>
      </c>
      <c r="L155" t="s">
        <v>739</v>
      </c>
      <c r="M155" t="s">
        <v>740</v>
      </c>
    </row>
    <row r="156" spans="1:13" hidden="1" x14ac:dyDescent="0.25">
      <c r="A156" s="24">
        <f t="shared" si="50"/>
        <v>20</v>
      </c>
      <c r="B156" s="24">
        <v>12</v>
      </c>
      <c r="C156" s="24">
        <v>67</v>
      </c>
      <c r="E156" s="4">
        <v>379856</v>
      </c>
      <c r="F156" s="2" t="s">
        <v>2</v>
      </c>
      <c r="G156" s="2" t="str">
        <f t="shared" si="49"/>
        <v>https://www.oreht.ru/modules.php?name=orehtPriceLS&amp;op=Search&amp;page=1&amp;stext=379856</v>
      </c>
      <c r="I156">
        <v>379856</v>
      </c>
      <c r="J156" t="s">
        <v>2</v>
      </c>
      <c r="K156" t="s">
        <v>741</v>
      </c>
      <c r="L156" t="s">
        <v>742</v>
      </c>
      <c r="M156" t="s">
        <v>740</v>
      </c>
    </row>
    <row r="157" spans="1:13" hidden="1" x14ac:dyDescent="0.25">
      <c r="A157" s="24">
        <f t="shared" si="50"/>
        <v>20</v>
      </c>
      <c r="B157" s="24">
        <v>12</v>
      </c>
      <c r="C157" s="24">
        <v>43</v>
      </c>
      <c r="E157" s="4">
        <v>416096</v>
      </c>
      <c r="F157" s="2" t="s">
        <v>2</v>
      </c>
      <c r="G157" s="2" t="str">
        <f t="shared" si="49"/>
        <v>https://www.oreht.ru/modules.php?name=orehtPriceLS&amp;op=Search&amp;page=1&amp;stext=416096</v>
      </c>
      <c r="I157">
        <v>416096</v>
      </c>
      <c r="J157" t="s">
        <v>2</v>
      </c>
      <c r="K157" t="s">
        <v>743</v>
      </c>
      <c r="L157" t="s">
        <v>744</v>
      </c>
      <c r="M157" t="s">
        <v>745</v>
      </c>
    </row>
    <row r="158" spans="1:13" hidden="1" x14ac:dyDescent="0.25">
      <c r="A158" s="24">
        <f t="shared" si="50"/>
        <v>20</v>
      </c>
      <c r="B158" s="24">
        <v>12</v>
      </c>
      <c r="C158" s="24">
        <v>43</v>
      </c>
      <c r="E158" s="4">
        <v>416099</v>
      </c>
      <c r="F158" s="2" t="s">
        <v>2</v>
      </c>
      <c r="G158" s="2" t="str">
        <f t="shared" si="49"/>
        <v>https://www.oreht.ru/modules.php?name=orehtPriceLS&amp;op=Search&amp;page=1&amp;stext=416099</v>
      </c>
      <c r="I158">
        <v>416099</v>
      </c>
      <c r="J158" t="s">
        <v>2</v>
      </c>
      <c r="K158" t="s">
        <v>746</v>
      </c>
      <c r="L158" t="s">
        <v>747</v>
      </c>
      <c r="M158" t="s">
        <v>748</v>
      </c>
    </row>
    <row r="159" spans="1:13" hidden="1" x14ac:dyDescent="0.25">
      <c r="A159" s="24">
        <f t="shared" si="50"/>
        <v>20</v>
      </c>
      <c r="B159" s="24">
        <v>12</v>
      </c>
      <c r="C159" s="24">
        <v>43</v>
      </c>
      <c r="E159" s="4">
        <v>290292</v>
      </c>
      <c r="F159" s="2" t="s">
        <v>2</v>
      </c>
      <c r="G159" s="2" t="str">
        <f t="shared" si="49"/>
        <v>https://www.oreht.ru/modules.php?name=orehtPriceLS&amp;op=Search&amp;page=1&amp;stext=290292</v>
      </c>
      <c r="I159">
        <v>290292</v>
      </c>
      <c r="J159" t="s">
        <v>2</v>
      </c>
      <c r="K159" t="s">
        <v>749</v>
      </c>
      <c r="L159" t="s">
        <v>750</v>
      </c>
      <c r="M159">
        <v>62</v>
      </c>
    </row>
    <row r="160" spans="1:13" hidden="1" x14ac:dyDescent="0.25">
      <c r="A160" s="24">
        <f t="shared" si="50"/>
        <v>20</v>
      </c>
      <c r="B160" s="24">
        <v>12</v>
      </c>
      <c r="C160" s="24">
        <v>41</v>
      </c>
      <c r="E160" s="4">
        <v>242256</v>
      </c>
      <c r="F160" s="2" t="s">
        <v>2</v>
      </c>
      <c r="G160" s="2" t="str">
        <f t="shared" si="49"/>
        <v>https://www.oreht.ru/modules.php?name=orehtPriceLS&amp;op=Search&amp;page=1&amp;stext=242256</v>
      </c>
      <c r="I160">
        <v>242256</v>
      </c>
      <c r="J160" t="s">
        <v>2</v>
      </c>
      <c r="K160" t="s">
        <v>751</v>
      </c>
      <c r="L160" t="s">
        <v>752</v>
      </c>
      <c r="M160" t="s">
        <v>753</v>
      </c>
    </row>
    <row r="161" spans="1:13" hidden="1" x14ac:dyDescent="0.25">
      <c r="A161" s="24">
        <f t="shared" si="50"/>
        <v>20</v>
      </c>
      <c r="B161" s="24">
        <v>10</v>
      </c>
      <c r="C161" s="24">
        <v>41</v>
      </c>
      <c r="E161" s="4">
        <v>204789</v>
      </c>
      <c r="F161" s="2" t="s">
        <v>2</v>
      </c>
      <c r="G161" s="2" t="str">
        <f t="shared" si="49"/>
        <v>https://www.oreht.ru/modules.php?name=orehtPriceLS&amp;op=Search&amp;page=1&amp;stext=204789</v>
      </c>
      <c r="I161">
        <v>204789</v>
      </c>
      <c r="J161" t="s">
        <v>2</v>
      </c>
      <c r="K161" t="s">
        <v>754</v>
      </c>
      <c r="L161" t="s">
        <v>755</v>
      </c>
      <c r="M161" t="s">
        <v>756</v>
      </c>
    </row>
    <row r="162" spans="1:13" hidden="1" x14ac:dyDescent="0.25">
      <c r="A162" s="24">
        <f t="shared" si="50"/>
        <v>20</v>
      </c>
      <c r="B162" s="24">
        <v>12</v>
      </c>
      <c r="C162" s="24">
        <v>100</v>
      </c>
      <c r="E162" s="4">
        <v>410943</v>
      </c>
      <c r="F162" s="2" t="s">
        <v>2</v>
      </c>
      <c r="G162" s="2" t="str">
        <f t="shared" si="49"/>
        <v>https://www.oreht.ru/modules.php?name=orehtPriceLS&amp;op=Search&amp;page=1&amp;stext=410943</v>
      </c>
      <c r="I162">
        <v>410943</v>
      </c>
      <c r="J162" t="s">
        <v>2</v>
      </c>
      <c r="K162" t="s">
        <v>757</v>
      </c>
      <c r="L162" t="s">
        <v>758</v>
      </c>
      <c r="M162" t="s">
        <v>756</v>
      </c>
    </row>
    <row r="163" spans="1:13" hidden="1" x14ac:dyDescent="0.25">
      <c r="A163" s="24">
        <f t="shared" si="50"/>
        <v>20</v>
      </c>
      <c r="B163" s="24">
        <v>12</v>
      </c>
      <c r="C163" s="24">
        <v>45</v>
      </c>
      <c r="E163" s="4">
        <v>222588</v>
      </c>
      <c r="F163" s="2" t="s">
        <v>2</v>
      </c>
      <c r="G163" s="2" t="str">
        <f t="shared" si="49"/>
        <v>https://www.oreht.ru/modules.php?name=orehtPriceLS&amp;op=Search&amp;page=1&amp;stext=222588</v>
      </c>
      <c r="I163">
        <v>222588</v>
      </c>
      <c r="J163" t="s">
        <v>2</v>
      </c>
      <c r="K163" t="s">
        <v>759</v>
      </c>
      <c r="L163" t="s">
        <v>760</v>
      </c>
      <c r="M163" t="s">
        <v>761</v>
      </c>
    </row>
    <row r="164" spans="1:13" hidden="1" x14ac:dyDescent="0.25">
      <c r="A164" s="24">
        <f t="shared" si="50"/>
        <v>20</v>
      </c>
      <c r="B164" s="24">
        <v>12</v>
      </c>
      <c r="C164" s="24">
        <v>43</v>
      </c>
      <c r="E164" s="4">
        <v>322261</v>
      </c>
      <c r="F164" s="2" t="s">
        <v>2</v>
      </c>
      <c r="G164" s="2" t="str">
        <f t="shared" si="49"/>
        <v>https://www.oreht.ru/modules.php?name=orehtPriceLS&amp;op=Search&amp;page=1&amp;stext=322261</v>
      </c>
      <c r="I164">
        <v>322261</v>
      </c>
      <c r="J164" t="s">
        <v>2</v>
      </c>
      <c r="K164" t="s">
        <v>762</v>
      </c>
      <c r="L164" t="s">
        <v>763</v>
      </c>
      <c r="M164" t="s">
        <v>764</v>
      </c>
    </row>
    <row r="165" spans="1:13" hidden="1" x14ac:dyDescent="0.25">
      <c r="A165" s="24">
        <f t="shared" si="50"/>
        <v>20</v>
      </c>
      <c r="B165" s="24">
        <v>12</v>
      </c>
      <c r="C165" s="24">
        <v>67</v>
      </c>
      <c r="E165" s="4">
        <v>400826</v>
      </c>
      <c r="F165" s="2" t="s">
        <v>2</v>
      </c>
      <c r="G165" s="2" t="str">
        <f t="shared" si="49"/>
        <v>https://www.oreht.ru/modules.php?name=orehtPriceLS&amp;op=Search&amp;page=1&amp;stext=400826</v>
      </c>
      <c r="I165">
        <v>400826</v>
      </c>
      <c r="J165" t="s">
        <v>2</v>
      </c>
      <c r="K165" t="s">
        <v>765</v>
      </c>
      <c r="L165" t="s">
        <v>766</v>
      </c>
      <c r="M165" t="s">
        <v>767</v>
      </c>
    </row>
    <row r="166" spans="1:13" hidden="1" x14ac:dyDescent="0.25">
      <c r="A166" s="24">
        <f t="shared" si="50"/>
        <v>20</v>
      </c>
      <c r="B166" s="24">
        <v>12</v>
      </c>
      <c r="C166" s="24">
        <v>67</v>
      </c>
      <c r="E166" s="4">
        <v>400822</v>
      </c>
      <c r="F166" s="2" t="s">
        <v>2</v>
      </c>
      <c r="G166" s="2" t="str">
        <f t="shared" si="49"/>
        <v>https://www.oreht.ru/modules.php?name=orehtPriceLS&amp;op=Search&amp;page=1&amp;stext=400822</v>
      </c>
      <c r="I166">
        <v>400822</v>
      </c>
      <c r="J166" t="s">
        <v>2</v>
      </c>
      <c r="K166" t="s">
        <v>768</v>
      </c>
      <c r="L166" t="s">
        <v>769</v>
      </c>
      <c r="M166" t="s">
        <v>770</v>
      </c>
    </row>
    <row r="167" spans="1:13" hidden="1" x14ac:dyDescent="0.25">
      <c r="A167" s="24">
        <f t="shared" si="50"/>
        <v>20</v>
      </c>
      <c r="B167" s="24">
        <v>11</v>
      </c>
      <c r="C167" s="24">
        <v>43</v>
      </c>
      <c r="E167" s="4">
        <v>288803</v>
      </c>
      <c r="F167" s="2" t="s">
        <v>2</v>
      </c>
      <c r="G167" s="2" t="str">
        <f t="shared" si="49"/>
        <v>https://www.oreht.ru/modules.php?name=orehtPriceLS&amp;op=Search&amp;page=1&amp;stext=288803</v>
      </c>
      <c r="I167">
        <v>288803</v>
      </c>
      <c r="J167" t="s">
        <v>2</v>
      </c>
      <c r="K167" t="s">
        <v>771</v>
      </c>
      <c r="L167" t="s">
        <v>772</v>
      </c>
      <c r="M167" t="s">
        <v>773</v>
      </c>
    </row>
    <row r="168" spans="1:13" hidden="1" x14ac:dyDescent="0.25">
      <c r="A168" s="24">
        <f t="shared" si="50"/>
        <v>20</v>
      </c>
      <c r="B168" s="24">
        <v>12</v>
      </c>
      <c r="C168" s="24">
        <v>43</v>
      </c>
      <c r="E168" s="4">
        <v>414140</v>
      </c>
      <c r="F168" s="2" t="s">
        <v>2</v>
      </c>
      <c r="G168" s="2" t="str">
        <f t="shared" si="49"/>
        <v>https://www.oreht.ru/modules.php?name=orehtPriceLS&amp;op=Search&amp;page=1&amp;stext=414140</v>
      </c>
      <c r="I168">
        <v>414140</v>
      </c>
      <c r="J168" t="s">
        <v>2</v>
      </c>
      <c r="K168" t="s">
        <v>774</v>
      </c>
      <c r="L168" t="s">
        <v>775</v>
      </c>
      <c r="M168" t="s">
        <v>776</v>
      </c>
    </row>
    <row r="169" spans="1:13" hidden="1" x14ac:dyDescent="0.25">
      <c r="A169" s="24">
        <f t="shared" si="50"/>
        <v>20</v>
      </c>
      <c r="B169" s="24">
        <v>12</v>
      </c>
      <c r="C169" s="24">
        <v>43</v>
      </c>
      <c r="E169" s="4">
        <v>412256</v>
      </c>
      <c r="F169" s="2" t="s">
        <v>2</v>
      </c>
      <c r="G169" s="2" t="str">
        <f t="shared" si="49"/>
        <v>https://www.oreht.ru/modules.php?name=orehtPriceLS&amp;op=Search&amp;page=1&amp;stext=412256</v>
      </c>
      <c r="I169">
        <v>412256</v>
      </c>
      <c r="J169" t="s">
        <v>2</v>
      </c>
      <c r="K169" t="s">
        <v>777</v>
      </c>
      <c r="L169" t="s">
        <v>778</v>
      </c>
      <c r="M169">
        <v>64</v>
      </c>
    </row>
    <row r="170" spans="1:13" hidden="1" x14ac:dyDescent="0.25">
      <c r="A170" s="24">
        <f t="shared" si="50"/>
        <v>20</v>
      </c>
      <c r="B170" s="24">
        <v>12</v>
      </c>
      <c r="C170" s="24">
        <v>43</v>
      </c>
      <c r="E170" s="4">
        <v>124910</v>
      </c>
      <c r="F170" s="2" t="s">
        <v>2</v>
      </c>
      <c r="G170" s="2" t="str">
        <f t="shared" si="49"/>
        <v>https://www.oreht.ru/modules.php?name=orehtPriceLS&amp;op=Search&amp;page=1&amp;stext=124910</v>
      </c>
      <c r="I170">
        <v>124910</v>
      </c>
      <c r="J170" t="s">
        <v>2</v>
      </c>
      <c r="K170" t="s">
        <v>779</v>
      </c>
      <c r="L170" t="s">
        <v>780</v>
      </c>
      <c r="M170" t="s">
        <v>781</v>
      </c>
    </row>
    <row r="171" spans="1:13" hidden="1" x14ac:dyDescent="0.25">
      <c r="A171" s="24">
        <f t="shared" si="50"/>
        <v>20</v>
      </c>
      <c r="B171" s="24">
        <v>12</v>
      </c>
      <c r="C171" s="24">
        <v>41</v>
      </c>
      <c r="E171" s="4">
        <v>310739</v>
      </c>
      <c r="F171" s="2" t="s">
        <v>2</v>
      </c>
      <c r="G171" s="2" t="str">
        <f t="shared" si="49"/>
        <v>https://www.oreht.ru/modules.php?name=orehtPriceLS&amp;op=Search&amp;page=1&amp;stext=310739</v>
      </c>
      <c r="I171">
        <v>310739</v>
      </c>
      <c r="J171" t="s">
        <v>2</v>
      </c>
      <c r="K171" t="s">
        <v>782</v>
      </c>
      <c r="L171" t="s">
        <v>783</v>
      </c>
      <c r="M171">
        <v>64</v>
      </c>
    </row>
    <row r="172" spans="1:13" hidden="1" x14ac:dyDescent="0.25">
      <c r="A172" s="24">
        <f t="shared" si="50"/>
        <v>20</v>
      </c>
      <c r="B172" s="24">
        <v>12</v>
      </c>
      <c r="C172" s="24">
        <v>45</v>
      </c>
      <c r="E172" s="4">
        <v>91517</v>
      </c>
      <c r="F172" s="2" t="s">
        <v>2</v>
      </c>
      <c r="G172" s="2" t="str">
        <f t="shared" si="49"/>
        <v>https://www.oreht.ru/modules.php?name=orehtPriceLS&amp;op=Search&amp;page=1&amp;stext=91517</v>
      </c>
      <c r="I172">
        <v>91517</v>
      </c>
      <c r="J172" t="s">
        <v>2</v>
      </c>
      <c r="K172" t="s">
        <v>784</v>
      </c>
      <c r="L172" t="s">
        <v>785</v>
      </c>
      <c r="M172" t="s">
        <v>786</v>
      </c>
    </row>
    <row r="173" spans="1:13" hidden="1" x14ac:dyDescent="0.25">
      <c r="A173" s="24">
        <f t="shared" si="50"/>
        <v>20</v>
      </c>
      <c r="B173" s="24">
        <v>12</v>
      </c>
      <c r="C173" s="24">
        <v>43</v>
      </c>
      <c r="E173" s="4">
        <v>359532</v>
      </c>
      <c r="F173" s="2" t="s">
        <v>2</v>
      </c>
      <c r="G173" s="2" t="str">
        <f t="shared" si="49"/>
        <v>https://www.oreht.ru/modules.php?name=orehtPriceLS&amp;op=Search&amp;page=1&amp;stext=359532</v>
      </c>
      <c r="I173">
        <v>359532</v>
      </c>
      <c r="J173" t="s">
        <v>2</v>
      </c>
      <c r="K173" t="s">
        <v>787</v>
      </c>
      <c r="L173" t="s">
        <v>788</v>
      </c>
      <c r="M173" t="s">
        <v>789</v>
      </c>
    </row>
    <row r="174" spans="1:13" hidden="1" x14ac:dyDescent="0.25">
      <c r="A174" s="24">
        <f t="shared" si="50"/>
        <v>20</v>
      </c>
      <c r="B174" s="24">
        <v>12</v>
      </c>
      <c r="C174" s="24">
        <v>40</v>
      </c>
      <c r="E174" s="4">
        <v>330018</v>
      </c>
      <c r="F174" s="2" t="s">
        <v>2</v>
      </c>
      <c r="G174" s="2" t="str">
        <f t="shared" si="49"/>
        <v>https://www.oreht.ru/modules.php?name=orehtPriceLS&amp;op=Search&amp;page=1&amp;stext=330018</v>
      </c>
      <c r="I174">
        <v>330018</v>
      </c>
      <c r="J174" t="s">
        <v>2</v>
      </c>
      <c r="K174" t="s">
        <v>790</v>
      </c>
      <c r="L174" t="s">
        <v>791</v>
      </c>
      <c r="M174">
        <v>65</v>
      </c>
    </row>
    <row r="175" spans="1:13" hidden="1" x14ac:dyDescent="0.25">
      <c r="A175" s="24">
        <f t="shared" si="50"/>
        <v>20</v>
      </c>
      <c r="B175" s="24">
        <v>12</v>
      </c>
      <c r="C175" s="24">
        <v>43</v>
      </c>
      <c r="E175" s="4">
        <v>414139</v>
      </c>
      <c r="F175" s="2" t="s">
        <v>2</v>
      </c>
      <c r="G175" s="2" t="str">
        <f t="shared" si="49"/>
        <v>https://www.oreht.ru/modules.php?name=orehtPriceLS&amp;op=Search&amp;page=1&amp;stext=414139</v>
      </c>
      <c r="I175">
        <v>414139</v>
      </c>
      <c r="J175" t="s">
        <v>2</v>
      </c>
      <c r="K175" t="s">
        <v>792</v>
      </c>
      <c r="L175" t="s">
        <v>793</v>
      </c>
      <c r="M175">
        <v>65</v>
      </c>
    </row>
    <row r="176" spans="1:13" hidden="1" x14ac:dyDescent="0.25">
      <c r="A176" s="24">
        <f t="shared" si="50"/>
        <v>20</v>
      </c>
      <c r="B176" s="24">
        <v>12</v>
      </c>
      <c r="C176" s="24">
        <v>45</v>
      </c>
      <c r="E176" s="4">
        <v>94557</v>
      </c>
      <c r="F176" s="2" t="s">
        <v>2</v>
      </c>
      <c r="G176" s="2" t="str">
        <f t="shared" si="49"/>
        <v>https://www.oreht.ru/modules.php?name=orehtPriceLS&amp;op=Search&amp;page=1&amp;stext=94557</v>
      </c>
      <c r="I176">
        <v>94557</v>
      </c>
      <c r="J176" t="s">
        <v>2</v>
      </c>
      <c r="K176" t="s">
        <v>794</v>
      </c>
      <c r="L176" t="s">
        <v>795</v>
      </c>
      <c r="M176" t="s">
        <v>796</v>
      </c>
    </row>
    <row r="177" spans="1:13" hidden="1" x14ac:dyDescent="0.25">
      <c r="A177" s="24">
        <f t="shared" si="50"/>
        <v>20</v>
      </c>
      <c r="B177" s="24">
        <v>12</v>
      </c>
      <c r="C177" s="24">
        <v>45</v>
      </c>
      <c r="E177" s="4">
        <v>329122</v>
      </c>
      <c r="F177" s="2" t="s">
        <v>2</v>
      </c>
      <c r="G177" s="2" t="str">
        <f t="shared" si="49"/>
        <v>https://www.oreht.ru/modules.php?name=orehtPriceLS&amp;op=Search&amp;page=1&amp;stext=329122</v>
      </c>
      <c r="I177">
        <v>329122</v>
      </c>
      <c r="J177" t="s">
        <v>2</v>
      </c>
      <c r="K177" t="s">
        <v>797</v>
      </c>
      <c r="L177" t="s">
        <v>798</v>
      </c>
      <c r="M177">
        <v>64</v>
      </c>
    </row>
    <row r="178" spans="1:13" hidden="1" x14ac:dyDescent="0.25">
      <c r="A178" s="24">
        <f t="shared" si="50"/>
        <v>20</v>
      </c>
      <c r="B178" s="24">
        <v>12</v>
      </c>
      <c r="C178" s="24">
        <v>47</v>
      </c>
      <c r="E178" s="4">
        <v>248334</v>
      </c>
      <c r="F178" s="2" t="s">
        <v>2</v>
      </c>
      <c r="G178" s="2" t="str">
        <f t="shared" si="49"/>
        <v>https://www.oreht.ru/modules.php?name=orehtPriceLS&amp;op=Search&amp;page=1&amp;stext=248334</v>
      </c>
      <c r="I178">
        <v>248334</v>
      </c>
      <c r="J178" t="s">
        <v>2</v>
      </c>
      <c r="K178" t="s">
        <v>799</v>
      </c>
      <c r="L178" t="s">
        <v>800</v>
      </c>
      <c r="M178" t="s">
        <v>801</v>
      </c>
    </row>
    <row r="179" spans="1:13" hidden="1" x14ac:dyDescent="0.25">
      <c r="A179" s="24">
        <f t="shared" si="50"/>
        <v>20</v>
      </c>
      <c r="B179" s="24">
        <v>12</v>
      </c>
      <c r="C179" s="24">
        <v>41</v>
      </c>
      <c r="E179" s="4">
        <v>111835</v>
      </c>
      <c r="F179" s="2" t="s">
        <v>2</v>
      </c>
      <c r="G179" s="2" t="str">
        <f t="shared" si="49"/>
        <v>https://www.oreht.ru/modules.php?name=orehtPriceLS&amp;op=Search&amp;page=1&amp;stext=111835</v>
      </c>
      <c r="I179">
        <v>111835</v>
      </c>
      <c r="J179" t="s">
        <v>2</v>
      </c>
      <c r="K179" t="s">
        <v>802</v>
      </c>
      <c r="L179" t="s">
        <v>803</v>
      </c>
      <c r="M179" t="s">
        <v>804</v>
      </c>
    </row>
    <row r="180" spans="1:13" hidden="1" x14ac:dyDescent="0.25">
      <c r="A180" s="24">
        <f t="shared" si="50"/>
        <v>20</v>
      </c>
      <c r="B180" s="24">
        <v>12</v>
      </c>
      <c r="C180" s="24">
        <v>67</v>
      </c>
      <c r="E180" s="4">
        <v>397351</v>
      </c>
      <c r="F180" s="2" t="s">
        <v>2</v>
      </c>
      <c r="G180" s="2" t="str">
        <f t="shared" si="49"/>
        <v>https://www.oreht.ru/modules.php?name=orehtPriceLS&amp;op=Search&amp;page=1&amp;stext=397351</v>
      </c>
      <c r="I180">
        <v>397351</v>
      </c>
      <c r="J180" t="s">
        <v>2</v>
      </c>
      <c r="K180" t="s">
        <v>805</v>
      </c>
      <c r="L180" t="s">
        <v>806</v>
      </c>
      <c r="M180" t="s">
        <v>721</v>
      </c>
    </row>
    <row r="181" spans="1:13" hidden="1" x14ac:dyDescent="0.25">
      <c r="A181" s="24">
        <f t="shared" si="50"/>
        <v>20</v>
      </c>
      <c r="B181" s="24">
        <v>12</v>
      </c>
      <c r="C181" s="24">
        <v>42</v>
      </c>
      <c r="E181" s="4">
        <v>186439</v>
      </c>
      <c r="F181" s="2" t="s">
        <v>2</v>
      </c>
      <c r="G181" s="2" t="str">
        <f t="shared" si="49"/>
        <v>https://www.oreht.ru/modules.php?name=orehtPriceLS&amp;op=Search&amp;page=1&amp;stext=186439</v>
      </c>
      <c r="I181">
        <v>186439</v>
      </c>
      <c r="J181" t="s">
        <v>2</v>
      </c>
      <c r="K181" t="s">
        <v>807</v>
      </c>
      <c r="L181" t="s">
        <v>808</v>
      </c>
      <c r="M181" t="s">
        <v>809</v>
      </c>
    </row>
    <row r="182" spans="1:13" hidden="1" x14ac:dyDescent="0.25">
      <c r="A182" s="24">
        <f t="shared" si="50"/>
        <v>20</v>
      </c>
      <c r="B182" s="24">
        <v>12</v>
      </c>
      <c r="C182" s="24">
        <v>42</v>
      </c>
      <c r="E182" s="4">
        <v>432034</v>
      </c>
      <c r="F182" s="2" t="s">
        <v>2</v>
      </c>
      <c r="G182" s="2" t="str">
        <f t="shared" si="49"/>
        <v>https://www.oreht.ru/modules.php?name=orehtPriceLS&amp;op=Search&amp;page=1&amp;stext=432034</v>
      </c>
      <c r="I182">
        <v>432034</v>
      </c>
      <c r="J182" t="s">
        <v>2</v>
      </c>
      <c r="K182" t="s">
        <v>810</v>
      </c>
      <c r="L182" t="s">
        <v>811</v>
      </c>
      <c r="M182" t="s">
        <v>812</v>
      </c>
    </row>
    <row r="183" spans="1:13" hidden="1" x14ac:dyDescent="0.25">
      <c r="A183" s="24">
        <f t="shared" si="50"/>
        <v>20</v>
      </c>
      <c r="B183" s="24">
        <v>12</v>
      </c>
      <c r="C183" s="24">
        <v>42</v>
      </c>
      <c r="E183" s="4">
        <v>432036</v>
      </c>
      <c r="F183" s="2" t="s">
        <v>2</v>
      </c>
      <c r="G183" s="2" t="str">
        <f t="shared" si="49"/>
        <v>https://www.oreht.ru/modules.php?name=orehtPriceLS&amp;op=Search&amp;page=1&amp;stext=432036</v>
      </c>
      <c r="I183">
        <v>432036</v>
      </c>
      <c r="J183" t="s">
        <v>2</v>
      </c>
      <c r="K183" t="s">
        <v>813</v>
      </c>
      <c r="L183" t="s">
        <v>814</v>
      </c>
      <c r="M183" t="s">
        <v>809</v>
      </c>
    </row>
    <row r="184" spans="1:13" hidden="1" x14ac:dyDescent="0.25">
      <c r="A184" s="24">
        <f t="shared" si="50"/>
        <v>20</v>
      </c>
      <c r="B184" s="24">
        <v>12</v>
      </c>
      <c r="C184" s="24">
        <v>43</v>
      </c>
      <c r="E184" s="4">
        <v>431149</v>
      </c>
      <c r="F184" s="2" t="s">
        <v>2</v>
      </c>
      <c r="G184" s="2" t="str">
        <f t="shared" si="49"/>
        <v>https://www.oreht.ru/modules.php?name=orehtPriceLS&amp;op=Search&amp;page=1&amp;stext=431149</v>
      </c>
      <c r="I184">
        <v>431149</v>
      </c>
      <c r="J184" t="s">
        <v>2</v>
      </c>
      <c r="K184" t="s">
        <v>815</v>
      </c>
      <c r="L184" t="s">
        <v>816</v>
      </c>
      <c r="M184">
        <v>66</v>
      </c>
    </row>
    <row r="185" spans="1:13" hidden="1" x14ac:dyDescent="0.25">
      <c r="A185" s="24">
        <f t="shared" si="50"/>
        <v>20</v>
      </c>
      <c r="B185" s="24">
        <v>12</v>
      </c>
      <c r="C185" s="24">
        <v>45</v>
      </c>
      <c r="E185" s="4">
        <v>396434</v>
      </c>
      <c r="F185" s="2" t="s">
        <v>2</v>
      </c>
      <c r="G185" s="2" t="str">
        <f t="shared" si="49"/>
        <v>https://www.oreht.ru/modules.php?name=orehtPriceLS&amp;op=Search&amp;page=1&amp;stext=396434</v>
      </c>
      <c r="I185">
        <v>396434</v>
      </c>
      <c r="J185" t="s">
        <v>2</v>
      </c>
      <c r="K185" t="s">
        <v>817</v>
      </c>
      <c r="L185" t="s">
        <v>818</v>
      </c>
      <c r="M185" t="s">
        <v>819</v>
      </c>
    </row>
    <row r="186" spans="1:13" hidden="1" x14ac:dyDescent="0.25">
      <c r="A186" s="24">
        <f t="shared" si="50"/>
        <v>20</v>
      </c>
      <c r="B186" s="24">
        <v>12</v>
      </c>
      <c r="C186" s="24">
        <v>43</v>
      </c>
      <c r="E186" s="4">
        <v>239913</v>
      </c>
      <c r="F186" s="2" t="s">
        <v>2</v>
      </c>
      <c r="G186" s="2" t="str">
        <f t="shared" si="49"/>
        <v>https://www.oreht.ru/modules.php?name=orehtPriceLS&amp;op=Search&amp;page=1&amp;stext=239913</v>
      </c>
      <c r="I186">
        <v>239913</v>
      </c>
      <c r="J186" t="s">
        <v>2</v>
      </c>
      <c r="K186" t="s">
        <v>820</v>
      </c>
      <c r="L186" t="s">
        <v>821</v>
      </c>
      <c r="M186" t="s">
        <v>822</v>
      </c>
    </row>
    <row r="187" spans="1:13" hidden="1" x14ac:dyDescent="0.25">
      <c r="A187" s="24">
        <f t="shared" si="50"/>
        <v>20</v>
      </c>
      <c r="B187" s="24">
        <v>12</v>
      </c>
      <c r="C187" s="24">
        <v>43</v>
      </c>
      <c r="E187" s="4">
        <v>398875</v>
      </c>
      <c r="F187" s="2" t="s">
        <v>2</v>
      </c>
      <c r="G187" s="2" t="str">
        <f t="shared" si="49"/>
        <v>https://www.oreht.ru/modules.php?name=orehtPriceLS&amp;op=Search&amp;page=1&amp;stext=398875</v>
      </c>
      <c r="I187">
        <v>398875</v>
      </c>
      <c r="J187" t="s">
        <v>2</v>
      </c>
      <c r="K187" t="s">
        <v>823</v>
      </c>
      <c r="L187" t="s">
        <v>824</v>
      </c>
      <c r="M187">
        <v>67</v>
      </c>
    </row>
    <row r="188" spans="1:13" hidden="1" x14ac:dyDescent="0.25">
      <c r="A188" s="24">
        <f t="shared" si="50"/>
        <v>20</v>
      </c>
      <c r="B188" s="24">
        <v>12</v>
      </c>
      <c r="C188" s="24">
        <v>45</v>
      </c>
      <c r="E188" s="4">
        <v>287383</v>
      </c>
      <c r="F188" s="2" t="s">
        <v>2</v>
      </c>
      <c r="G188" s="2" t="str">
        <f t="shared" si="49"/>
        <v>https://www.oreht.ru/modules.php?name=orehtPriceLS&amp;op=Search&amp;page=1&amp;stext=287383</v>
      </c>
      <c r="I188">
        <v>287383</v>
      </c>
      <c r="J188" t="s">
        <v>2</v>
      </c>
      <c r="K188" t="s">
        <v>825</v>
      </c>
      <c r="L188" t="s">
        <v>826</v>
      </c>
      <c r="M188" t="s">
        <v>827</v>
      </c>
    </row>
    <row r="189" spans="1:13" hidden="1" x14ac:dyDescent="0.25">
      <c r="A189" s="24">
        <f t="shared" si="50"/>
        <v>20</v>
      </c>
      <c r="B189" s="24">
        <v>12</v>
      </c>
      <c r="C189" s="24">
        <v>41</v>
      </c>
      <c r="E189" s="4">
        <v>379881</v>
      </c>
      <c r="F189" s="2" t="s">
        <v>2</v>
      </c>
      <c r="G189" s="2" t="str">
        <f t="shared" si="49"/>
        <v>https://www.oreht.ru/modules.php?name=orehtPriceLS&amp;op=Search&amp;page=1&amp;stext=379881</v>
      </c>
      <c r="I189">
        <v>379881</v>
      </c>
      <c r="J189" t="s">
        <v>2</v>
      </c>
      <c r="K189" t="s">
        <v>828</v>
      </c>
      <c r="L189" t="s">
        <v>829</v>
      </c>
      <c r="M189" t="s">
        <v>830</v>
      </c>
    </row>
    <row r="190" spans="1:13" hidden="1" x14ac:dyDescent="0.25">
      <c r="A190" s="24">
        <f t="shared" si="50"/>
        <v>20</v>
      </c>
      <c r="B190" s="24">
        <v>12</v>
      </c>
      <c r="C190" s="24">
        <v>43</v>
      </c>
      <c r="E190" s="4">
        <v>275309</v>
      </c>
      <c r="F190" s="2" t="s">
        <v>2</v>
      </c>
      <c r="G190" s="2" t="str">
        <f t="shared" si="49"/>
        <v>https://www.oreht.ru/modules.php?name=orehtPriceLS&amp;op=Search&amp;page=1&amp;stext=275309</v>
      </c>
      <c r="I190">
        <v>275309</v>
      </c>
      <c r="J190" t="s">
        <v>2</v>
      </c>
      <c r="K190" t="s">
        <v>831</v>
      </c>
      <c r="L190" t="s">
        <v>832</v>
      </c>
      <c r="M190" t="s">
        <v>830</v>
      </c>
    </row>
    <row r="191" spans="1:13" hidden="1" x14ac:dyDescent="0.25">
      <c r="A191" s="24">
        <f t="shared" si="50"/>
        <v>20</v>
      </c>
      <c r="B191" s="24">
        <v>12</v>
      </c>
      <c r="C191" s="24">
        <v>63</v>
      </c>
      <c r="E191" s="4">
        <v>210832</v>
      </c>
      <c r="F191" s="2" t="s">
        <v>2</v>
      </c>
      <c r="G191" s="2" t="str">
        <f t="shared" si="49"/>
        <v>https://www.oreht.ru/modules.php?name=orehtPriceLS&amp;op=Search&amp;page=1&amp;stext=210832</v>
      </c>
      <c r="I191">
        <v>210832</v>
      </c>
      <c r="J191" t="s">
        <v>2</v>
      </c>
      <c r="K191" t="s">
        <v>833</v>
      </c>
      <c r="L191" t="s">
        <v>834</v>
      </c>
      <c r="M191" t="s">
        <v>835</v>
      </c>
    </row>
    <row r="192" spans="1:13" hidden="1" x14ac:dyDescent="0.25">
      <c r="A192" s="24">
        <f t="shared" si="50"/>
        <v>20</v>
      </c>
      <c r="B192" s="24">
        <v>12</v>
      </c>
      <c r="C192" s="24">
        <v>45</v>
      </c>
      <c r="E192" s="4">
        <v>384547</v>
      </c>
      <c r="F192" s="2" t="s">
        <v>2</v>
      </c>
      <c r="G192" s="2" t="str">
        <f t="shared" si="49"/>
        <v>https://www.oreht.ru/modules.php?name=orehtPriceLS&amp;op=Search&amp;page=1&amp;stext=384547</v>
      </c>
      <c r="I192">
        <v>384547</v>
      </c>
      <c r="J192" t="s">
        <v>2</v>
      </c>
      <c r="K192" t="s">
        <v>836</v>
      </c>
      <c r="L192" t="s">
        <v>837</v>
      </c>
      <c r="M192">
        <v>67</v>
      </c>
    </row>
    <row r="193" spans="1:13" hidden="1" x14ac:dyDescent="0.25">
      <c r="A193" s="24">
        <f t="shared" si="50"/>
        <v>20</v>
      </c>
      <c r="B193" s="24">
        <v>12</v>
      </c>
      <c r="C193" s="24">
        <v>40</v>
      </c>
      <c r="E193" s="4">
        <v>293401</v>
      </c>
      <c r="F193" s="2" t="s">
        <v>2</v>
      </c>
      <c r="G193" s="2" t="str">
        <f t="shared" si="49"/>
        <v>https://www.oreht.ru/modules.php?name=orehtPriceLS&amp;op=Search&amp;page=1&amp;stext=293401</v>
      </c>
      <c r="I193">
        <v>293401</v>
      </c>
      <c r="J193" t="s">
        <v>2</v>
      </c>
      <c r="K193" t="s">
        <v>838</v>
      </c>
      <c r="L193" t="s">
        <v>839</v>
      </c>
      <c r="M193">
        <v>67</v>
      </c>
    </row>
    <row r="194" spans="1:13" hidden="1" x14ac:dyDescent="0.25">
      <c r="A194" s="24">
        <f t="shared" si="50"/>
        <v>20</v>
      </c>
      <c r="B194" s="24">
        <v>12</v>
      </c>
      <c r="C194" s="24">
        <v>120</v>
      </c>
      <c r="E194" s="4">
        <v>117935</v>
      </c>
      <c r="F194" s="2" t="s">
        <v>2</v>
      </c>
      <c r="G194" s="2" t="str">
        <f t="shared" ref="G194:G257" si="51">HYPERLINK(F194&amp;E194)</f>
        <v>https://www.oreht.ru/modules.php?name=orehtPriceLS&amp;op=Search&amp;page=1&amp;stext=117935</v>
      </c>
      <c r="I194">
        <v>117935</v>
      </c>
      <c r="J194" t="s">
        <v>2</v>
      </c>
      <c r="K194" t="s">
        <v>840</v>
      </c>
      <c r="L194" t="s">
        <v>841</v>
      </c>
      <c r="M194">
        <v>68</v>
      </c>
    </row>
    <row r="195" spans="1:13" hidden="1" x14ac:dyDescent="0.25">
      <c r="A195" s="24">
        <f t="shared" si="50"/>
        <v>20</v>
      </c>
      <c r="B195" s="24">
        <v>12</v>
      </c>
      <c r="C195" s="24">
        <v>45</v>
      </c>
      <c r="E195" s="4">
        <v>293402</v>
      </c>
      <c r="F195" s="2" t="s">
        <v>2</v>
      </c>
      <c r="G195" s="2" t="str">
        <f t="shared" si="51"/>
        <v>https://www.oreht.ru/modules.php?name=orehtPriceLS&amp;op=Search&amp;page=1&amp;stext=293402</v>
      </c>
      <c r="I195">
        <v>293402</v>
      </c>
      <c r="J195" t="s">
        <v>2</v>
      </c>
      <c r="K195" t="s">
        <v>842</v>
      </c>
      <c r="L195" t="s">
        <v>843</v>
      </c>
      <c r="M195">
        <v>68</v>
      </c>
    </row>
    <row r="196" spans="1:13" hidden="1" x14ac:dyDescent="0.25">
      <c r="A196" s="24">
        <f t="shared" si="50"/>
        <v>20</v>
      </c>
      <c r="B196" s="24">
        <v>12</v>
      </c>
      <c r="C196" s="24">
        <v>41</v>
      </c>
      <c r="E196" s="4">
        <v>436448</v>
      </c>
      <c r="F196" s="2" t="s">
        <v>2</v>
      </c>
      <c r="G196" s="2" t="str">
        <f t="shared" si="51"/>
        <v>https://www.oreht.ru/modules.php?name=orehtPriceLS&amp;op=Search&amp;page=1&amp;stext=436448</v>
      </c>
      <c r="I196">
        <v>436448</v>
      </c>
      <c r="J196" t="s">
        <v>2</v>
      </c>
      <c r="K196" t="s">
        <v>844</v>
      </c>
      <c r="L196" t="s">
        <v>845</v>
      </c>
      <c r="M196">
        <v>68</v>
      </c>
    </row>
    <row r="197" spans="1:13" hidden="1" x14ac:dyDescent="0.25">
      <c r="A197" s="24">
        <f t="shared" ref="A197:A260" si="52">IF(W197*0.05&gt;=250,250,IF(W197*0.05&gt;=20,IF(W197*0.05&lt;20,20,W197*0.05),20))</f>
        <v>20</v>
      </c>
      <c r="B197" s="24">
        <v>12</v>
      </c>
      <c r="C197" s="24">
        <v>43</v>
      </c>
      <c r="E197" s="4">
        <v>293008</v>
      </c>
      <c r="F197" s="2" t="s">
        <v>2</v>
      </c>
      <c r="G197" s="2" t="str">
        <f t="shared" si="51"/>
        <v>https://www.oreht.ru/modules.php?name=orehtPriceLS&amp;op=Search&amp;page=1&amp;stext=293008</v>
      </c>
      <c r="I197">
        <v>293008</v>
      </c>
      <c r="J197" t="s">
        <v>2</v>
      </c>
      <c r="K197" t="s">
        <v>846</v>
      </c>
      <c r="L197" t="s">
        <v>847</v>
      </c>
      <c r="M197">
        <v>68</v>
      </c>
    </row>
    <row r="198" spans="1:13" hidden="1" x14ac:dyDescent="0.25">
      <c r="A198" s="24">
        <f t="shared" si="52"/>
        <v>20</v>
      </c>
      <c r="B198" s="24">
        <v>12</v>
      </c>
      <c r="C198" s="24">
        <v>43</v>
      </c>
      <c r="E198" s="4">
        <v>416105</v>
      </c>
      <c r="F198" s="2" t="s">
        <v>2</v>
      </c>
      <c r="G198" s="2" t="str">
        <f t="shared" si="51"/>
        <v>https://www.oreht.ru/modules.php?name=orehtPriceLS&amp;op=Search&amp;page=1&amp;stext=416105</v>
      </c>
      <c r="I198">
        <v>416105</v>
      </c>
      <c r="J198" t="s">
        <v>2</v>
      </c>
      <c r="K198" t="s">
        <v>848</v>
      </c>
      <c r="L198" t="s">
        <v>849</v>
      </c>
      <c r="M198" t="s">
        <v>850</v>
      </c>
    </row>
    <row r="199" spans="1:13" hidden="1" x14ac:dyDescent="0.25">
      <c r="A199" s="24">
        <f t="shared" si="52"/>
        <v>20</v>
      </c>
      <c r="B199" s="24">
        <v>12</v>
      </c>
      <c r="C199" s="24">
        <v>67</v>
      </c>
      <c r="E199" s="4">
        <v>416111</v>
      </c>
      <c r="F199" s="2" t="s">
        <v>2</v>
      </c>
      <c r="G199" s="2" t="str">
        <f t="shared" si="51"/>
        <v>https://www.oreht.ru/modules.php?name=orehtPriceLS&amp;op=Search&amp;page=1&amp;stext=416111</v>
      </c>
      <c r="I199">
        <v>416111</v>
      </c>
      <c r="J199" t="s">
        <v>2</v>
      </c>
      <c r="K199" t="s">
        <v>851</v>
      </c>
      <c r="L199" t="s">
        <v>852</v>
      </c>
      <c r="M199" t="s">
        <v>850</v>
      </c>
    </row>
    <row r="200" spans="1:13" hidden="1" x14ac:dyDescent="0.25">
      <c r="A200" s="24">
        <f t="shared" si="52"/>
        <v>20</v>
      </c>
      <c r="B200" s="24">
        <v>12</v>
      </c>
      <c r="C200" s="24">
        <v>40</v>
      </c>
      <c r="E200" s="4">
        <v>415041</v>
      </c>
      <c r="F200" s="2" t="s">
        <v>2</v>
      </c>
      <c r="G200" s="2" t="str">
        <f t="shared" si="51"/>
        <v>https://www.oreht.ru/modules.php?name=orehtPriceLS&amp;op=Search&amp;page=1&amp;stext=415041</v>
      </c>
      <c r="I200">
        <v>415041</v>
      </c>
      <c r="J200" t="s">
        <v>2</v>
      </c>
      <c r="K200" t="s">
        <v>853</v>
      </c>
      <c r="L200" t="s">
        <v>854</v>
      </c>
      <c r="M200" t="s">
        <v>855</v>
      </c>
    </row>
    <row r="201" spans="1:13" hidden="1" x14ac:dyDescent="0.25">
      <c r="A201" s="24">
        <f t="shared" si="52"/>
        <v>20</v>
      </c>
      <c r="B201" s="24">
        <v>12</v>
      </c>
      <c r="C201" s="24">
        <v>43</v>
      </c>
      <c r="E201" s="4">
        <v>416104</v>
      </c>
      <c r="F201" s="2" t="s">
        <v>2</v>
      </c>
      <c r="G201" s="2" t="str">
        <f t="shared" si="51"/>
        <v>https://www.oreht.ru/modules.php?name=orehtPriceLS&amp;op=Search&amp;page=1&amp;stext=416104</v>
      </c>
      <c r="I201">
        <v>416104</v>
      </c>
      <c r="J201" t="s">
        <v>2</v>
      </c>
      <c r="K201" t="s">
        <v>856</v>
      </c>
      <c r="L201" t="s">
        <v>857</v>
      </c>
      <c r="M201">
        <v>69</v>
      </c>
    </row>
    <row r="202" spans="1:13" hidden="1" x14ac:dyDescent="0.25">
      <c r="A202" s="24">
        <f t="shared" si="52"/>
        <v>20</v>
      </c>
      <c r="B202" s="24">
        <v>12</v>
      </c>
      <c r="C202" s="24">
        <v>41</v>
      </c>
      <c r="E202" s="4">
        <v>413021</v>
      </c>
      <c r="F202" s="2" t="s">
        <v>2</v>
      </c>
      <c r="G202" s="2" t="str">
        <f t="shared" si="51"/>
        <v>https://www.oreht.ru/modules.php?name=orehtPriceLS&amp;op=Search&amp;page=1&amp;stext=413021</v>
      </c>
      <c r="I202">
        <v>413021</v>
      </c>
      <c r="J202" t="s">
        <v>2</v>
      </c>
      <c r="K202" t="s">
        <v>858</v>
      </c>
      <c r="L202" t="s">
        <v>859</v>
      </c>
      <c r="M202">
        <v>69</v>
      </c>
    </row>
    <row r="203" spans="1:13" hidden="1" x14ac:dyDescent="0.25">
      <c r="A203" s="24">
        <f t="shared" si="52"/>
        <v>20</v>
      </c>
      <c r="B203" s="24">
        <v>12</v>
      </c>
      <c r="C203" s="24">
        <v>43</v>
      </c>
      <c r="E203" s="4">
        <v>244718</v>
      </c>
      <c r="F203" s="2" t="s">
        <v>2</v>
      </c>
      <c r="G203" s="2" t="str">
        <f t="shared" si="51"/>
        <v>https://www.oreht.ru/modules.php?name=orehtPriceLS&amp;op=Search&amp;page=1&amp;stext=244718</v>
      </c>
      <c r="I203">
        <v>244718</v>
      </c>
      <c r="J203" t="s">
        <v>2</v>
      </c>
      <c r="K203" t="s">
        <v>860</v>
      </c>
      <c r="L203" t="s">
        <v>861</v>
      </c>
      <c r="M203" t="s">
        <v>862</v>
      </c>
    </row>
    <row r="204" spans="1:13" hidden="1" x14ac:dyDescent="0.25">
      <c r="A204" s="24">
        <f t="shared" si="52"/>
        <v>20</v>
      </c>
      <c r="B204" s="24">
        <v>12</v>
      </c>
      <c r="C204" s="24">
        <v>67</v>
      </c>
      <c r="E204" s="4">
        <v>359535</v>
      </c>
      <c r="F204" s="2" t="s">
        <v>2</v>
      </c>
      <c r="G204" s="2" t="str">
        <f t="shared" si="51"/>
        <v>https://www.oreht.ru/modules.php?name=orehtPriceLS&amp;op=Search&amp;page=1&amp;stext=359535</v>
      </c>
      <c r="I204">
        <v>359535</v>
      </c>
      <c r="J204" t="s">
        <v>2</v>
      </c>
      <c r="K204" t="s">
        <v>863</v>
      </c>
      <c r="L204" t="s">
        <v>864</v>
      </c>
      <c r="M204" t="s">
        <v>865</v>
      </c>
    </row>
    <row r="205" spans="1:13" hidden="1" x14ac:dyDescent="0.25">
      <c r="A205" s="24">
        <f t="shared" si="52"/>
        <v>20</v>
      </c>
      <c r="B205" s="24">
        <v>12</v>
      </c>
      <c r="C205" s="24">
        <v>40</v>
      </c>
      <c r="E205" s="4">
        <v>211813</v>
      </c>
      <c r="F205" s="2" t="s">
        <v>2</v>
      </c>
      <c r="G205" s="2" t="str">
        <f t="shared" si="51"/>
        <v>https://www.oreht.ru/modules.php?name=orehtPriceLS&amp;op=Search&amp;page=1&amp;stext=211813</v>
      </c>
      <c r="I205">
        <v>211813</v>
      </c>
      <c r="J205" t="s">
        <v>2</v>
      </c>
      <c r="K205" t="s">
        <v>866</v>
      </c>
      <c r="L205" t="s">
        <v>867</v>
      </c>
      <c r="M205" t="s">
        <v>868</v>
      </c>
    </row>
    <row r="206" spans="1:13" hidden="1" x14ac:dyDescent="0.25">
      <c r="A206" s="24">
        <f t="shared" si="52"/>
        <v>20</v>
      </c>
      <c r="B206" s="24">
        <v>12</v>
      </c>
      <c r="C206" s="24">
        <v>40</v>
      </c>
      <c r="E206" s="4">
        <v>150371</v>
      </c>
      <c r="F206" s="2" t="s">
        <v>2</v>
      </c>
      <c r="G206" s="2" t="str">
        <f t="shared" si="51"/>
        <v>https://www.oreht.ru/modules.php?name=orehtPriceLS&amp;op=Search&amp;page=1&amp;stext=150371</v>
      </c>
      <c r="I206">
        <v>150371</v>
      </c>
      <c r="J206" t="s">
        <v>2</v>
      </c>
      <c r="K206" t="s">
        <v>869</v>
      </c>
      <c r="L206" t="s">
        <v>870</v>
      </c>
      <c r="M206">
        <v>70</v>
      </c>
    </row>
    <row r="207" spans="1:13" hidden="1" x14ac:dyDescent="0.25">
      <c r="A207" s="24">
        <f t="shared" si="52"/>
        <v>20</v>
      </c>
      <c r="B207" s="24">
        <v>12</v>
      </c>
      <c r="C207" s="24">
        <v>42</v>
      </c>
      <c r="E207" s="4">
        <v>432033</v>
      </c>
      <c r="F207" s="2" t="s">
        <v>2</v>
      </c>
      <c r="G207" s="2" t="str">
        <f t="shared" si="51"/>
        <v>https://www.oreht.ru/modules.php?name=orehtPriceLS&amp;op=Search&amp;page=1&amp;stext=432033</v>
      </c>
      <c r="I207">
        <v>432033</v>
      </c>
      <c r="J207" t="s">
        <v>2</v>
      </c>
      <c r="K207" t="s">
        <v>871</v>
      </c>
      <c r="L207" t="s">
        <v>872</v>
      </c>
      <c r="M207" t="s">
        <v>862</v>
      </c>
    </row>
    <row r="208" spans="1:13" hidden="1" x14ac:dyDescent="0.25">
      <c r="A208" s="24">
        <f t="shared" si="52"/>
        <v>20</v>
      </c>
      <c r="B208" s="24">
        <v>12</v>
      </c>
      <c r="C208" s="24">
        <v>43</v>
      </c>
      <c r="E208" s="4">
        <v>186352</v>
      </c>
      <c r="F208" s="2" t="s">
        <v>2</v>
      </c>
      <c r="G208" s="2" t="str">
        <f t="shared" si="51"/>
        <v>https://www.oreht.ru/modules.php?name=orehtPriceLS&amp;op=Search&amp;page=1&amp;stext=186352</v>
      </c>
      <c r="I208">
        <v>186352</v>
      </c>
      <c r="J208" t="s">
        <v>2</v>
      </c>
      <c r="K208" t="s">
        <v>873</v>
      </c>
      <c r="L208" t="s">
        <v>874</v>
      </c>
      <c r="M208" t="s">
        <v>875</v>
      </c>
    </row>
    <row r="209" spans="1:13" hidden="1" x14ac:dyDescent="0.25">
      <c r="A209" s="24">
        <f t="shared" si="52"/>
        <v>20</v>
      </c>
      <c r="B209" s="24">
        <v>12</v>
      </c>
      <c r="C209" s="24">
        <v>42</v>
      </c>
      <c r="E209" s="4">
        <v>242694</v>
      </c>
      <c r="F209" s="2" t="s">
        <v>2</v>
      </c>
      <c r="G209" s="2" t="str">
        <f t="shared" si="51"/>
        <v>https://www.oreht.ru/modules.php?name=orehtPriceLS&amp;op=Search&amp;page=1&amp;stext=242694</v>
      </c>
      <c r="I209">
        <v>242694</v>
      </c>
      <c r="J209" t="s">
        <v>2</v>
      </c>
      <c r="K209" t="s">
        <v>876</v>
      </c>
      <c r="L209" t="s">
        <v>877</v>
      </c>
      <c r="M209">
        <v>71</v>
      </c>
    </row>
    <row r="210" spans="1:13" x14ac:dyDescent="0.25">
      <c r="A210" s="24">
        <f t="shared" si="52"/>
        <v>20</v>
      </c>
      <c r="B210" s="24">
        <v>12</v>
      </c>
      <c r="C210" s="24">
        <v>40</v>
      </c>
      <c r="E210" s="4">
        <v>324188</v>
      </c>
      <c r="F210" s="2" t="s">
        <v>2</v>
      </c>
      <c r="G210" s="2" t="str">
        <f t="shared" si="51"/>
        <v>https://www.oreht.ru/modules.php?name=orehtPriceLS&amp;op=Search&amp;page=1&amp;stext=324188</v>
      </c>
      <c r="I210">
        <v>324188</v>
      </c>
      <c r="J210" t="s">
        <v>2</v>
      </c>
      <c r="K210" t="s">
        <v>878</v>
      </c>
      <c r="L210" t="s">
        <v>879</v>
      </c>
      <c r="M210">
        <v>71</v>
      </c>
    </row>
    <row r="211" spans="1:13" x14ac:dyDescent="0.25">
      <c r="A211" s="24">
        <f t="shared" si="52"/>
        <v>20</v>
      </c>
      <c r="B211" s="24">
        <v>12</v>
      </c>
      <c r="C211" s="24">
        <v>67</v>
      </c>
      <c r="E211" s="4">
        <v>117947</v>
      </c>
      <c r="F211" s="2" t="s">
        <v>2</v>
      </c>
      <c r="G211" s="2" t="str">
        <f t="shared" si="51"/>
        <v>https://www.oreht.ru/modules.php?name=orehtPriceLS&amp;op=Search&amp;page=1&amp;stext=117947</v>
      </c>
      <c r="I211">
        <v>117947</v>
      </c>
      <c r="J211" t="s">
        <v>2</v>
      </c>
      <c r="K211" t="s">
        <v>880</v>
      </c>
      <c r="L211" t="s">
        <v>881</v>
      </c>
      <c r="M211" t="s">
        <v>649</v>
      </c>
    </row>
    <row r="212" spans="1:13" hidden="1" x14ac:dyDescent="0.25">
      <c r="A212" s="24">
        <f t="shared" si="52"/>
        <v>20</v>
      </c>
      <c r="B212" s="24">
        <v>12</v>
      </c>
      <c r="C212" s="24">
        <v>40</v>
      </c>
      <c r="E212" s="4">
        <v>226242</v>
      </c>
      <c r="F212" s="2" t="s">
        <v>2</v>
      </c>
      <c r="G212" s="2" t="str">
        <f t="shared" si="51"/>
        <v>https://www.oreht.ru/modules.php?name=orehtPriceLS&amp;op=Search&amp;page=1&amp;stext=226242</v>
      </c>
      <c r="I212">
        <v>226242</v>
      </c>
      <c r="J212" t="s">
        <v>2</v>
      </c>
      <c r="K212" t="s">
        <v>882</v>
      </c>
      <c r="L212" t="s">
        <v>883</v>
      </c>
      <c r="M212" t="s">
        <v>875</v>
      </c>
    </row>
    <row r="213" spans="1:13" hidden="1" x14ac:dyDescent="0.25">
      <c r="A213" s="24">
        <f t="shared" si="52"/>
        <v>20</v>
      </c>
      <c r="B213" s="24">
        <v>12</v>
      </c>
      <c r="C213" s="24">
        <v>45</v>
      </c>
      <c r="E213" s="4">
        <v>320144</v>
      </c>
      <c r="F213" s="2" t="s">
        <v>2</v>
      </c>
      <c r="G213" s="2" t="str">
        <f t="shared" si="51"/>
        <v>https://www.oreht.ru/modules.php?name=orehtPriceLS&amp;op=Search&amp;page=1&amp;stext=320144</v>
      </c>
      <c r="I213">
        <v>320144</v>
      </c>
      <c r="J213" t="s">
        <v>2</v>
      </c>
      <c r="K213" t="s">
        <v>884</v>
      </c>
      <c r="L213" t="s">
        <v>885</v>
      </c>
      <c r="M213" t="s">
        <v>886</v>
      </c>
    </row>
    <row r="214" spans="1:13" hidden="1" x14ac:dyDescent="0.25">
      <c r="A214" s="24">
        <f t="shared" si="52"/>
        <v>20</v>
      </c>
      <c r="B214" s="24">
        <v>12</v>
      </c>
      <c r="C214" s="24">
        <v>67</v>
      </c>
      <c r="E214" s="4">
        <v>395579</v>
      </c>
      <c r="F214" s="2" t="s">
        <v>2</v>
      </c>
      <c r="G214" s="2" t="str">
        <f t="shared" si="51"/>
        <v>https://www.oreht.ru/modules.php?name=orehtPriceLS&amp;op=Search&amp;page=1&amp;stext=395579</v>
      </c>
      <c r="I214">
        <v>395579</v>
      </c>
      <c r="J214" t="s">
        <v>2</v>
      </c>
      <c r="K214" t="s">
        <v>887</v>
      </c>
      <c r="L214" t="s">
        <v>888</v>
      </c>
      <c r="M214" t="s">
        <v>889</v>
      </c>
    </row>
    <row r="215" spans="1:13" hidden="1" x14ac:dyDescent="0.25">
      <c r="A215" s="24">
        <f t="shared" si="52"/>
        <v>20</v>
      </c>
      <c r="B215" s="24">
        <v>12</v>
      </c>
      <c r="C215" s="24">
        <v>41</v>
      </c>
      <c r="E215" s="4">
        <v>420895</v>
      </c>
      <c r="F215" s="2" t="s">
        <v>2</v>
      </c>
      <c r="G215" s="2" t="str">
        <f t="shared" si="51"/>
        <v>https://www.oreht.ru/modules.php?name=orehtPriceLS&amp;op=Search&amp;page=1&amp;stext=420895</v>
      </c>
      <c r="I215">
        <v>420895</v>
      </c>
      <c r="J215" t="s">
        <v>2</v>
      </c>
      <c r="K215" t="s">
        <v>890</v>
      </c>
      <c r="L215" t="s">
        <v>891</v>
      </c>
      <c r="M215" t="s">
        <v>892</v>
      </c>
    </row>
    <row r="216" spans="1:13" hidden="1" x14ac:dyDescent="0.25">
      <c r="A216" s="24">
        <f t="shared" si="52"/>
        <v>20</v>
      </c>
      <c r="B216" s="24">
        <v>12</v>
      </c>
      <c r="C216" s="24">
        <v>210</v>
      </c>
      <c r="E216" s="4">
        <v>377317</v>
      </c>
      <c r="F216" s="2" t="s">
        <v>2</v>
      </c>
      <c r="G216" s="2" t="str">
        <f t="shared" si="51"/>
        <v>https://www.oreht.ru/modules.php?name=orehtPriceLS&amp;op=Search&amp;page=1&amp;stext=377317</v>
      </c>
      <c r="I216">
        <v>377317</v>
      </c>
      <c r="J216" t="s">
        <v>2</v>
      </c>
      <c r="K216" t="s">
        <v>893</v>
      </c>
      <c r="L216" t="s">
        <v>894</v>
      </c>
      <c r="M216" t="s">
        <v>895</v>
      </c>
    </row>
    <row r="217" spans="1:13" x14ac:dyDescent="0.25">
      <c r="A217" s="24">
        <f t="shared" si="52"/>
        <v>20</v>
      </c>
      <c r="B217" s="24">
        <v>12</v>
      </c>
      <c r="C217" s="24">
        <v>43</v>
      </c>
      <c r="E217" s="4">
        <v>361267</v>
      </c>
      <c r="F217" s="2" t="s">
        <v>2</v>
      </c>
      <c r="G217" s="2" t="str">
        <f t="shared" si="51"/>
        <v>https://www.oreht.ru/modules.php?name=orehtPriceLS&amp;op=Search&amp;page=1&amp;stext=361267</v>
      </c>
      <c r="I217">
        <v>361267</v>
      </c>
      <c r="J217" t="s">
        <v>2</v>
      </c>
      <c r="K217" t="s">
        <v>896</v>
      </c>
      <c r="L217" t="s">
        <v>897</v>
      </c>
      <c r="M217" t="s">
        <v>649</v>
      </c>
    </row>
    <row r="218" spans="1:13" hidden="1" x14ac:dyDescent="0.25">
      <c r="A218" s="24">
        <f t="shared" si="52"/>
        <v>20</v>
      </c>
      <c r="B218" s="24">
        <v>12</v>
      </c>
      <c r="C218" s="24">
        <v>67</v>
      </c>
      <c r="E218" s="4">
        <v>416117</v>
      </c>
      <c r="F218" s="2" t="s">
        <v>2</v>
      </c>
      <c r="G218" s="2" t="str">
        <f t="shared" si="51"/>
        <v>https://www.oreht.ru/modules.php?name=orehtPriceLS&amp;op=Search&amp;page=1&amp;stext=416117</v>
      </c>
      <c r="I218">
        <v>416117</v>
      </c>
      <c r="J218" t="s">
        <v>2</v>
      </c>
      <c r="K218" t="s">
        <v>898</v>
      </c>
      <c r="L218" t="s">
        <v>899</v>
      </c>
      <c r="M218" t="s">
        <v>900</v>
      </c>
    </row>
    <row r="219" spans="1:13" x14ac:dyDescent="0.25">
      <c r="A219" s="24">
        <f t="shared" si="52"/>
        <v>20</v>
      </c>
      <c r="B219" s="24">
        <v>12</v>
      </c>
      <c r="C219" s="24">
        <v>42</v>
      </c>
      <c r="E219" s="4">
        <v>422477</v>
      </c>
      <c r="F219" s="2" t="s">
        <v>2</v>
      </c>
      <c r="G219" s="2" t="str">
        <f t="shared" si="51"/>
        <v>https://www.oreht.ru/modules.php?name=orehtPriceLS&amp;op=Search&amp;page=1&amp;stext=422477</v>
      </c>
      <c r="I219">
        <v>422477</v>
      </c>
      <c r="J219" t="s">
        <v>2</v>
      </c>
      <c r="K219" t="s">
        <v>901</v>
      </c>
      <c r="L219" t="s">
        <v>902</v>
      </c>
      <c r="M219" t="s">
        <v>649</v>
      </c>
    </row>
    <row r="220" spans="1:13" hidden="1" x14ac:dyDescent="0.25">
      <c r="A220" s="24">
        <f t="shared" si="52"/>
        <v>20</v>
      </c>
      <c r="B220" s="24">
        <v>12</v>
      </c>
      <c r="C220" s="24">
        <v>41</v>
      </c>
      <c r="E220" s="4">
        <v>423272</v>
      </c>
      <c r="F220" s="2" t="s">
        <v>2</v>
      </c>
      <c r="G220" s="2" t="str">
        <f t="shared" si="51"/>
        <v>https://www.oreht.ru/modules.php?name=orehtPriceLS&amp;op=Search&amp;page=1&amp;stext=423272</v>
      </c>
      <c r="I220">
        <v>423272</v>
      </c>
      <c r="J220" t="s">
        <v>2</v>
      </c>
      <c r="K220" t="s">
        <v>903</v>
      </c>
      <c r="L220" t="s">
        <v>904</v>
      </c>
      <c r="M220" t="s">
        <v>905</v>
      </c>
    </row>
    <row r="221" spans="1:13" hidden="1" x14ac:dyDescent="0.25">
      <c r="A221" s="24">
        <f t="shared" si="52"/>
        <v>20</v>
      </c>
      <c r="B221" s="24">
        <v>12</v>
      </c>
      <c r="C221" s="24">
        <v>40</v>
      </c>
      <c r="E221" s="4">
        <v>351972</v>
      </c>
      <c r="F221" s="2" t="s">
        <v>2</v>
      </c>
      <c r="G221" s="2" t="str">
        <f t="shared" si="51"/>
        <v>https://www.oreht.ru/modules.php?name=orehtPriceLS&amp;op=Search&amp;page=1&amp;stext=351972</v>
      </c>
      <c r="I221">
        <v>351972</v>
      </c>
      <c r="J221" t="s">
        <v>2</v>
      </c>
      <c r="K221" t="s">
        <v>906</v>
      </c>
      <c r="L221" t="s">
        <v>907</v>
      </c>
      <c r="M221" t="s">
        <v>908</v>
      </c>
    </row>
    <row r="222" spans="1:13" hidden="1" x14ac:dyDescent="0.25">
      <c r="A222" s="24">
        <f t="shared" si="52"/>
        <v>20</v>
      </c>
      <c r="B222" s="24">
        <v>12</v>
      </c>
      <c r="C222" s="24">
        <v>43</v>
      </c>
      <c r="E222" s="4">
        <v>88523</v>
      </c>
      <c r="F222" s="2" t="s">
        <v>2</v>
      </c>
      <c r="G222" s="2" t="str">
        <f t="shared" si="51"/>
        <v>https://www.oreht.ru/modules.php?name=orehtPriceLS&amp;op=Search&amp;page=1&amp;stext=88523</v>
      </c>
      <c r="I222">
        <v>88523</v>
      </c>
      <c r="J222" t="s">
        <v>2</v>
      </c>
      <c r="K222" t="s">
        <v>909</v>
      </c>
      <c r="L222" t="s">
        <v>910</v>
      </c>
      <c r="M222" t="s">
        <v>911</v>
      </c>
    </row>
    <row r="223" spans="1:13" hidden="1" x14ac:dyDescent="0.25">
      <c r="A223" s="24">
        <f t="shared" si="52"/>
        <v>20</v>
      </c>
      <c r="B223" s="24">
        <v>12</v>
      </c>
      <c r="C223" s="24">
        <v>43</v>
      </c>
      <c r="E223" s="4">
        <v>410933</v>
      </c>
      <c r="F223" s="2" t="s">
        <v>2</v>
      </c>
      <c r="G223" s="2" t="str">
        <f t="shared" si="51"/>
        <v>https://www.oreht.ru/modules.php?name=orehtPriceLS&amp;op=Search&amp;page=1&amp;stext=410933</v>
      </c>
      <c r="I223">
        <v>410933</v>
      </c>
      <c r="J223" t="s">
        <v>2</v>
      </c>
      <c r="K223" t="s">
        <v>912</v>
      </c>
      <c r="L223" t="s">
        <v>913</v>
      </c>
      <c r="M223" t="s">
        <v>914</v>
      </c>
    </row>
    <row r="224" spans="1:13" hidden="1" x14ac:dyDescent="0.25">
      <c r="A224" s="24">
        <f t="shared" si="52"/>
        <v>20</v>
      </c>
      <c r="B224" s="24">
        <v>12</v>
      </c>
      <c r="C224" s="24">
        <v>43</v>
      </c>
      <c r="E224" s="4">
        <v>276883</v>
      </c>
      <c r="F224" s="2" t="s">
        <v>2</v>
      </c>
      <c r="G224" s="2" t="str">
        <f t="shared" si="51"/>
        <v>https://www.oreht.ru/modules.php?name=orehtPriceLS&amp;op=Search&amp;page=1&amp;stext=276883</v>
      </c>
      <c r="I224">
        <v>276883</v>
      </c>
      <c r="J224" t="s">
        <v>2</v>
      </c>
      <c r="K224" t="s">
        <v>915</v>
      </c>
      <c r="L224" t="s">
        <v>916</v>
      </c>
      <c r="M224" t="s">
        <v>917</v>
      </c>
    </row>
    <row r="225" spans="1:13" hidden="1" x14ac:dyDescent="0.25">
      <c r="A225" s="24">
        <f t="shared" si="52"/>
        <v>20</v>
      </c>
      <c r="B225" s="24">
        <v>12</v>
      </c>
      <c r="C225" s="24">
        <v>42</v>
      </c>
      <c r="E225" s="4">
        <v>432035</v>
      </c>
      <c r="F225" s="2" t="s">
        <v>2</v>
      </c>
      <c r="G225" s="2" t="str">
        <f t="shared" si="51"/>
        <v>https://www.oreht.ru/modules.php?name=orehtPriceLS&amp;op=Search&amp;page=1&amp;stext=432035</v>
      </c>
      <c r="I225">
        <v>432035</v>
      </c>
      <c r="J225" t="s">
        <v>2</v>
      </c>
      <c r="K225" t="s">
        <v>918</v>
      </c>
      <c r="L225" t="s">
        <v>919</v>
      </c>
      <c r="M225" t="s">
        <v>920</v>
      </c>
    </row>
    <row r="226" spans="1:13" hidden="1" x14ac:dyDescent="0.25">
      <c r="A226" s="24">
        <f t="shared" si="52"/>
        <v>20</v>
      </c>
      <c r="B226" s="24">
        <v>12</v>
      </c>
      <c r="C226" s="24">
        <v>67</v>
      </c>
      <c r="E226" s="4">
        <v>359536</v>
      </c>
      <c r="F226" s="2" t="s">
        <v>2</v>
      </c>
      <c r="G226" s="2" t="str">
        <f t="shared" si="51"/>
        <v>https://www.oreht.ru/modules.php?name=orehtPriceLS&amp;op=Search&amp;page=1&amp;stext=359536</v>
      </c>
      <c r="I226">
        <v>359536</v>
      </c>
      <c r="J226" t="s">
        <v>2</v>
      </c>
      <c r="K226" t="s">
        <v>921</v>
      </c>
      <c r="L226" t="s">
        <v>922</v>
      </c>
      <c r="M226" t="s">
        <v>923</v>
      </c>
    </row>
    <row r="227" spans="1:13" x14ac:dyDescent="0.25">
      <c r="A227" s="24">
        <f t="shared" si="52"/>
        <v>20</v>
      </c>
      <c r="B227" s="24">
        <v>12</v>
      </c>
      <c r="C227" s="24">
        <v>40</v>
      </c>
      <c r="E227" s="4">
        <v>444911</v>
      </c>
      <c r="F227" s="2" t="s">
        <v>2</v>
      </c>
      <c r="G227" s="2" t="str">
        <f t="shared" si="51"/>
        <v>https://www.oreht.ru/modules.php?name=orehtPriceLS&amp;op=Search&amp;page=1&amp;stext=444911</v>
      </c>
      <c r="I227">
        <v>444911</v>
      </c>
      <c r="J227" t="s">
        <v>2</v>
      </c>
      <c r="K227" t="s">
        <v>924</v>
      </c>
      <c r="L227" t="s">
        <v>925</v>
      </c>
      <c r="M227" t="s">
        <v>649</v>
      </c>
    </row>
    <row r="228" spans="1:13" hidden="1" x14ac:dyDescent="0.25">
      <c r="A228" s="24">
        <f t="shared" si="52"/>
        <v>20</v>
      </c>
      <c r="B228" s="24">
        <v>12</v>
      </c>
      <c r="C228" s="24">
        <v>45</v>
      </c>
      <c r="E228" s="4">
        <v>199824</v>
      </c>
      <c r="F228" s="2" t="s">
        <v>2</v>
      </c>
      <c r="G228" s="2" t="str">
        <f t="shared" si="51"/>
        <v>https://www.oreht.ru/modules.php?name=orehtPriceLS&amp;op=Search&amp;page=1&amp;stext=199824</v>
      </c>
      <c r="I228">
        <v>199824</v>
      </c>
      <c r="J228" t="s">
        <v>2</v>
      </c>
      <c r="K228" t="s">
        <v>926</v>
      </c>
      <c r="L228" t="s">
        <v>927</v>
      </c>
      <c r="M228" t="s">
        <v>928</v>
      </c>
    </row>
    <row r="229" spans="1:13" hidden="1" x14ac:dyDescent="0.25">
      <c r="A229" s="24">
        <f t="shared" si="52"/>
        <v>20</v>
      </c>
      <c r="B229" s="24">
        <v>12</v>
      </c>
      <c r="C229" s="24">
        <v>43</v>
      </c>
      <c r="E229" s="4">
        <v>443033</v>
      </c>
      <c r="F229" s="2" t="s">
        <v>2</v>
      </c>
      <c r="G229" s="2" t="str">
        <f t="shared" si="51"/>
        <v>https://www.oreht.ru/modules.php?name=orehtPriceLS&amp;op=Search&amp;page=1&amp;stext=443033</v>
      </c>
      <c r="I229">
        <v>443033</v>
      </c>
      <c r="J229" t="s">
        <v>2</v>
      </c>
      <c r="K229" t="s">
        <v>929</v>
      </c>
      <c r="L229" t="s">
        <v>930</v>
      </c>
      <c r="M229" t="s">
        <v>862</v>
      </c>
    </row>
    <row r="230" spans="1:13" hidden="1" x14ac:dyDescent="0.25">
      <c r="A230" s="24">
        <f t="shared" si="52"/>
        <v>20</v>
      </c>
      <c r="B230" s="24">
        <v>12</v>
      </c>
      <c r="C230" s="24">
        <v>49</v>
      </c>
      <c r="E230" s="4">
        <v>416095</v>
      </c>
      <c r="F230" s="2" t="s">
        <v>2</v>
      </c>
      <c r="G230" s="2" t="str">
        <f t="shared" si="51"/>
        <v>https://www.oreht.ru/modules.php?name=orehtPriceLS&amp;op=Search&amp;page=1&amp;stext=416095</v>
      </c>
      <c r="I230">
        <v>416095</v>
      </c>
      <c r="J230" t="s">
        <v>2</v>
      </c>
      <c r="K230" t="s">
        <v>931</v>
      </c>
      <c r="L230" t="s">
        <v>932</v>
      </c>
      <c r="M230" t="s">
        <v>928</v>
      </c>
    </row>
    <row r="231" spans="1:13" hidden="1" x14ac:dyDescent="0.25">
      <c r="A231" s="24">
        <f t="shared" si="52"/>
        <v>20</v>
      </c>
      <c r="B231" s="24">
        <v>12</v>
      </c>
      <c r="C231" s="24">
        <v>43</v>
      </c>
      <c r="E231" s="4">
        <v>416102</v>
      </c>
      <c r="F231" s="2" t="s">
        <v>2</v>
      </c>
      <c r="G231" s="2" t="str">
        <f t="shared" si="51"/>
        <v>https://www.oreht.ru/modules.php?name=orehtPriceLS&amp;op=Search&amp;page=1&amp;stext=416102</v>
      </c>
      <c r="I231">
        <v>416102</v>
      </c>
      <c r="J231" t="s">
        <v>2</v>
      </c>
      <c r="K231" t="s">
        <v>933</v>
      </c>
      <c r="L231" t="s">
        <v>934</v>
      </c>
      <c r="M231" t="s">
        <v>935</v>
      </c>
    </row>
    <row r="232" spans="1:13" hidden="1" x14ac:dyDescent="0.25">
      <c r="A232" s="24">
        <f t="shared" si="52"/>
        <v>20</v>
      </c>
      <c r="B232" s="24">
        <v>12</v>
      </c>
      <c r="C232" s="24">
        <v>43</v>
      </c>
      <c r="E232" s="4">
        <v>436042</v>
      </c>
      <c r="F232" s="2" t="s">
        <v>2</v>
      </c>
      <c r="G232" s="2" t="str">
        <f t="shared" si="51"/>
        <v>https://www.oreht.ru/modules.php?name=orehtPriceLS&amp;op=Search&amp;page=1&amp;stext=436042</v>
      </c>
      <c r="I232">
        <v>436042</v>
      </c>
      <c r="J232" t="s">
        <v>2</v>
      </c>
      <c r="K232" t="s">
        <v>936</v>
      </c>
      <c r="L232" t="s">
        <v>937</v>
      </c>
      <c r="M232" t="s">
        <v>938</v>
      </c>
    </row>
    <row r="233" spans="1:13" hidden="1" x14ac:dyDescent="0.25">
      <c r="A233" s="24">
        <f t="shared" si="52"/>
        <v>20</v>
      </c>
      <c r="B233" s="24">
        <v>12</v>
      </c>
      <c r="C233" s="24">
        <v>67</v>
      </c>
      <c r="E233" s="4">
        <v>428829</v>
      </c>
      <c r="F233" s="2" t="s">
        <v>2</v>
      </c>
      <c r="G233" s="2" t="str">
        <f t="shared" si="51"/>
        <v>https://www.oreht.ru/modules.php?name=orehtPriceLS&amp;op=Search&amp;page=1&amp;stext=428829</v>
      </c>
      <c r="I233">
        <v>428829</v>
      </c>
      <c r="J233" t="s">
        <v>2</v>
      </c>
      <c r="K233" t="s">
        <v>939</v>
      </c>
      <c r="L233" t="s">
        <v>940</v>
      </c>
      <c r="M233" t="s">
        <v>941</v>
      </c>
    </row>
    <row r="234" spans="1:13" hidden="1" x14ac:dyDescent="0.25">
      <c r="A234" s="24">
        <f t="shared" si="52"/>
        <v>20</v>
      </c>
      <c r="B234" s="24">
        <v>12</v>
      </c>
      <c r="C234" s="24">
        <v>67</v>
      </c>
      <c r="E234" s="4">
        <v>427221</v>
      </c>
      <c r="F234" s="2" t="s">
        <v>2</v>
      </c>
      <c r="G234" s="2" t="str">
        <f t="shared" si="51"/>
        <v>https://www.oreht.ru/modules.php?name=orehtPriceLS&amp;op=Search&amp;page=1&amp;stext=427221</v>
      </c>
      <c r="I234">
        <v>427221</v>
      </c>
      <c r="J234" t="s">
        <v>2</v>
      </c>
      <c r="K234" t="s">
        <v>942</v>
      </c>
      <c r="L234" t="s">
        <v>943</v>
      </c>
      <c r="M234" t="s">
        <v>941</v>
      </c>
    </row>
    <row r="235" spans="1:13" hidden="1" x14ac:dyDescent="0.25">
      <c r="A235" s="24">
        <f t="shared" si="52"/>
        <v>20</v>
      </c>
      <c r="B235" s="24">
        <v>12</v>
      </c>
      <c r="C235" s="24">
        <v>43</v>
      </c>
      <c r="E235" s="4">
        <v>436043</v>
      </c>
      <c r="F235" s="2" t="s">
        <v>2</v>
      </c>
      <c r="G235" s="2" t="str">
        <f t="shared" si="51"/>
        <v>https://www.oreht.ru/modules.php?name=orehtPriceLS&amp;op=Search&amp;page=1&amp;stext=436043</v>
      </c>
      <c r="I235">
        <v>436043</v>
      </c>
      <c r="J235" t="s">
        <v>2</v>
      </c>
      <c r="K235" t="s">
        <v>944</v>
      </c>
      <c r="L235" t="s">
        <v>945</v>
      </c>
      <c r="M235" t="s">
        <v>946</v>
      </c>
    </row>
    <row r="236" spans="1:13" hidden="1" x14ac:dyDescent="0.25">
      <c r="A236" s="24">
        <f t="shared" si="52"/>
        <v>20</v>
      </c>
      <c r="B236" s="24">
        <v>12</v>
      </c>
      <c r="C236" s="24">
        <v>43</v>
      </c>
      <c r="E236" s="4">
        <v>416623</v>
      </c>
      <c r="F236" s="2" t="s">
        <v>2</v>
      </c>
      <c r="G236" s="2" t="str">
        <f t="shared" si="51"/>
        <v>https://www.oreht.ru/modules.php?name=orehtPriceLS&amp;op=Search&amp;page=1&amp;stext=416623</v>
      </c>
      <c r="I236">
        <v>416623</v>
      </c>
      <c r="J236" t="s">
        <v>2</v>
      </c>
      <c r="K236" t="s">
        <v>947</v>
      </c>
      <c r="L236" t="s">
        <v>948</v>
      </c>
      <c r="M236" t="s">
        <v>862</v>
      </c>
    </row>
    <row r="237" spans="1:13" hidden="1" x14ac:dyDescent="0.25">
      <c r="A237" s="24">
        <f t="shared" si="52"/>
        <v>20</v>
      </c>
      <c r="B237" s="24">
        <v>12</v>
      </c>
      <c r="C237" s="24">
        <v>49</v>
      </c>
      <c r="E237" s="4">
        <v>416093</v>
      </c>
      <c r="F237" s="2" t="s">
        <v>2</v>
      </c>
      <c r="G237" s="2" t="str">
        <f t="shared" si="51"/>
        <v>https://www.oreht.ru/modules.php?name=orehtPriceLS&amp;op=Search&amp;page=1&amp;stext=416093</v>
      </c>
      <c r="I237">
        <v>416093</v>
      </c>
      <c r="J237" t="s">
        <v>2</v>
      </c>
      <c r="K237" t="s">
        <v>949</v>
      </c>
      <c r="L237" t="s">
        <v>950</v>
      </c>
      <c r="M237" t="s">
        <v>786</v>
      </c>
    </row>
    <row r="238" spans="1:13" x14ac:dyDescent="0.25">
      <c r="A238" s="24">
        <f t="shared" si="52"/>
        <v>20</v>
      </c>
      <c r="B238" s="24">
        <v>12</v>
      </c>
      <c r="C238" s="24">
        <v>41</v>
      </c>
      <c r="E238" s="4">
        <v>139338</v>
      </c>
      <c r="F238" s="2" t="s">
        <v>2</v>
      </c>
      <c r="G238" s="2" t="str">
        <f t="shared" si="51"/>
        <v>https://www.oreht.ru/modules.php?name=orehtPriceLS&amp;op=Search&amp;page=1&amp;stext=139338</v>
      </c>
      <c r="I238">
        <v>139338</v>
      </c>
      <c r="J238" t="s">
        <v>2</v>
      </c>
      <c r="K238" t="s">
        <v>951</v>
      </c>
      <c r="L238" t="s">
        <v>952</v>
      </c>
      <c r="M238" t="s">
        <v>649</v>
      </c>
    </row>
    <row r="239" spans="1:13" hidden="1" x14ac:dyDescent="0.25">
      <c r="A239" s="24">
        <f t="shared" si="52"/>
        <v>20</v>
      </c>
      <c r="B239" s="24">
        <v>12</v>
      </c>
      <c r="C239" s="24">
        <v>43</v>
      </c>
      <c r="E239" s="4">
        <v>351987</v>
      </c>
      <c r="F239" s="2" t="s">
        <v>2</v>
      </c>
      <c r="G239" s="2" t="str">
        <f t="shared" si="51"/>
        <v>https://www.oreht.ru/modules.php?name=orehtPriceLS&amp;op=Search&amp;page=1&amp;stext=351987</v>
      </c>
      <c r="I239">
        <v>351987</v>
      </c>
      <c r="J239" t="s">
        <v>2</v>
      </c>
      <c r="K239" t="s">
        <v>953</v>
      </c>
      <c r="L239" t="s">
        <v>954</v>
      </c>
      <c r="M239" t="s">
        <v>955</v>
      </c>
    </row>
    <row r="240" spans="1:13" hidden="1" x14ac:dyDescent="0.25">
      <c r="A240" s="24">
        <f t="shared" si="52"/>
        <v>20</v>
      </c>
      <c r="B240" s="24">
        <v>12</v>
      </c>
      <c r="C240" s="24">
        <v>67</v>
      </c>
      <c r="E240" s="4">
        <v>416115</v>
      </c>
      <c r="F240" s="2" t="s">
        <v>2</v>
      </c>
      <c r="G240" s="2" t="str">
        <f t="shared" si="51"/>
        <v>https://www.oreht.ru/modules.php?name=orehtPriceLS&amp;op=Search&amp;page=1&amp;stext=416115</v>
      </c>
      <c r="I240">
        <v>416115</v>
      </c>
      <c r="J240" t="s">
        <v>2</v>
      </c>
      <c r="K240" t="s">
        <v>956</v>
      </c>
      <c r="L240" t="s">
        <v>957</v>
      </c>
      <c r="M240" t="s">
        <v>958</v>
      </c>
    </row>
    <row r="241" spans="1:13" hidden="1" x14ac:dyDescent="0.25">
      <c r="A241" s="24">
        <f t="shared" si="52"/>
        <v>20</v>
      </c>
      <c r="B241" s="24">
        <v>12</v>
      </c>
      <c r="C241" s="24">
        <v>41</v>
      </c>
      <c r="E241" s="4">
        <v>400003</v>
      </c>
      <c r="F241" s="2" t="s">
        <v>2</v>
      </c>
      <c r="G241" s="2" t="str">
        <f t="shared" si="51"/>
        <v>https://www.oreht.ru/modules.php?name=orehtPriceLS&amp;op=Search&amp;page=1&amp;stext=400003</v>
      </c>
      <c r="I241">
        <v>400003</v>
      </c>
      <c r="J241" t="s">
        <v>2</v>
      </c>
      <c r="K241" t="s">
        <v>959</v>
      </c>
      <c r="L241" t="s">
        <v>960</v>
      </c>
      <c r="M241" t="s">
        <v>961</v>
      </c>
    </row>
    <row r="242" spans="1:13" hidden="1" x14ac:dyDescent="0.25">
      <c r="A242" s="24">
        <f t="shared" si="52"/>
        <v>20</v>
      </c>
      <c r="B242" s="24">
        <v>12</v>
      </c>
      <c r="C242" s="24">
        <v>43</v>
      </c>
      <c r="E242" s="4">
        <v>229902</v>
      </c>
      <c r="F242" s="2" t="s">
        <v>2</v>
      </c>
      <c r="G242" s="2" t="str">
        <f t="shared" si="51"/>
        <v>https://www.oreht.ru/modules.php?name=orehtPriceLS&amp;op=Search&amp;page=1&amp;stext=229902</v>
      </c>
      <c r="I242">
        <v>229902</v>
      </c>
      <c r="J242" t="s">
        <v>2</v>
      </c>
      <c r="K242" t="s">
        <v>962</v>
      </c>
      <c r="L242" t="s">
        <v>963</v>
      </c>
      <c r="M242" t="s">
        <v>703</v>
      </c>
    </row>
    <row r="243" spans="1:13" hidden="1" x14ac:dyDescent="0.25">
      <c r="A243" s="24">
        <f t="shared" si="52"/>
        <v>20</v>
      </c>
      <c r="B243" s="24">
        <v>12</v>
      </c>
      <c r="C243" s="24">
        <v>43</v>
      </c>
      <c r="E243" s="4">
        <v>278262</v>
      </c>
      <c r="F243" s="2" t="s">
        <v>2</v>
      </c>
      <c r="G243" s="2" t="str">
        <f t="shared" si="51"/>
        <v>https://www.oreht.ru/modules.php?name=orehtPriceLS&amp;op=Search&amp;page=1&amp;stext=278262</v>
      </c>
      <c r="I243">
        <v>278262</v>
      </c>
      <c r="J243" t="s">
        <v>2</v>
      </c>
      <c r="K243" t="s">
        <v>964</v>
      </c>
      <c r="L243" t="s">
        <v>965</v>
      </c>
      <c r="M243" t="s">
        <v>966</v>
      </c>
    </row>
    <row r="244" spans="1:13" x14ac:dyDescent="0.25">
      <c r="A244" s="24">
        <f t="shared" si="52"/>
        <v>20</v>
      </c>
      <c r="B244" s="24">
        <v>12</v>
      </c>
      <c r="C244" s="24">
        <v>43</v>
      </c>
      <c r="E244" s="4">
        <v>239189</v>
      </c>
      <c r="F244" s="2" t="s">
        <v>2</v>
      </c>
      <c r="G244" s="2" t="str">
        <f t="shared" si="51"/>
        <v>https://www.oreht.ru/modules.php?name=orehtPriceLS&amp;op=Search&amp;page=1&amp;stext=239189</v>
      </c>
      <c r="I244">
        <v>239189</v>
      </c>
      <c r="J244" t="s">
        <v>2</v>
      </c>
      <c r="K244" t="s">
        <v>967</v>
      </c>
      <c r="L244" t="s">
        <v>968</v>
      </c>
      <c r="M244" t="s">
        <v>649</v>
      </c>
    </row>
    <row r="245" spans="1:13" x14ac:dyDescent="0.25">
      <c r="A245" s="24">
        <f t="shared" si="52"/>
        <v>20</v>
      </c>
      <c r="B245" s="24">
        <v>12</v>
      </c>
      <c r="C245" s="24">
        <v>45</v>
      </c>
      <c r="E245" s="4">
        <v>390865</v>
      </c>
      <c r="F245" s="2" t="s">
        <v>2</v>
      </c>
      <c r="G245" s="2" t="str">
        <f t="shared" si="51"/>
        <v>https://www.oreht.ru/modules.php?name=orehtPriceLS&amp;op=Search&amp;page=1&amp;stext=390865</v>
      </c>
      <c r="I245">
        <v>390865</v>
      </c>
      <c r="J245" t="s">
        <v>2</v>
      </c>
      <c r="K245" t="s">
        <v>969</v>
      </c>
      <c r="L245" t="s">
        <v>970</v>
      </c>
      <c r="M245" t="s">
        <v>649</v>
      </c>
    </row>
    <row r="246" spans="1:13" hidden="1" x14ac:dyDescent="0.25">
      <c r="A246" s="24">
        <f t="shared" si="52"/>
        <v>20</v>
      </c>
      <c r="B246" s="24">
        <v>12</v>
      </c>
      <c r="C246" s="24">
        <v>67</v>
      </c>
      <c r="E246" s="4">
        <v>416120</v>
      </c>
      <c r="F246" s="2" t="s">
        <v>2</v>
      </c>
      <c r="G246" s="2" t="str">
        <f t="shared" si="51"/>
        <v>https://www.oreht.ru/modules.php?name=orehtPriceLS&amp;op=Search&amp;page=1&amp;stext=416120</v>
      </c>
      <c r="I246">
        <v>416120</v>
      </c>
      <c r="J246" t="s">
        <v>2</v>
      </c>
      <c r="K246" t="s">
        <v>971</v>
      </c>
      <c r="L246" t="s">
        <v>972</v>
      </c>
      <c r="M246" t="s">
        <v>973</v>
      </c>
    </row>
    <row r="247" spans="1:13" hidden="1" x14ac:dyDescent="0.25">
      <c r="A247" s="24">
        <f t="shared" si="52"/>
        <v>20</v>
      </c>
      <c r="B247" s="24">
        <v>12</v>
      </c>
      <c r="C247" s="24">
        <v>42</v>
      </c>
      <c r="E247" s="4">
        <v>415053</v>
      </c>
      <c r="F247" s="2" t="s">
        <v>2</v>
      </c>
      <c r="G247" s="2" t="str">
        <f t="shared" si="51"/>
        <v>https://www.oreht.ru/modules.php?name=orehtPriceLS&amp;op=Search&amp;page=1&amp;stext=415053</v>
      </c>
      <c r="I247">
        <v>415053</v>
      </c>
      <c r="J247" t="s">
        <v>2</v>
      </c>
      <c r="K247" t="s">
        <v>974</v>
      </c>
      <c r="L247" t="s">
        <v>975</v>
      </c>
      <c r="M247" t="s">
        <v>976</v>
      </c>
    </row>
    <row r="248" spans="1:13" hidden="1" x14ac:dyDescent="0.25">
      <c r="A248" s="24">
        <f t="shared" si="52"/>
        <v>20</v>
      </c>
      <c r="B248" s="24">
        <v>12</v>
      </c>
      <c r="C248" s="24">
        <v>43</v>
      </c>
      <c r="E248" s="4">
        <v>242755</v>
      </c>
      <c r="F248" s="2" t="s">
        <v>2</v>
      </c>
      <c r="G248" s="2" t="str">
        <f t="shared" si="51"/>
        <v>https://www.oreht.ru/modules.php?name=orehtPriceLS&amp;op=Search&amp;page=1&amp;stext=242755</v>
      </c>
      <c r="I248">
        <v>242755</v>
      </c>
      <c r="J248" t="s">
        <v>2</v>
      </c>
      <c r="K248" t="s">
        <v>977</v>
      </c>
      <c r="L248" t="s">
        <v>978</v>
      </c>
      <c r="M248" t="s">
        <v>979</v>
      </c>
    </row>
    <row r="249" spans="1:13" x14ac:dyDescent="0.25">
      <c r="A249" s="24">
        <f t="shared" si="52"/>
        <v>20</v>
      </c>
      <c r="B249" s="24">
        <v>12</v>
      </c>
      <c r="C249" s="24">
        <v>43</v>
      </c>
      <c r="E249" s="4">
        <v>229901</v>
      </c>
      <c r="F249" s="2" t="s">
        <v>2</v>
      </c>
      <c r="G249" s="2" t="str">
        <f t="shared" si="51"/>
        <v>https://www.oreht.ru/modules.php?name=orehtPriceLS&amp;op=Search&amp;page=1&amp;stext=229901</v>
      </c>
      <c r="I249">
        <v>229901</v>
      </c>
      <c r="J249" t="s">
        <v>2</v>
      </c>
      <c r="K249" t="s">
        <v>980</v>
      </c>
      <c r="L249" t="s">
        <v>981</v>
      </c>
      <c r="M249" t="s">
        <v>649</v>
      </c>
    </row>
    <row r="250" spans="1:13" hidden="1" x14ac:dyDescent="0.25">
      <c r="A250" s="24">
        <f t="shared" si="52"/>
        <v>20</v>
      </c>
      <c r="B250" s="24">
        <v>12</v>
      </c>
      <c r="C250" s="24">
        <v>42</v>
      </c>
      <c r="E250" s="4">
        <v>382349</v>
      </c>
      <c r="F250" s="2" t="s">
        <v>2</v>
      </c>
      <c r="G250" s="2" t="str">
        <f t="shared" si="51"/>
        <v>https://www.oreht.ru/modules.php?name=orehtPriceLS&amp;op=Search&amp;page=1&amp;stext=382349</v>
      </c>
      <c r="I250">
        <v>382349</v>
      </c>
      <c r="J250" t="s">
        <v>2</v>
      </c>
      <c r="K250" t="s">
        <v>982</v>
      </c>
      <c r="L250" t="s">
        <v>983</v>
      </c>
      <c r="M250" t="s">
        <v>984</v>
      </c>
    </row>
    <row r="251" spans="1:13" hidden="1" x14ac:dyDescent="0.25">
      <c r="A251" s="24">
        <f t="shared" si="52"/>
        <v>20</v>
      </c>
      <c r="B251" s="24">
        <v>12</v>
      </c>
      <c r="C251" s="24">
        <v>67</v>
      </c>
      <c r="E251" s="4">
        <v>400827</v>
      </c>
      <c r="F251" s="2" t="s">
        <v>2</v>
      </c>
      <c r="G251" s="2" t="str">
        <f t="shared" si="51"/>
        <v>https://www.oreht.ru/modules.php?name=orehtPriceLS&amp;op=Search&amp;page=1&amp;stext=400827</v>
      </c>
      <c r="I251">
        <v>400827</v>
      </c>
      <c r="J251" t="s">
        <v>2</v>
      </c>
      <c r="K251" t="s">
        <v>985</v>
      </c>
      <c r="L251" t="s">
        <v>986</v>
      </c>
      <c r="M251" t="s">
        <v>984</v>
      </c>
    </row>
    <row r="252" spans="1:13" hidden="1" x14ac:dyDescent="0.25">
      <c r="A252" s="24">
        <f t="shared" si="52"/>
        <v>20</v>
      </c>
      <c r="B252" s="24">
        <v>12</v>
      </c>
      <c r="C252" s="24">
        <v>67</v>
      </c>
      <c r="E252" s="4">
        <v>397348</v>
      </c>
      <c r="F252" s="2" t="s">
        <v>2</v>
      </c>
      <c r="G252" s="2" t="str">
        <f t="shared" si="51"/>
        <v>https://www.oreht.ru/modules.php?name=orehtPriceLS&amp;op=Search&amp;page=1&amp;stext=397348</v>
      </c>
      <c r="I252">
        <v>397348</v>
      </c>
      <c r="J252" t="s">
        <v>2</v>
      </c>
      <c r="K252" t="s">
        <v>987</v>
      </c>
      <c r="L252" t="s">
        <v>988</v>
      </c>
      <c r="M252" t="s">
        <v>984</v>
      </c>
    </row>
    <row r="253" spans="1:13" hidden="1" x14ac:dyDescent="0.25">
      <c r="A253" s="24">
        <f t="shared" si="52"/>
        <v>20</v>
      </c>
      <c r="B253" s="24">
        <v>12</v>
      </c>
      <c r="C253" s="24">
        <v>67</v>
      </c>
      <c r="E253" s="4">
        <v>397352</v>
      </c>
      <c r="F253" s="2" t="s">
        <v>2</v>
      </c>
      <c r="G253" s="2" t="str">
        <f t="shared" si="51"/>
        <v>https://www.oreht.ru/modules.php?name=orehtPriceLS&amp;op=Search&amp;page=1&amp;stext=397352</v>
      </c>
      <c r="I253">
        <v>397352</v>
      </c>
      <c r="J253" t="s">
        <v>2</v>
      </c>
      <c r="K253" t="s">
        <v>989</v>
      </c>
      <c r="L253" t="s">
        <v>990</v>
      </c>
      <c r="M253" t="s">
        <v>991</v>
      </c>
    </row>
    <row r="254" spans="1:13" hidden="1" x14ac:dyDescent="0.25">
      <c r="A254" s="24">
        <f t="shared" si="52"/>
        <v>20</v>
      </c>
      <c r="B254" s="24">
        <v>12</v>
      </c>
      <c r="C254" s="24">
        <v>67</v>
      </c>
      <c r="E254" s="4">
        <v>400823</v>
      </c>
      <c r="F254" s="2" t="s">
        <v>2</v>
      </c>
      <c r="G254" s="2" t="str">
        <f t="shared" si="51"/>
        <v>https://www.oreht.ru/modules.php?name=orehtPriceLS&amp;op=Search&amp;page=1&amp;stext=400823</v>
      </c>
      <c r="I254">
        <v>400823</v>
      </c>
      <c r="J254" t="s">
        <v>2</v>
      </c>
      <c r="K254" t="s">
        <v>992</v>
      </c>
      <c r="L254" t="s">
        <v>993</v>
      </c>
      <c r="M254" t="s">
        <v>991</v>
      </c>
    </row>
    <row r="255" spans="1:13" hidden="1" x14ac:dyDescent="0.25">
      <c r="A255" s="24">
        <f t="shared" si="52"/>
        <v>20</v>
      </c>
      <c r="B255" s="24">
        <v>12</v>
      </c>
      <c r="C255" s="24">
        <v>43</v>
      </c>
      <c r="E255" s="4">
        <v>379395</v>
      </c>
      <c r="F255" s="2" t="s">
        <v>2</v>
      </c>
      <c r="G255" s="2" t="str">
        <f t="shared" si="51"/>
        <v>https://www.oreht.ru/modules.php?name=orehtPriceLS&amp;op=Search&amp;page=1&amp;stext=379395</v>
      </c>
      <c r="I255">
        <v>379395</v>
      </c>
      <c r="J255" t="s">
        <v>2</v>
      </c>
      <c r="K255" t="s">
        <v>994</v>
      </c>
      <c r="L255" t="s">
        <v>995</v>
      </c>
      <c r="M255" t="s">
        <v>917</v>
      </c>
    </row>
    <row r="256" spans="1:13" hidden="1" x14ac:dyDescent="0.25">
      <c r="A256" s="24">
        <f t="shared" si="52"/>
        <v>20</v>
      </c>
      <c r="B256" s="24">
        <v>12</v>
      </c>
      <c r="C256" s="24">
        <v>43</v>
      </c>
      <c r="E256" s="4">
        <v>260127</v>
      </c>
      <c r="F256" s="2" t="s">
        <v>2</v>
      </c>
      <c r="G256" s="2" t="str">
        <f t="shared" si="51"/>
        <v>https://www.oreht.ru/modules.php?name=orehtPriceLS&amp;op=Search&amp;page=1&amp;stext=260127</v>
      </c>
      <c r="I256">
        <v>260127</v>
      </c>
      <c r="J256" t="s">
        <v>2</v>
      </c>
      <c r="K256" t="s">
        <v>996</v>
      </c>
      <c r="L256" t="s">
        <v>997</v>
      </c>
      <c r="M256" t="s">
        <v>812</v>
      </c>
    </row>
    <row r="257" spans="1:13" hidden="1" x14ac:dyDescent="0.25">
      <c r="A257" s="24">
        <f t="shared" si="52"/>
        <v>20</v>
      </c>
      <c r="B257" s="24">
        <v>12</v>
      </c>
      <c r="C257" s="24">
        <v>43</v>
      </c>
      <c r="E257" s="4">
        <v>313093</v>
      </c>
      <c r="F257" s="2" t="s">
        <v>2</v>
      </c>
      <c r="G257" s="2" t="str">
        <f t="shared" si="51"/>
        <v>https://www.oreht.ru/modules.php?name=orehtPriceLS&amp;op=Search&amp;page=1&amp;stext=313093</v>
      </c>
      <c r="I257">
        <v>313093</v>
      </c>
      <c r="J257" t="s">
        <v>2</v>
      </c>
      <c r="K257" t="s">
        <v>998</v>
      </c>
      <c r="L257" t="s">
        <v>999</v>
      </c>
      <c r="M257" t="s">
        <v>1000</v>
      </c>
    </row>
    <row r="258" spans="1:13" hidden="1" x14ac:dyDescent="0.25">
      <c r="A258" s="24">
        <f t="shared" si="52"/>
        <v>20</v>
      </c>
      <c r="B258" s="24">
        <v>12</v>
      </c>
      <c r="C258" s="24">
        <v>43</v>
      </c>
      <c r="E258" s="4">
        <v>436041</v>
      </c>
      <c r="F258" s="2" t="s">
        <v>2</v>
      </c>
      <c r="G258" s="2" t="str">
        <f t="shared" ref="G258:G321" si="53">HYPERLINK(F258&amp;E258)</f>
        <v>https://www.oreht.ru/modules.php?name=orehtPriceLS&amp;op=Search&amp;page=1&amp;stext=436041</v>
      </c>
      <c r="I258">
        <v>436041</v>
      </c>
      <c r="J258" t="s">
        <v>2</v>
      </c>
      <c r="K258" t="s">
        <v>1001</v>
      </c>
      <c r="L258" t="s">
        <v>1002</v>
      </c>
      <c r="M258" t="s">
        <v>1003</v>
      </c>
    </row>
    <row r="259" spans="1:13" hidden="1" x14ac:dyDescent="0.25">
      <c r="A259" s="24">
        <f t="shared" si="52"/>
        <v>20</v>
      </c>
      <c r="B259" s="24">
        <v>12</v>
      </c>
      <c r="C259" s="24">
        <v>40</v>
      </c>
      <c r="E259" s="4">
        <v>117966</v>
      </c>
      <c r="F259" s="2" t="s">
        <v>2</v>
      </c>
      <c r="G259" s="2" t="str">
        <f t="shared" si="53"/>
        <v>https://www.oreht.ru/modules.php?name=orehtPriceLS&amp;op=Search&amp;page=1&amp;stext=117966</v>
      </c>
      <c r="I259">
        <v>117966</v>
      </c>
      <c r="J259" t="s">
        <v>2</v>
      </c>
      <c r="K259" t="s">
        <v>1004</v>
      </c>
      <c r="L259" t="s">
        <v>1005</v>
      </c>
      <c r="M259" t="s">
        <v>984</v>
      </c>
    </row>
    <row r="260" spans="1:13" x14ac:dyDescent="0.25">
      <c r="A260" s="24">
        <f t="shared" si="52"/>
        <v>20</v>
      </c>
      <c r="B260" s="24">
        <v>12</v>
      </c>
      <c r="C260" s="24">
        <v>42</v>
      </c>
      <c r="E260" s="4">
        <v>422975</v>
      </c>
      <c r="F260" s="2" t="s">
        <v>2</v>
      </c>
      <c r="G260" s="2" t="str">
        <f t="shared" si="53"/>
        <v>https://www.oreht.ru/modules.php?name=orehtPriceLS&amp;op=Search&amp;page=1&amp;stext=422975</v>
      </c>
      <c r="I260">
        <v>422975</v>
      </c>
      <c r="J260" t="s">
        <v>2</v>
      </c>
      <c r="K260" t="s">
        <v>1006</v>
      </c>
      <c r="L260" t="s">
        <v>1007</v>
      </c>
      <c r="M260" t="s">
        <v>649</v>
      </c>
    </row>
    <row r="261" spans="1:13" x14ac:dyDescent="0.25">
      <c r="A261" s="24">
        <f t="shared" ref="A261:A324" si="54">IF(W261*0.05&gt;=250,250,IF(W261*0.05&gt;=20,IF(W261*0.05&lt;20,20,W261*0.05),20))</f>
        <v>20</v>
      </c>
      <c r="B261" s="24">
        <v>12</v>
      </c>
      <c r="C261" s="24">
        <v>67</v>
      </c>
      <c r="E261" s="4">
        <v>427222</v>
      </c>
      <c r="F261" s="2" t="s">
        <v>2</v>
      </c>
      <c r="G261" s="2" t="str">
        <f t="shared" si="53"/>
        <v>https://www.oreht.ru/modules.php?name=orehtPriceLS&amp;op=Search&amp;page=1&amp;stext=427222</v>
      </c>
      <c r="I261">
        <v>427222</v>
      </c>
      <c r="J261" t="s">
        <v>2</v>
      </c>
      <c r="K261" t="s">
        <v>1008</v>
      </c>
      <c r="L261" t="s">
        <v>1009</v>
      </c>
      <c r="M261" t="s">
        <v>649</v>
      </c>
    </row>
    <row r="262" spans="1:13" hidden="1" x14ac:dyDescent="0.25">
      <c r="A262" s="24">
        <f t="shared" si="54"/>
        <v>20</v>
      </c>
      <c r="B262" s="24">
        <v>12</v>
      </c>
      <c r="C262" s="24">
        <v>47</v>
      </c>
      <c r="E262" s="4">
        <v>235009</v>
      </c>
      <c r="F262" s="2" t="s">
        <v>2</v>
      </c>
      <c r="G262" s="2" t="str">
        <f t="shared" si="53"/>
        <v>https://www.oreht.ru/modules.php?name=orehtPriceLS&amp;op=Search&amp;page=1&amp;stext=235009</v>
      </c>
      <c r="I262">
        <v>235009</v>
      </c>
      <c r="J262" t="s">
        <v>2</v>
      </c>
      <c r="K262" t="s">
        <v>1010</v>
      </c>
      <c r="L262" t="s">
        <v>1011</v>
      </c>
      <c r="M262" t="s">
        <v>1012</v>
      </c>
    </row>
    <row r="263" spans="1:13" hidden="1" x14ac:dyDescent="0.25">
      <c r="A263" s="24">
        <f t="shared" si="54"/>
        <v>20</v>
      </c>
      <c r="B263" s="24">
        <v>12</v>
      </c>
      <c r="C263" s="24">
        <v>43</v>
      </c>
      <c r="E263" s="4">
        <v>118138</v>
      </c>
      <c r="F263" s="2" t="s">
        <v>2</v>
      </c>
      <c r="G263" s="2" t="str">
        <f t="shared" si="53"/>
        <v>https://www.oreht.ru/modules.php?name=orehtPriceLS&amp;op=Search&amp;page=1&amp;stext=118138</v>
      </c>
      <c r="I263">
        <v>118138</v>
      </c>
      <c r="J263" t="s">
        <v>2</v>
      </c>
      <c r="K263" t="s">
        <v>1013</v>
      </c>
      <c r="L263" t="s">
        <v>1014</v>
      </c>
      <c r="M263" t="s">
        <v>1012</v>
      </c>
    </row>
    <row r="264" spans="1:13" hidden="1" x14ac:dyDescent="0.25">
      <c r="A264" s="24">
        <f t="shared" si="54"/>
        <v>20</v>
      </c>
      <c r="B264" s="24">
        <v>12</v>
      </c>
      <c r="C264" s="24">
        <v>42</v>
      </c>
      <c r="E264" s="4">
        <v>422472</v>
      </c>
      <c r="F264" s="2" t="s">
        <v>2</v>
      </c>
      <c r="G264" s="2" t="str">
        <f t="shared" si="53"/>
        <v>https://www.oreht.ru/modules.php?name=orehtPriceLS&amp;op=Search&amp;page=1&amp;stext=422472</v>
      </c>
      <c r="I264">
        <v>422472</v>
      </c>
      <c r="J264" t="s">
        <v>2</v>
      </c>
      <c r="K264" t="s">
        <v>1015</v>
      </c>
      <c r="L264" t="s">
        <v>1016</v>
      </c>
      <c r="M264" t="s">
        <v>1017</v>
      </c>
    </row>
    <row r="265" spans="1:13" x14ac:dyDescent="0.25">
      <c r="A265" s="24">
        <f t="shared" si="54"/>
        <v>20</v>
      </c>
      <c r="B265" s="24">
        <v>12</v>
      </c>
      <c r="C265" s="24">
        <v>42</v>
      </c>
      <c r="E265" s="4">
        <v>422478</v>
      </c>
      <c r="F265" s="2" t="s">
        <v>2</v>
      </c>
      <c r="G265" s="2" t="str">
        <f t="shared" si="53"/>
        <v>https://www.oreht.ru/modules.php?name=orehtPriceLS&amp;op=Search&amp;page=1&amp;stext=422478</v>
      </c>
      <c r="I265">
        <v>422478</v>
      </c>
      <c r="J265" t="s">
        <v>2</v>
      </c>
      <c r="K265" t="s">
        <v>1018</v>
      </c>
      <c r="L265" t="s">
        <v>1019</v>
      </c>
      <c r="M265" t="s">
        <v>649</v>
      </c>
    </row>
    <row r="266" spans="1:13" hidden="1" x14ac:dyDescent="0.25">
      <c r="A266" s="24">
        <f t="shared" si="54"/>
        <v>20</v>
      </c>
      <c r="B266" s="24">
        <v>12</v>
      </c>
      <c r="C266" s="24">
        <v>43</v>
      </c>
      <c r="E266" s="4">
        <v>460078</v>
      </c>
      <c r="F266" s="2" t="s">
        <v>2</v>
      </c>
      <c r="G266" s="2" t="str">
        <f t="shared" si="53"/>
        <v>https://www.oreht.ru/modules.php?name=orehtPriceLS&amp;op=Search&amp;page=1&amp;stext=460078</v>
      </c>
      <c r="I266">
        <v>460078</v>
      </c>
      <c r="J266" t="s">
        <v>2</v>
      </c>
      <c r="K266" t="s">
        <v>1020</v>
      </c>
      <c r="L266" t="s">
        <v>1021</v>
      </c>
      <c r="M266" t="s">
        <v>1022</v>
      </c>
    </row>
    <row r="267" spans="1:13" x14ac:dyDescent="0.25">
      <c r="A267" s="24">
        <f t="shared" si="54"/>
        <v>20</v>
      </c>
      <c r="B267" s="24">
        <v>12</v>
      </c>
      <c r="C267" s="24">
        <v>42</v>
      </c>
      <c r="E267" s="4">
        <v>269804</v>
      </c>
      <c r="F267" s="2" t="s">
        <v>2</v>
      </c>
      <c r="G267" s="2" t="str">
        <f t="shared" si="53"/>
        <v>https://www.oreht.ru/modules.php?name=orehtPriceLS&amp;op=Search&amp;page=1&amp;stext=269804</v>
      </c>
      <c r="I267">
        <v>269804</v>
      </c>
      <c r="J267" t="s">
        <v>2</v>
      </c>
      <c r="K267" t="s">
        <v>1023</v>
      </c>
      <c r="L267" t="s">
        <v>1024</v>
      </c>
      <c r="M267" t="s">
        <v>649</v>
      </c>
    </row>
    <row r="268" spans="1:13" hidden="1" x14ac:dyDescent="0.25">
      <c r="A268" s="24">
        <f t="shared" si="54"/>
        <v>20</v>
      </c>
      <c r="B268" s="24">
        <v>12</v>
      </c>
      <c r="C268" s="24">
        <v>42</v>
      </c>
      <c r="E268" s="4">
        <v>382348</v>
      </c>
      <c r="F268" s="2" t="s">
        <v>2</v>
      </c>
      <c r="G268" s="2" t="str">
        <f t="shared" si="53"/>
        <v>https://www.oreht.ru/modules.php?name=orehtPriceLS&amp;op=Search&amp;page=1&amp;stext=382348</v>
      </c>
      <c r="I268">
        <v>382348</v>
      </c>
      <c r="J268" t="s">
        <v>2</v>
      </c>
      <c r="K268" t="s">
        <v>1025</v>
      </c>
      <c r="L268" t="s">
        <v>1026</v>
      </c>
      <c r="M268" t="s">
        <v>1027</v>
      </c>
    </row>
    <row r="269" spans="1:13" hidden="1" x14ac:dyDescent="0.25">
      <c r="A269" s="24">
        <f t="shared" si="54"/>
        <v>20</v>
      </c>
      <c r="B269" s="24">
        <v>12</v>
      </c>
      <c r="C269" s="24">
        <v>41</v>
      </c>
      <c r="E269" s="4">
        <v>382347</v>
      </c>
      <c r="F269" s="2" t="s">
        <v>2</v>
      </c>
      <c r="G269" s="2" t="str">
        <f t="shared" si="53"/>
        <v>https://www.oreht.ru/modules.php?name=orehtPriceLS&amp;op=Search&amp;page=1&amp;stext=382347</v>
      </c>
      <c r="I269">
        <v>382347</v>
      </c>
      <c r="J269" t="s">
        <v>2</v>
      </c>
      <c r="K269" t="s">
        <v>1028</v>
      </c>
      <c r="L269" t="s">
        <v>1029</v>
      </c>
      <c r="M269" t="s">
        <v>1027</v>
      </c>
    </row>
    <row r="270" spans="1:13" x14ac:dyDescent="0.25">
      <c r="A270" s="24">
        <f t="shared" si="54"/>
        <v>20</v>
      </c>
      <c r="B270" s="24">
        <v>12</v>
      </c>
      <c r="C270" s="24">
        <v>42</v>
      </c>
      <c r="E270" s="4">
        <v>179489</v>
      </c>
      <c r="F270" s="2" t="s">
        <v>2</v>
      </c>
      <c r="G270" s="2" t="str">
        <f t="shared" si="53"/>
        <v>https://www.oreht.ru/modules.php?name=orehtPriceLS&amp;op=Search&amp;page=1&amp;stext=179489</v>
      </c>
      <c r="I270">
        <v>179489</v>
      </c>
      <c r="J270" t="s">
        <v>2</v>
      </c>
      <c r="K270" t="s">
        <v>1030</v>
      </c>
      <c r="L270" t="s">
        <v>1031</v>
      </c>
      <c r="M270" t="s">
        <v>649</v>
      </c>
    </row>
    <row r="271" spans="1:13" hidden="1" x14ac:dyDescent="0.25">
      <c r="A271" s="24">
        <f t="shared" si="54"/>
        <v>20</v>
      </c>
      <c r="B271" s="24">
        <v>12</v>
      </c>
      <c r="C271" s="24">
        <v>42</v>
      </c>
      <c r="E271" s="4">
        <v>117969</v>
      </c>
      <c r="F271" s="2" t="s">
        <v>2</v>
      </c>
      <c r="G271" s="2" t="str">
        <f t="shared" si="53"/>
        <v>https://www.oreht.ru/modules.php?name=orehtPriceLS&amp;op=Search&amp;page=1&amp;stext=117969</v>
      </c>
      <c r="I271">
        <v>117969</v>
      </c>
      <c r="J271" t="s">
        <v>2</v>
      </c>
      <c r="K271" t="s">
        <v>1032</v>
      </c>
      <c r="L271" t="s">
        <v>1033</v>
      </c>
      <c r="M271" t="s">
        <v>1034</v>
      </c>
    </row>
    <row r="272" spans="1:13" hidden="1" x14ac:dyDescent="0.25">
      <c r="A272" s="24">
        <f t="shared" si="54"/>
        <v>20</v>
      </c>
      <c r="B272" s="24">
        <v>12</v>
      </c>
      <c r="C272" s="24">
        <v>67</v>
      </c>
      <c r="E272" s="4">
        <v>240832</v>
      </c>
      <c r="F272" s="2" t="s">
        <v>2</v>
      </c>
      <c r="G272" s="2" t="str">
        <f t="shared" si="53"/>
        <v>https://www.oreht.ru/modules.php?name=orehtPriceLS&amp;op=Search&amp;page=1&amp;stext=240832</v>
      </c>
      <c r="I272">
        <v>240832</v>
      </c>
      <c r="J272" t="s">
        <v>2</v>
      </c>
      <c r="K272" t="s">
        <v>1035</v>
      </c>
      <c r="L272" t="s">
        <v>1036</v>
      </c>
      <c r="M272" t="s">
        <v>1037</v>
      </c>
    </row>
    <row r="273" spans="1:13" hidden="1" x14ac:dyDescent="0.25">
      <c r="A273" s="24">
        <f t="shared" si="54"/>
        <v>20</v>
      </c>
      <c r="B273" s="24">
        <v>12</v>
      </c>
      <c r="C273" s="24">
        <v>40</v>
      </c>
      <c r="E273" s="4">
        <v>348048</v>
      </c>
      <c r="F273" s="2" t="s">
        <v>2</v>
      </c>
      <c r="G273" s="2" t="str">
        <f t="shared" si="53"/>
        <v>https://www.oreht.ru/modules.php?name=orehtPriceLS&amp;op=Search&amp;page=1&amp;stext=348048</v>
      </c>
      <c r="I273">
        <v>348048</v>
      </c>
      <c r="J273" t="s">
        <v>2</v>
      </c>
      <c r="K273" t="s">
        <v>1038</v>
      </c>
      <c r="L273" t="s">
        <v>1039</v>
      </c>
      <c r="M273" t="s">
        <v>1040</v>
      </c>
    </row>
    <row r="274" spans="1:13" hidden="1" x14ac:dyDescent="0.25">
      <c r="A274" s="24">
        <f t="shared" si="54"/>
        <v>20</v>
      </c>
      <c r="B274" s="24">
        <v>12</v>
      </c>
      <c r="C274" s="24">
        <v>40</v>
      </c>
      <c r="E274" s="4">
        <v>320143</v>
      </c>
      <c r="F274" s="2" t="s">
        <v>2</v>
      </c>
      <c r="G274" s="2" t="str">
        <f t="shared" si="53"/>
        <v>https://www.oreht.ru/modules.php?name=orehtPriceLS&amp;op=Search&amp;page=1&amp;stext=320143</v>
      </c>
      <c r="I274">
        <v>320143</v>
      </c>
      <c r="J274" t="s">
        <v>2</v>
      </c>
      <c r="K274" t="s">
        <v>1041</v>
      </c>
      <c r="L274" t="s">
        <v>1042</v>
      </c>
      <c r="M274" t="s">
        <v>1043</v>
      </c>
    </row>
    <row r="275" spans="1:13" hidden="1" x14ac:dyDescent="0.25">
      <c r="A275" s="24">
        <f t="shared" si="54"/>
        <v>20</v>
      </c>
      <c r="B275" s="24">
        <v>12</v>
      </c>
      <c r="C275" s="24">
        <v>45</v>
      </c>
      <c r="E275" s="4">
        <v>88890</v>
      </c>
      <c r="F275" s="2" t="s">
        <v>2</v>
      </c>
      <c r="G275" s="2" t="str">
        <f t="shared" si="53"/>
        <v>https://www.oreht.ru/modules.php?name=orehtPriceLS&amp;op=Search&amp;page=1&amp;stext=88890</v>
      </c>
      <c r="I275">
        <v>88890</v>
      </c>
      <c r="J275" t="s">
        <v>2</v>
      </c>
      <c r="K275" t="s">
        <v>1044</v>
      </c>
      <c r="L275" t="s">
        <v>1045</v>
      </c>
      <c r="M275" t="s">
        <v>1046</v>
      </c>
    </row>
    <row r="276" spans="1:13" hidden="1" x14ac:dyDescent="0.25">
      <c r="A276" s="24">
        <f t="shared" si="54"/>
        <v>20</v>
      </c>
      <c r="B276" s="24">
        <v>12</v>
      </c>
      <c r="C276" s="24">
        <v>42</v>
      </c>
      <c r="E276" s="4">
        <v>398873</v>
      </c>
      <c r="F276" s="2" t="s">
        <v>2</v>
      </c>
      <c r="G276" s="2" t="str">
        <f t="shared" si="53"/>
        <v>https://www.oreht.ru/modules.php?name=orehtPriceLS&amp;op=Search&amp;page=1&amp;stext=398873</v>
      </c>
      <c r="I276">
        <v>398873</v>
      </c>
      <c r="J276" t="s">
        <v>2</v>
      </c>
      <c r="K276" t="s">
        <v>1047</v>
      </c>
      <c r="L276" t="s">
        <v>1048</v>
      </c>
      <c r="M276" t="s">
        <v>1049</v>
      </c>
    </row>
    <row r="277" spans="1:13" x14ac:dyDescent="0.25">
      <c r="A277" s="24">
        <f t="shared" si="54"/>
        <v>20</v>
      </c>
      <c r="B277" s="24">
        <v>12</v>
      </c>
      <c r="C277" s="24">
        <v>67</v>
      </c>
      <c r="E277" s="4">
        <v>215369</v>
      </c>
      <c r="F277" s="2" t="s">
        <v>2</v>
      </c>
      <c r="G277" s="2" t="str">
        <f t="shared" si="53"/>
        <v>https://www.oreht.ru/modules.php?name=orehtPriceLS&amp;op=Search&amp;page=1&amp;stext=215369</v>
      </c>
      <c r="I277">
        <v>215369</v>
      </c>
      <c r="J277" t="s">
        <v>2</v>
      </c>
      <c r="K277" t="s">
        <v>1050</v>
      </c>
      <c r="L277" t="s">
        <v>1051</v>
      </c>
      <c r="M277" t="s">
        <v>649</v>
      </c>
    </row>
    <row r="278" spans="1:13" hidden="1" x14ac:dyDescent="0.25">
      <c r="A278" s="24">
        <f t="shared" si="54"/>
        <v>20</v>
      </c>
      <c r="B278" s="24">
        <v>12</v>
      </c>
      <c r="C278" s="24">
        <v>67</v>
      </c>
      <c r="E278" s="4">
        <v>370398</v>
      </c>
      <c r="F278" s="2" t="s">
        <v>2</v>
      </c>
      <c r="G278" s="2" t="str">
        <f t="shared" si="53"/>
        <v>https://www.oreht.ru/modules.php?name=orehtPriceLS&amp;op=Search&amp;page=1&amp;stext=370398</v>
      </c>
      <c r="I278">
        <v>370398</v>
      </c>
      <c r="J278" t="s">
        <v>2</v>
      </c>
      <c r="K278" t="s">
        <v>1052</v>
      </c>
      <c r="L278" t="s">
        <v>1053</v>
      </c>
      <c r="M278" t="s">
        <v>1054</v>
      </c>
    </row>
    <row r="279" spans="1:13" hidden="1" x14ac:dyDescent="0.25">
      <c r="A279" s="24">
        <f t="shared" si="54"/>
        <v>20</v>
      </c>
      <c r="B279" s="24">
        <v>12</v>
      </c>
      <c r="C279" s="24">
        <v>67</v>
      </c>
      <c r="E279" s="4">
        <v>88403</v>
      </c>
      <c r="F279" s="2" t="s">
        <v>2</v>
      </c>
      <c r="G279" s="2" t="str">
        <f t="shared" si="53"/>
        <v>https://www.oreht.ru/modules.php?name=orehtPriceLS&amp;op=Search&amp;page=1&amp;stext=88403</v>
      </c>
      <c r="I279">
        <v>88403</v>
      </c>
      <c r="J279" t="s">
        <v>2</v>
      </c>
      <c r="K279" t="s">
        <v>1055</v>
      </c>
      <c r="L279" t="s">
        <v>1056</v>
      </c>
      <c r="M279" t="s">
        <v>1057</v>
      </c>
    </row>
    <row r="280" spans="1:13" x14ac:dyDescent="0.25">
      <c r="A280" s="24">
        <f t="shared" si="54"/>
        <v>20</v>
      </c>
      <c r="B280" s="24">
        <v>12</v>
      </c>
      <c r="C280" s="24">
        <v>43</v>
      </c>
      <c r="E280" s="4">
        <v>229910</v>
      </c>
      <c r="F280" s="2" t="s">
        <v>2</v>
      </c>
      <c r="G280" s="2" t="str">
        <f t="shared" si="53"/>
        <v>https://www.oreht.ru/modules.php?name=orehtPriceLS&amp;op=Search&amp;page=1&amp;stext=229910</v>
      </c>
      <c r="I280">
        <v>229910</v>
      </c>
      <c r="J280" t="s">
        <v>2</v>
      </c>
      <c r="K280" t="s">
        <v>1058</v>
      </c>
      <c r="L280" t="s">
        <v>1059</v>
      </c>
      <c r="M280" t="s">
        <v>649</v>
      </c>
    </row>
    <row r="281" spans="1:13" x14ac:dyDescent="0.25">
      <c r="A281" s="24">
        <f t="shared" si="54"/>
        <v>20</v>
      </c>
      <c r="B281" s="24">
        <v>12</v>
      </c>
      <c r="C281" s="24">
        <v>43</v>
      </c>
      <c r="E281" s="4">
        <v>421683</v>
      </c>
      <c r="F281" s="2" t="s">
        <v>2</v>
      </c>
      <c r="G281" s="2" t="str">
        <f t="shared" si="53"/>
        <v>https://www.oreht.ru/modules.php?name=orehtPriceLS&amp;op=Search&amp;page=1&amp;stext=421683</v>
      </c>
      <c r="I281">
        <v>421683</v>
      </c>
      <c r="J281" t="s">
        <v>2</v>
      </c>
      <c r="K281" t="s">
        <v>1060</v>
      </c>
      <c r="L281" t="s">
        <v>1061</v>
      </c>
      <c r="M281" t="s">
        <v>649</v>
      </c>
    </row>
    <row r="282" spans="1:13" x14ac:dyDescent="0.25">
      <c r="A282" s="24">
        <f t="shared" si="54"/>
        <v>20</v>
      </c>
      <c r="B282" s="24">
        <v>12</v>
      </c>
      <c r="C282" s="24">
        <v>40</v>
      </c>
      <c r="E282" s="4">
        <v>400011</v>
      </c>
      <c r="F282" s="2" t="s">
        <v>2</v>
      </c>
      <c r="G282" s="2" t="str">
        <f t="shared" si="53"/>
        <v>https://www.oreht.ru/modules.php?name=orehtPriceLS&amp;op=Search&amp;page=1&amp;stext=400011</v>
      </c>
      <c r="I282">
        <v>400011</v>
      </c>
      <c r="J282" t="s">
        <v>2</v>
      </c>
      <c r="K282" t="s">
        <v>1062</v>
      </c>
    </row>
    <row r="283" spans="1:13" hidden="1" x14ac:dyDescent="0.25">
      <c r="A283" s="24">
        <f t="shared" si="54"/>
        <v>20</v>
      </c>
      <c r="B283" s="24">
        <v>12</v>
      </c>
      <c r="C283" s="24">
        <v>43</v>
      </c>
      <c r="E283" s="4">
        <v>418472</v>
      </c>
      <c r="F283" s="2" t="s">
        <v>2</v>
      </c>
      <c r="G283" s="2" t="str">
        <f t="shared" si="53"/>
        <v>https://www.oreht.ru/modules.php?name=orehtPriceLS&amp;op=Search&amp;page=1&amp;stext=418472</v>
      </c>
      <c r="I283">
        <v>418472</v>
      </c>
      <c r="J283" t="s">
        <v>2</v>
      </c>
      <c r="K283" t="s">
        <v>1063</v>
      </c>
      <c r="L283" t="s">
        <v>1064</v>
      </c>
      <c r="M283" t="s">
        <v>1065</v>
      </c>
    </row>
    <row r="284" spans="1:13" x14ac:dyDescent="0.25">
      <c r="A284" s="24">
        <f t="shared" si="54"/>
        <v>20</v>
      </c>
      <c r="B284" s="24">
        <v>12</v>
      </c>
      <c r="C284" s="24">
        <v>45</v>
      </c>
      <c r="E284" s="4">
        <v>409957</v>
      </c>
      <c r="F284" s="2" t="s">
        <v>2</v>
      </c>
      <c r="G284" s="2" t="str">
        <f t="shared" si="53"/>
        <v>https://www.oreht.ru/modules.php?name=orehtPriceLS&amp;op=Search&amp;page=1&amp;stext=409957</v>
      </c>
      <c r="I284">
        <v>409957</v>
      </c>
      <c r="J284" t="s">
        <v>2</v>
      </c>
      <c r="K284" t="s">
        <v>1066</v>
      </c>
      <c r="L284" t="s">
        <v>1067</v>
      </c>
      <c r="M284" t="s">
        <v>649</v>
      </c>
    </row>
    <row r="285" spans="1:13" hidden="1" x14ac:dyDescent="0.25">
      <c r="A285" s="24">
        <f t="shared" si="54"/>
        <v>20</v>
      </c>
      <c r="B285" s="24">
        <v>12</v>
      </c>
      <c r="C285" s="24">
        <v>67</v>
      </c>
      <c r="E285" s="4">
        <v>370399</v>
      </c>
      <c r="F285" s="2" t="s">
        <v>2</v>
      </c>
      <c r="G285" s="2" t="str">
        <f t="shared" si="53"/>
        <v>https://www.oreht.ru/modules.php?name=orehtPriceLS&amp;op=Search&amp;page=1&amp;stext=370399</v>
      </c>
      <c r="I285">
        <v>370399</v>
      </c>
      <c r="J285" t="s">
        <v>2</v>
      </c>
      <c r="K285" t="s">
        <v>1068</v>
      </c>
      <c r="L285" t="s">
        <v>1069</v>
      </c>
      <c r="M285" t="s">
        <v>1070</v>
      </c>
    </row>
    <row r="286" spans="1:13" hidden="1" x14ac:dyDescent="0.25">
      <c r="A286" s="24">
        <f t="shared" si="54"/>
        <v>20</v>
      </c>
      <c r="B286" s="24">
        <v>12</v>
      </c>
      <c r="C286" s="24">
        <v>43</v>
      </c>
      <c r="E286" s="4">
        <v>279887</v>
      </c>
      <c r="F286" s="2" t="s">
        <v>2</v>
      </c>
      <c r="G286" s="2" t="str">
        <f t="shared" si="53"/>
        <v>https://www.oreht.ru/modules.php?name=orehtPriceLS&amp;op=Search&amp;page=1&amp;stext=279887</v>
      </c>
      <c r="I286">
        <v>279887</v>
      </c>
      <c r="J286" t="s">
        <v>2</v>
      </c>
      <c r="K286" t="s">
        <v>1071</v>
      </c>
      <c r="L286" t="s">
        <v>1072</v>
      </c>
      <c r="M286" t="s">
        <v>1073</v>
      </c>
    </row>
    <row r="287" spans="1:13" hidden="1" x14ac:dyDescent="0.25">
      <c r="A287" s="24">
        <f t="shared" si="54"/>
        <v>20</v>
      </c>
      <c r="B287" s="24">
        <v>12</v>
      </c>
      <c r="C287" s="24">
        <v>43</v>
      </c>
      <c r="E287" s="4">
        <v>250460</v>
      </c>
      <c r="F287" s="2" t="s">
        <v>2</v>
      </c>
      <c r="G287" s="2" t="str">
        <f t="shared" si="53"/>
        <v>https://www.oreht.ru/modules.php?name=orehtPriceLS&amp;op=Search&amp;page=1&amp;stext=250460</v>
      </c>
      <c r="I287">
        <v>250460</v>
      </c>
      <c r="J287" t="s">
        <v>2</v>
      </c>
      <c r="K287" t="s">
        <v>1074</v>
      </c>
      <c r="L287" t="s">
        <v>1075</v>
      </c>
      <c r="M287" t="s">
        <v>1073</v>
      </c>
    </row>
    <row r="288" spans="1:13" hidden="1" x14ac:dyDescent="0.25">
      <c r="A288" s="24">
        <f t="shared" si="54"/>
        <v>20</v>
      </c>
      <c r="B288" s="24">
        <v>12</v>
      </c>
      <c r="C288" s="24">
        <v>42</v>
      </c>
      <c r="E288" s="4">
        <v>322821</v>
      </c>
      <c r="F288" s="2" t="s">
        <v>2</v>
      </c>
      <c r="G288" s="2" t="str">
        <f t="shared" si="53"/>
        <v>https://www.oreht.ru/modules.php?name=orehtPriceLS&amp;op=Search&amp;page=1&amp;stext=322821</v>
      </c>
      <c r="I288">
        <v>322821</v>
      </c>
      <c r="J288" t="s">
        <v>2</v>
      </c>
      <c r="K288" t="s">
        <v>1076</v>
      </c>
      <c r="L288" t="s">
        <v>1077</v>
      </c>
      <c r="M288" t="s">
        <v>1078</v>
      </c>
    </row>
    <row r="289" spans="1:13" x14ac:dyDescent="0.25">
      <c r="A289" s="24">
        <f t="shared" si="54"/>
        <v>20</v>
      </c>
      <c r="B289" s="24">
        <v>12</v>
      </c>
      <c r="C289" s="24">
        <v>45</v>
      </c>
      <c r="E289" s="4">
        <v>319040</v>
      </c>
      <c r="F289" s="2" t="s">
        <v>2</v>
      </c>
      <c r="G289" s="2" t="str">
        <f t="shared" si="53"/>
        <v>https://www.oreht.ru/modules.php?name=orehtPriceLS&amp;op=Search&amp;page=1&amp;stext=319040</v>
      </c>
      <c r="I289">
        <v>319040</v>
      </c>
      <c r="J289" t="s">
        <v>2</v>
      </c>
      <c r="K289" t="s">
        <v>1079</v>
      </c>
      <c r="L289" t="s">
        <v>1080</v>
      </c>
      <c r="M289" t="s">
        <v>649</v>
      </c>
    </row>
    <row r="290" spans="1:13" hidden="1" x14ac:dyDescent="0.25">
      <c r="A290" s="24">
        <f t="shared" si="54"/>
        <v>20</v>
      </c>
      <c r="B290" s="24">
        <v>12</v>
      </c>
      <c r="C290" s="24">
        <v>210</v>
      </c>
      <c r="E290" s="4">
        <v>387329</v>
      </c>
      <c r="F290" s="2" t="s">
        <v>2</v>
      </c>
      <c r="G290" s="2" t="str">
        <f t="shared" si="53"/>
        <v>https://www.oreht.ru/modules.php?name=orehtPriceLS&amp;op=Search&amp;page=1&amp;stext=387329</v>
      </c>
      <c r="I290">
        <v>387329</v>
      </c>
      <c r="J290" t="s">
        <v>2</v>
      </c>
      <c r="K290" t="s">
        <v>1081</v>
      </c>
      <c r="L290" t="s">
        <v>1082</v>
      </c>
      <c r="M290" t="s">
        <v>1083</v>
      </c>
    </row>
    <row r="291" spans="1:13" hidden="1" x14ac:dyDescent="0.25">
      <c r="A291" s="24">
        <f t="shared" si="54"/>
        <v>20</v>
      </c>
      <c r="B291" s="24">
        <v>12</v>
      </c>
      <c r="C291" s="24">
        <v>40</v>
      </c>
      <c r="E291" s="4">
        <v>375372</v>
      </c>
      <c r="F291" s="2" t="s">
        <v>2</v>
      </c>
      <c r="G291" s="2" t="str">
        <f t="shared" si="53"/>
        <v>https://www.oreht.ru/modules.php?name=orehtPriceLS&amp;op=Search&amp;page=1&amp;stext=375372</v>
      </c>
      <c r="I291">
        <v>375372</v>
      </c>
      <c r="J291" t="s">
        <v>2</v>
      </c>
      <c r="K291" t="s">
        <v>1084</v>
      </c>
      <c r="L291" t="s">
        <v>1085</v>
      </c>
      <c r="M291" t="s">
        <v>1086</v>
      </c>
    </row>
    <row r="292" spans="1:13" x14ac:dyDescent="0.25">
      <c r="A292" s="24">
        <f t="shared" si="54"/>
        <v>20</v>
      </c>
      <c r="B292" s="24">
        <v>12</v>
      </c>
      <c r="C292" s="24">
        <v>42</v>
      </c>
      <c r="E292" s="4">
        <v>301476</v>
      </c>
      <c r="F292" s="2" t="s">
        <v>2</v>
      </c>
      <c r="G292" s="2" t="str">
        <f t="shared" si="53"/>
        <v>https://www.oreht.ru/modules.php?name=orehtPriceLS&amp;op=Search&amp;page=1&amp;stext=301476</v>
      </c>
      <c r="I292">
        <v>301476</v>
      </c>
      <c r="J292" t="s">
        <v>2</v>
      </c>
      <c r="K292" t="s">
        <v>1087</v>
      </c>
      <c r="L292" t="s">
        <v>1088</v>
      </c>
      <c r="M292" t="s">
        <v>649</v>
      </c>
    </row>
    <row r="293" spans="1:13" hidden="1" x14ac:dyDescent="0.25">
      <c r="A293" s="24">
        <f t="shared" si="54"/>
        <v>20</v>
      </c>
      <c r="B293" s="24">
        <v>12</v>
      </c>
      <c r="C293" s="24">
        <v>40</v>
      </c>
      <c r="E293" s="4">
        <v>394438</v>
      </c>
      <c r="F293" s="2" t="s">
        <v>2</v>
      </c>
      <c r="G293" s="2" t="str">
        <f t="shared" si="53"/>
        <v>https://www.oreht.ru/modules.php?name=orehtPriceLS&amp;op=Search&amp;page=1&amp;stext=394438</v>
      </c>
      <c r="I293">
        <v>394438</v>
      </c>
      <c r="J293" t="s">
        <v>2</v>
      </c>
      <c r="K293" t="s">
        <v>1089</v>
      </c>
      <c r="L293" t="s">
        <v>1090</v>
      </c>
      <c r="M293" t="s">
        <v>1091</v>
      </c>
    </row>
    <row r="294" spans="1:13" hidden="1" x14ac:dyDescent="0.25">
      <c r="A294" s="24">
        <f t="shared" si="54"/>
        <v>20</v>
      </c>
      <c r="B294" s="24">
        <v>12</v>
      </c>
      <c r="C294" s="24">
        <v>43</v>
      </c>
      <c r="E294" s="4">
        <v>190395</v>
      </c>
      <c r="F294" s="2" t="s">
        <v>2</v>
      </c>
      <c r="G294" s="2" t="str">
        <f t="shared" si="53"/>
        <v>https://www.oreht.ru/modules.php?name=orehtPriceLS&amp;op=Search&amp;page=1&amp;stext=190395</v>
      </c>
      <c r="I294">
        <v>190395</v>
      </c>
      <c r="J294" t="s">
        <v>2</v>
      </c>
      <c r="K294" t="s">
        <v>1092</v>
      </c>
      <c r="L294" t="s">
        <v>1093</v>
      </c>
      <c r="M294" t="s">
        <v>1094</v>
      </c>
    </row>
    <row r="295" spans="1:13" x14ac:dyDescent="0.25">
      <c r="A295" s="24">
        <f t="shared" si="54"/>
        <v>20</v>
      </c>
      <c r="B295" s="24">
        <v>12</v>
      </c>
      <c r="C295" s="24">
        <v>41</v>
      </c>
      <c r="E295" s="4">
        <v>298793</v>
      </c>
      <c r="F295" s="2" t="s">
        <v>2</v>
      </c>
      <c r="G295" s="2" t="str">
        <f t="shared" si="53"/>
        <v>https://www.oreht.ru/modules.php?name=orehtPriceLS&amp;op=Search&amp;page=1&amp;stext=298793</v>
      </c>
      <c r="I295">
        <v>298793</v>
      </c>
      <c r="J295" t="s">
        <v>2</v>
      </c>
      <c r="K295" t="s">
        <v>1095</v>
      </c>
      <c r="L295" t="s">
        <v>1096</v>
      </c>
      <c r="M295" t="s">
        <v>649</v>
      </c>
    </row>
    <row r="296" spans="1:13" hidden="1" x14ac:dyDescent="0.25">
      <c r="A296" s="24">
        <f t="shared" si="54"/>
        <v>20</v>
      </c>
      <c r="B296" s="24">
        <v>12</v>
      </c>
      <c r="C296" s="24">
        <v>40</v>
      </c>
      <c r="E296" s="4">
        <v>387316</v>
      </c>
      <c r="F296" s="2" t="s">
        <v>2</v>
      </c>
      <c r="G296" s="2" t="str">
        <f t="shared" si="53"/>
        <v>https://www.oreht.ru/modules.php?name=orehtPriceLS&amp;op=Search&amp;page=1&amp;stext=387316</v>
      </c>
      <c r="I296">
        <v>387316</v>
      </c>
      <c r="J296" t="s">
        <v>2</v>
      </c>
      <c r="K296" t="s">
        <v>1097</v>
      </c>
      <c r="L296" t="s">
        <v>1098</v>
      </c>
      <c r="M296" t="s">
        <v>1099</v>
      </c>
    </row>
    <row r="297" spans="1:13" hidden="1" x14ac:dyDescent="0.25">
      <c r="A297" s="24">
        <f t="shared" si="54"/>
        <v>20</v>
      </c>
      <c r="B297" s="24">
        <v>12</v>
      </c>
      <c r="C297" s="24">
        <v>42</v>
      </c>
      <c r="E297" s="4">
        <v>370241</v>
      </c>
      <c r="F297" s="2" t="s">
        <v>2</v>
      </c>
      <c r="G297" s="2" t="str">
        <f t="shared" si="53"/>
        <v>https://www.oreht.ru/modules.php?name=orehtPriceLS&amp;op=Search&amp;page=1&amp;stext=370241</v>
      </c>
      <c r="I297">
        <v>370241</v>
      </c>
      <c r="J297" t="s">
        <v>2</v>
      </c>
      <c r="K297" t="s">
        <v>1100</v>
      </c>
      <c r="L297" t="s">
        <v>1101</v>
      </c>
      <c r="M297" t="s">
        <v>1102</v>
      </c>
    </row>
    <row r="298" spans="1:13" hidden="1" x14ac:dyDescent="0.25">
      <c r="A298" s="24">
        <f t="shared" si="54"/>
        <v>20</v>
      </c>
      <c r="B298" s="24">
        <v>12</v>
      </c>
      <c r="C298" s="24">
        <v>41</v>
      </c>
      <c r="E298" s="4">
        <v>370243</v>
      </c>
      <c r="F298" s="2" t="s">
        <v>2</v>
      </c>
      <c r="G298" s="2" t="str">
        <f t="shared" si="53"/>
        <v>https://www.oreht.ru/modules.php?name=orehtPriceLS&amp;op=Search&amp;page=1&amp;stext=370243</v>
      </c>
      <c r="I298">
        <v>370243</v>
      </c>
      <c r="J298" t="s">
        <v>2</v>
      </c>
      <c r="K298" t="s">
        <v>1103</v>
      </c>
      <c r="L298" t="s">
        <v>1104</v>
      </c>
      <c r="M298" t="s">
        <v>1105</v>
      </c>
    </row>
    <row r="299" spans="1:13" hidden="1" x14ac:dyDescent="0.25">
      <c r="A299" s="24">
        <f t="shared" si="54"/>
        <v>20</v>
      </c>
      <c r="B299" s="24">
        <v>12</v>
      </c>
      <c r="C299" s="24">
        <v>40</v>
      </c>
      <c r="E299" s="4">
        <v>359440</v>
      </c>
      <c r="F299" s="2" t="s">
        <v>2</v>
      </c>
      <c r="G299" s="2" t="str">
        <f t="shared" si="53"/>
        <v>https://www.oreht.ru/modules.php?name=orehtPriceLS&amp;op=Search&amp;page=1&amp;stext=359440</v>
      </c>
      <c r="I299">
        <v>359440</v>
      </c>
      <c r="J299" t="s">
        <v>2</v>
      </c>
      <c r="K299" t="s">
        <v>1106</v>
      </c>
      <c r="L299" t="s">
        <v>1107</v>
      </c>
      <c r="M299" t="s">
        <v>1108</v>
      </c>
    </row>
    <row r="300" spans="1:13" hidden="1" x14ac:dyDescent="0.25">
      <c r="A300" s="24">
        <f t="shared" si="54"/>
        <v>20</v>
      </c>
      <c r="B300" s="24">
        <v>12</v>
      </c>
      <c r="C300" s="24">
        <v>40</v>
      </c>
      <c r="E300" s="4">
        <v>387314</v>
      </c>
      <c r="F300" s="2" t="s">
        <v>2</v>
      </c>
      <c r="G300" s="2" t="str">
        <f t="shared" si="53"/>
        <v>https://www.oreht.ru/modules.php?name=orehtPriceLS&amp;op=Search&amp;page=1&amp;stext=387314</v>
      </c>
      <c r="I300">
        <v>387314</v>
      </c>
      <c r="J300" t="s">
        <v>2</v>
      </c>
      <c r="K300" t="s">
        <v>1109</v>
      </c>
      <c r="L300" t="s">
        <v>1110</v>
      </c>
      <c r="M300" t="s">
        <v>1111</v>
      </c>
    </row>
    <row r="301" spans="1:13" hidden="1" x14ac:dyDescent="0.25">
      <c r="A301" s="24">
        <f t="shared" si="54"/>
        <v>20</v>
      </c>
      <c r="B301" s="24">
        <v>10</v>
      </c>
      <c r="C301" s="24">
        <v>45</v>
      </c>
      <c r="E301" s="4">
        <v>204758</v>
      </c>
      <c r="F301" s="2" t="s">
        <v>2</v>
      </c>
      <c r="G301" s="2" t="str">
        <f t="shared" si="53"/>
        <v>https://www.oreht.ru/modules.php?name=orehtPriceLS&amp;op=Search&amp;page=1&amp;stext=204758</v>
      </c>
      <c r="I301">
        <v>204758</v>
      </c>
      <c r="J301" t="s">
        <v>2</v>
      </c>
      <c r="K301" t="s">
        <v>1112</v>
      </c>
      <c r="L301" t="s">
        <v>1113</v>
      </c>
      <c r="M301" t="s">
        <v>1114</v>
      </c>
    </row>
    <row r="302" spans="1:13" x14ac:dyDescent="0.25">
      <c r="A302" s="24">
        <f t="shared" si="54"/>
        <v>20</v>
      </c>
      <c r="B302" s="24">
        <v>10</v>
      </c>
      <c r="C302" s="24">
        <v>41</v>
      </c>
      <c r="E302" s="4">
        <v>320122</v>
      </c>
      <c r="F302" s="2" t="s">
        <v>2</v>
      </c>
      <c r="G302" s="2" t="str">
        <f t="shared" si="53"/>
        <v>https://www.oreht.ru/modules.php?name=orehtPriceLS&amp;op=Search&amp;page=1&amp;stext=320122</v>
      </c>
      <c r="I302">
        <v>320122</v>
      </c>
      <c r="J302" t="s">
        <v>2</v>
      </c>
      <c r="K302" t="s">
        <v>1115</v>
      </c>
      <c r="L302" t="s">
        <v>1116</v>
      </c>
      <c r="M302" t="s">
        <v>649</v>
      </c>
    </row>
    <row r="303" spans="1:13" hidden="1" x14ac:dyDescent="0.25">
      <c r="A303" s="24">
        <f t="shared" si="54"/>
        <v>20</v>
      </c>
      <c r="B303" s="24">
        <v>12</v>
      </c>
      <c r="C303" s="24">
        <v>43</v>
      </c>
      <c r="E303" s="4">
        <v>361530</v>
      </c>
      <c r="F303" s="2" t="s">
        <v>2</v>
      </c>
      <c r="G303" s="2" t="str">
        <f t="shared" si="53"/>
        <v>https://www.oreht.ru/modules.php?name=orehtPriceLS&amp;op=Search&amp;page=1&amp;stext=361530</v>
      </c>
      <c r="I303">
        <v>361530</v>
      </c>
      <c r="J303" t="s">
        <v>2</v>
      </c>
      <c r="K303" t="s">
        <v>1117</v>
      </c>
      <c r="L303" t="s">
        <v>1118</v>
      </c>
      <c r="M303" t="s">
        <v>1119</v>
      </c>
    </row>
    <row r="304" spans="1:13" x14ac:dyDescent="0.25">
      <c r="A304" s="24">
        <f t="shared" si="54"/>
        <v>20</v>
      </c>
      <c r="B304" s="24">
        <v>12</v>
      </c>
      <c r="C304" s="24">
        <v>65</v>
      </c>
      <c r="E304" s="4">
        <v>393571</v>
      </c>
      <c r="F304" s="2" t="s">
        <v>2</v>
      </c>
      <c r="G304" s="2" t="str">
        <f t="shared" si="53"/>
        <v>https://www.oreht.ru/modules.php?name=orehtPriceLS&amp;op=Search&amp;page=1&amp;stext=393571</v>
      </c>
      <c r="I304">
        <v>393571</v>
      </c>
      <c r="J304" t="s">
        <v>2</v>
      </c>
      <c r="K304" t="s">
        <v>1120</v>
      </c>
      <c r="L304" t="s">
        <v>1121</v>
      </c>
      <c r="M304" t="s">
        <v>649</v>
      </c>
    </row>
    <row r="305" spans="1:13" hidden="1" x14ac:dyDescent="0.25">
      <c r="A305" s="24">
        <f t="shared" si="54"/>
        <v>20</v>
      </c>
      <c r="B305" s="24">
        <v>12</v>
      </c>
      <c r="C305" s="24">
        <v>43</v>
      </c>
      <c r="E305" s="4">
        <v>267065</v>
      </c>
      <c r="F305" s="2" t="s">
        <v>2</v>
      </c>
      <c r="G305" s="2" t="str">
        <f t="shared" si="53"/>
        <v>https://www.oreht.ru/modules.php?name=orehtPriceLS&amp;op=Search&amp;page=1&amp;stext=267065</v>
      </c>
      <c r="I305">
        <v>267065</v>
      </c>
      <c r="J305" t="s">
        <v>2</v>
      </c>
      <c r="K305" t="s">
        <v>1122</v>
      </c>
      <c r="L305" t="s">
        <v>1123</v>
      </c>
      <c r="M305" t="s">
        <v>1124</v>
      </c>
    </row>
    <row r="306" spans="1:13" hidden="1" x14ac:dyDescent="0.25">
      <c r="A306" s="24">
        <f t="shared" si="54"/>
        <v>20</v>
      </c>
      <c r="B306" s="24">
        <v>12</v>
      </c>
      <c r="C306" s="24">
        <v>43</v>
      </c>
      <c r="E306" s="4">
        <v>267067</v>
      </c>
      <c r="F306" s="2" t="s">
        <v>2</v>
      </c>
      <c r="G306" s="2" t="str">
        <f t="shared" si="53"/>
        <v>https://www.oreht.ru/modules.php?name=orehtPriceLS&amp;op=Search&amp;page=1&amp;stext=267067</v>
      </c>
      <c r="I306">
        <v>267067</v>
      </c>
      <c r="J306" t="s">
        <v>2</v>
      </c>
      <c r="K306" t="s">
        <v>1125</v>
      </c>
      <c r="L306" t="s">
        <v>1126</v>
      </c>
      <c r="M306" t="s">
        <v>1127</v>
      </c>
    </row>
    <row r="307" spans="1:13" hidden="1" x14ac:dyDescent="0.25">
      <c r="A307" s="24">
        <f t="shared" si="54"/>
        <v>20</v>
      </c>
      <c r="B307" s="24">
        <v>12</v>
      </c>
      <c r="C307" s="24">
        <v>43</v>
      </c>
      <c r="E307" s="4">
        <v>430896</v>
      </c>
      <c r="F307" s="2" t="s">
        <v>2</v>
      </c>
      <c r="G307" s="2" t="str">
        <f t="shared" si="53"/>
        <v>https://www.oreht.ru/modules.php?name=orehtPriceLS&amp;op=Search&amp;page=1&amp;stext=430896</v>
      </c>
      <c r="I307">
        <v>430896</v>
      </c>
      <c r="J307" t="s">
        <v>2</v>
      </c>
      <c r="K307" t="s">
        <v>1128</v>
      </c>
      <c r="L307" t="s">
        <v>1129</v>
      </c>
      <c r="M307" t="s">
        <v>1130</v>
      </c>
    </row>
    <row r="308" spans="1:13" x14ac:dyDescent="0.25">
      <c r="A308" s="24">
        <f t="shared" si="54"/>
        <v>20</v>
      </c>
      <c r="B308" s="24">
        <v>12</v>
      </c>
      <c r="C308" s="24">
        <v>43</v>
      </c>
      <c r="E308" s="4">
        <v>375913</v>
      </c>
      <c r="F308" s="2" t="s">
        <v>2</v>
      </c>
      <c r="G308" s="2" t="str">
        <f t="shared" si="53"/>
        <v>https://www.oreht.ru/modules.php?name=orehtPriceLS&amp;op=Search&amp;page=1&amp;stext=375913</v>
      </c>
      <c r="I308">
        <v>375913</v>
      </c>
      <c r="J308" t="s">
        <v>2</v>
      </c>
      <c r="K308" t="s">
        <v>1131</v>
      </c>
      <c r="L308" t="s">
        <v>1132</v>
      </c>
      <c r="M308" t="s">
        <v>649</v>
      </c>
    </row>
    <row r="309" spans="1:13" hidden="1" x14ac:dyDescent="0.25">
      <c r="A309" s="24">
        <f t="shared" si="54"/>
        <v>20</v>
      </c>
      <c r="B309" s="24">
        <v>12</v>
      </c>
      <c r="C309" s="24">
        <v>43</v>
      </c>
      <c r="E309" s="4">
        <v>430894</v>
      </c>
      <c r="F309" s="2" t="s">
        <v>2</v>
      </c>
      <c r="G309" s="2" t="str">
        <f t="shared" si="53"/>
        <v>https://www.oreht.ru/modules.php?name=orehtPriceLS&amp;op=Search&amp;page=1&amp;stext=430894</v>
      </c>
      <c r="I309">
        <v>430894</v>
      </c>
      <c r="J309" t="s">
        <v>2</v>
      </c>
      <c r="K309" t="s">
        <v>1133</v>
      </c>
      <c r="L309" t="s">
        <v>1134</v>
      </c>
      <c r="M309" t="s">
        <v>1135</v>
      </c>
    </row>
    <row r="310" spans="1:13" hidden="1" x14ac:dyDescent="0.25">
      <c r="A310" s="24">
        <f t="shared" si="54"/>
        <v>20</v>
      </c>
      <c r="B310" s="24">
        <v>10</v>
      </c>
      <c r="C310" s="24">
        <v>79</v>
      </c>
      <c r="E310" s="4">
        <v>375107</v>
      </c>
      <c r="F310" s="2" t="s">
        <v>2</v>
      </c>
      <c r="G310" s="2" t="str">
        <f t="shared" si="53"/>
        <v>https://www.oreht.ru/modules.php?name=orehtPriceLS&amp;op=Search&amp;page=1&amp;stext=375107</v>
      </c>
      <c r="I310">
        <v>375107</v>
      </c>
      <c r="J310" t="s">
        <v>2</v>
      </c>
      <c r="K310" t="s">
        <v>1136</v>
      </c>
      <c r="L310" t="s">
        <v>1137</v>
      </c>
      <c r="M310" t="s">
        <v>1138</v>
      </c>
    </row>
    <row r="311" spans="1:13" x14ac:dyDescent="0.25">
      <c r="A311" s="24">
        <f t="shared" si="54"/>
        <v>20</v>
      </c>
      <c r="B311" s="24">
        <v>12</v>
      </c>
      <c r="C311" s="24">
        <v>45</v>
      </c>
      <c r="E311" s="4">
        <v>374399</v>
      </c>
      <c r="F311" s="2" t="s">
        <v>2</v>
      </c>
      <c r="G311" s="2" t="str">
        <f t="shared" si="53"/>
        <v>https://www.oreht.ru/modules.php?name=orehtPriceLS&amp;op=Search&amp;page=1&amp;stext=374399</v>
      </c>
      <c r="I311">
        <v>374399</v>
      </c>
      <c r="J311" t="s">
        <v>2</v>
      </c>
      <c r="K311" t="s">
        <v>1139</v>
      </c>
      <c r="L311" t="s">
        <v>1140</v>
      </c>
      <c r="M311" t="s">
        <v>649</v>
      </c>
    </row>
    <row r="312" spans="1:13" hidden="1" x14ac:dyDescent="0.25">
      <c r="A312" s="24">
        <f t="shared" si="54"/>
        <v>20</v>
      </c>
      <c r="B312" s="24">
        <v>12</v>
      </c>
      <c r="C312" s="24">
        <v>42</v>
      </c>
      <c r="E312" s="4">
        <v>134706</v>
      </c>
      <c r="F312" s="2" t="s">
        <v>2</v>
      </c>
      <c r="G312" s="2" t="str">
        <f t="shared" si="53"/>
        <v>https://www.oreht.ru/modules.php?name=orehtPriceLS&amp;op=Search&amp;page=1&amp;stext=134706</v>
      </c>
      <c r="I312">
        <v>134706</v>
      </c>
      <c r="J312" t="s">
        <v>2</v>
      </c>
      <c r="K312" t="s">
        <v>1141</v>
      </c>
      <c r="L312" t="s">
        <v>1142</v>
      </c>
      <c r="M312" t="s">
        <v>1143</v>
      </c>
    </row>
    <row r="313" spans="1:13" x14ac:dyDescent="0.25">
      <c r="A313" s="24">
        <f t="shared" si="54"/>
        <v>20</v>
      </c>
      <c r="B313" s="24">
        <v>12</v>
      </c>
      <c r="C313" s="24">
        <v>43</v>
      </c>
      <c r="E313" s="4">
        <v>251361</v>
      </c>
      <c r="F313" s="2" t="s">
        <v>2</v>
      </c>
      <c r="G313" s="2" t="str">
        <f t="shared" si="53"/>
        <v>https://www.oreht.ru/modules.php?name=orehtPriceLS&amp;op=Search&amp;page=1&amp;stext=251361</v>
      </c>
      <c r="I313">
        <v>251361</v>
      </c>
      <c r="J313" t="s">
        <v>2</v>
      </c>
      <c r="K313" t="s">
        <v>1144</v>
      </c>
      <c r="L313" t="s">
        <v>1145</v>
      </c>
      <c r="M313" t="s">
        <v>649</v>
      </c>
    </row>
    <row r="314" spans="1:13" x14ac:dyDescent="0.25">
      <c r="A314" s="24">
        <f t="shared" si="54"/>
        <v>20</v>
      </c>
      <c r="B314" s="24">
        <v>12</v>
      </c>
      <c r="C314" s="24">
        <v>57</v>
      </c>
      <c r="E314" s="4">
        <v>422998</v>
      </c>
      <c r="F314" s="2" t="s">
        <v>2</v>
      </c>
      <c r="G314" s="2" t="str">
        <f t="shared" si="53"/>
        <v>https://www.oreht.ru/modules.php?name=orehtPriceLS&amp;op=Search&amp;page=1&amp;stext=422998</v>
      </c>
      <c r="I314">
        <v>422998</v>
      </c>
      <c r="J314" t="s">
        <v>2</v>
      </c>
      <c r="K314" t="s">
        <v>1146</v>
      </c>
      <c r="L314" t="s">
        <v>1147</v>
      </c>
      <c r="M314" t="s">
        <v>649</v>
      </c>
    </row>
    <row r="315" spans="1:13" hidden="1" x14ac:dyDescent="0.25">
      <c r="A315" s="24">
        <f t="shared" si="54"/>
        <v>20</v>
      </c>
      <c r="B315" s="24">
        <v>12</v>
      </c>
      <c r="C315" s="24">
        <v>55</v>
      </c>
      <c r="E315" s="4">
        <v>415791</v>
      </c>
      <c r="F315" s="2" t="s">
        <v>2</v>
      </c>
      <c r="G315" s="2" t="str">
        <f t="shared" si="53"/>
        <v>https://www.oreht.ru/modules.php?name=orehtPriceLS&amp;op=Search&amp;page=1&amp;stext=415791</v>
      </c>
      <c r="I315">
        <v>415791</v>
      </c>
      <c r="J315" t="s">
        <v>2</v>
      </c>
      <c r="K315" t="s">
        <v>1148</v>
      </c>
      <c r="L315" t="s">
        <v>1149</v>
      </c>
      <c r="M315" t="s">
        <v>1150</v>
      </c>
    </row>
    <row r="316" spans="1:13" hidden="1" x14ac:dyDescent="0.25">
      <c r="A316" s="24">
        <f t="shared" si="54"/>
        <v>20</v>
      </c>
      <c r="B316" s="24">
        <v>12</v>
      </c>
      <c r="C316" s="24">
        <v>42</v>
      </c>
      <c r="E316" s="4">
        <v>134704</v>
      </c>
      <c r="F316" s="2" t="s">
        <v>2</v>
      </c>
      <c r="G316" s="2" t="str">
        <f t="shared" si="53"/>
        <v>https://www.oreht.ru/modules.php?name=orehtPriceLS&amp;op=Search&amp;page=1&amp;stext=134704</v>
      </c>
      <c r="I316">
        <v>134704</v>
      </c>
      <c r="J316" t="s">
        <v>2</v>
      </c>
      <c r="K316" t="s">
        <v>1151</v>
      </c>
      <c r="L316" t="s">
        <v>1152</v>
      </c>
      <c r="M316" t="s">
        <v>1153</v>
      </c>
    </row>
    <row r="317" spans="1:13" hidden="1" x14ac:dyDescent="0.25">
      <c r="A317" s="24">
        <f t="shared" si="54"/>
        <v>20</v>
      </c>
      <c r="B317" s="24">
        <v>12</v>
      </c>
      <c r="C317" s="24">
        <v>55</v>
      </c>
      <c r="E317" s="4">
        <v>444696</v>
      </c>
      <c r="F317" s="2" t="s">
        <v>2</v>
      </c>
      <c r="G317" s="2" t="str">
        <f t="shared" si="53"/>
        <v>https://www.oreht.ru/modules.php?name=orehtPriceLS&amp;op=Search&amp;page=1&amp;stext=444696</v>
      </c>
      <c r="I317">
        <v>444696</v>
      </c>
      <c r="J317" t="s">
        <v>2</v>
      </c>
      <c r="K317" t="s">
        <v>1154</v>
      </c>
      <c r="L317" t="s">
        <v>1155</v>
      </c>
      <c r="M317" t="s">
        <v>1153</v>
      </c>
    </row>
    <row r="318" spans="1:13" hidden="1" x14ac:dyDescent="0.25">
      <c r="A318" s="24">
        <f t="shared" si="54"/>
        <v>20</v>
      </c>
      <c r="B318" s="24">
        <v>12</v>
      </c>
      <c r="C318" s="24">
        <v>49</v>
      </c>
      <c r="E318" s="4">
        <v>198924</v>
      </c>
      <c r="F318" s="2" t="s">
        <v>2</v>
      </c>
      <c r="G318" s="2" t="str">
        <f t="shared" si="53"/>
        <v>https://www.oreht.ru/modules.php?name=orehtPriceLS&amp;op=Search&amp;page=1&amp;stext=198924</v>
      </c>
      <c r="I318">
        <v>198924</v>
      </c>
      <c r="J318" t="s">
        <v>2</v>
      </c>
      <c r="K318" t="s">
        <v>1156</v>
      </c>
      <c r="L318" t="s">
        <v>1157</v>
      </c>
      <c r="M318" t="s">
        <v>1158</v>
      </c>
    </row>
    <row r="319" spans="1:13" hidden="1" x14ac:dyDescent="0.25">
      <c r="A319" s="24">
        <f t="shared" si="54"/>
        <v>20</v>
      </c>
      <c r="B319" s="24">
        <v>12</v>
      </c>
      <c r="C319" s="24">
        <v>43</v>
      </c>
      <c r="E319" s="4">
        <v>375912</v>
      </c>
      <c r="F319" s="2" t="s">
        <v>2</v>
      </c>
      <c r="G319" s="2" t="str">
        <f t="shared" si="53"/>
        <v>https://www.oreht.ru/modules.php?name=orehtPriceLS&amp;op=Search&amp;page=1&amp;stext=375912</v>
      </c>
      <c r="I319">
        <v>375912</v>
      </c>
      <c r="J319" t="s">
        <v>2</v>
      </c>
      <c r="K319" t="s">
        <v>1159</v>
      </c>
      <c r="L319" t="s">
        <v>1160</v>
      </c>
      <c r="M319" t="s">
        <v>1161</v>
      </c>
    </row>
    <row r="320" spans="1:13" hidden="1" x14ac:dyDescent="0.25">
      <c r="A320" s="24">
        <f t="shared" si="54"/>
        <v>20</v>
      </c>
      <c r="B320" s="24">
        <v>12</v>
      </c>
      <c r="C320" s="24">
        <v>41</v>
      </c>
      <c r="E320" s="4">
        <v>400020</v>
      </c>
      <c r="F320" s="2" t="s">
        <v>2</v>
      </c>
      <c r="G320" s="2" t="str">
        <f t="shared" si="53"/>
        <v>https://www.oreht.ru/modules.php?name=orehtPriceLS&amp;op=Search&amp;page=1&amp;stext=400020</v>
      </c>
      <c r="I320">
        <v>400020</v>
      </c>
      <c r="J320" t="s">
        <v>2</v>
      </c>
      <c r="K320" t="s">
        <v>1162</v>
      </c>
      <c r="L320" t="s">
        <v>1163</v>
      </c>
      <c r="M320" t="s">
        <v>1164</v>
      </c>
    </row>
    <row r="321" spans="1:13" x14ac:dyDescent="0.25">
      <c r="A321" s="24">
        <f t="shared" si="54"/>
        <v>20</v>
      </c>
      <c r="B321" s="24">
        <v>12</v>
      </c>
      <c r="C321" s="24">
        <v>120</v>
      </c>
      <c r="E321" s="4">
        <v>352035</v>
      </c>
      <c r="F321" s="2" t="s">
        <v>2</v>
      </c>
      <c r="G321" s="2" t="str">
        <f t="shared" si="53"/>
        <v>https://www.oreht.ru/modules.php?name=orehtPriceLS&amp;op=Search&amp;page=1&amp;stext=352035</v>
      </c>
      <c r="I321">
        <v>352035</v>
      </c>
      <c r="J321" t="s">
        <v>2</v>
      </c>
      <c r="K321" t="s">
        <v>1165</v>
      </c>
      <c r="L321" t="s">
        <v>1166</v>
      </c>
      <c r="M321" t="s">
        <v>649</v>
      </c>
    </row>
    <row r="322" spans="1:13" x14ac:dyDescent="0.25">
      <c r="A322" s="24">
        <f t="shared" si="54"/>
        <v>20</v>
      </c>
      <c r="B322" s="24">
        <v>12</v>
      </c>
      <c r="C322" s="24">
        <v>43</v>
      </c>
      <c r="E322" s="4">
        <v>430895</v>
      </c>
      <c r="F322" s="2" t="s">
        <v>2</v>
      </c>
      <c r="G322" s="2" t="str">
        <f t="shared" ref="G322:G385" si="55">HYPERLINK(F322&amp;E322)</f>
        <v>https://www.oreht.ru/modules.php?name=orehtPriceLS&amp;op=Search&amp;page=1&amp;stext=430895</v>
      </c>
      <c r="I322">
        <v>430895</v>
      </c>
      <c r="J322" t="s">
        <v>2</v>
      </c>
      <c r="K322" t="s">
        <v>1167</v>
      </c>
      <c r="L322" t="s">
        <v>1168</v>
      </c>
      <c r="M322" t="s">
        <v>649</v>
      </c>
    </row>
    <row r="323" spans="1:13" x14ac:dyDescent="0.25">
      <c r="A323" s="24">
        <f t="shared" si="54"/>
        <v>20</v>
      </c>
      <c r="B323" s="24">
        <v>12</v>
      </c>
      <c r="C323" s="24">
        <v>100</v>
      </c>
      <c r="E323" s="4">
        <v>421138</v>
      </c>
      <c r="F323" s="2" t="s">
        <v>2</v>
      </c>
      <c r="G323" s="2" t="str">
        <f t="shared" si="55"/>
        <v>https://www.oreht.ru/modules.php?name=orehtPriceLS&amp;op=Search&amp;page=1&amp;stext=421138</v>
      </c>
      <c r="I323">
        <v>421138</v>
      </c>
      <c r="J323" t="s">
        <v>2</v>
      </c>
      <c r="K323" t="s">
        <v>1169</v>
      </c>
      <c r="L323" t="s">
        <v>1170</v>
      </c>
      <c r="M323" t="s">
        <v>649</v>
      </c>
    </row>
    <row r="324" spans="1:13" hidden="1" x14ac:dyDescent="0.25">
      <c r="A324" s="24">
        <f t="shared" si="54"/>
        <v>20</v>
      </c>
      <c r="B324" s="24">
        <v>12</v>
      </c>
      <c r="C324" s="24">
        <v>45</v>
      </c>
      <c r="E324" s="4">
        <v>198920</v>
      </c>
      <c r="F324" s="2" t="s">
        <v>2</v>
      </c>
      <c r="G324" s="2" t="str">
        <f t="shared" si="55"/>
        <v>https://www.oreht.ru/modules.php?name=orehtPriceLS&amp;op=Search&amp;page=1&amp;stext=198920</v>
      </c>
      <c r="I324">
        <v>198920</v>
      </c>
      <c r="J324" t="s">
        <v>2</v>
      </c>
      <c r="K324" t="s">
        <v>1171</v>
      </c>
      <c r="L324" t="s">
        <v>1172</v>
      </c>
      <c r="M324" t="s">
        <v>1173</v>
      </c>
    </row>
    <row r="325" spans="1:13" x14ac:dyDescent="0.25">
      <c r="A325" s="24">
        <f t="shared" ref="A325:A388" si="56">IF(W325*0.05&gt;=250,250,IF(W325*0.05&gt;=20,IF(W325*0.05&lt;20,20,W325*0.05),20))</f>
        <v>20</v>
      </c>
      <c r="B325" s="24">
        <v>12</v>
      </c>
      <c r="C325" s="24">
        <v>71</v>
      </c>
      <c r="E325" s="4">
        <v>310791</v>
      </c>
      <c r="F325" s="2" t="s">
        <v>2</v>
      </c>
      <c r="G325" s="2" t="str">
        <f t="shared" si="55"/>
        <v>https://www.oreht.ru/modules.php?name=orehtPriceLS&amp;op=Search&amp;page=1&amp;stext=310791</v>
      </c>
      <c r="I325">
        <v>310791</v>
      </c>
      <c r="J325" t="s">
        <v>2</v>
      </c>
      <c r="K325" t="s">
        <v>1174</v>
      </c>
      <c r="L325" t="s">
        <v>1175</v>
      </c>
      <c r="M325" t="s">
        <v>649</v>
      </c>
    </row>
    <row r="326" spans="1:13" x14ac:dyDescent="0.25">
      <c r="A326" s="24">
        <f t="shared" si="56"/>
        <v>20</v>
      </c>
      <c r="B326" s="24">
        <v>12</v>
      </c>
      <c r="C326" s="24">
        <v>43</v>
      </c>
      <c r="E326" s="4">
        <v>364683</v>
      </c>
      <c r="F326" s="2" t="s">
        <v>2</v>
      </c>
      <c r="G326" s="2" t="str">
        <f t="shared" si="55"/>
        <v>https://www.oreht.ru/modules.php?name=orehtPriceLS&amp;op=Search&amp;page=1&amp;stext=364683</v>
      </c>
      <c r="I326">
        <v>364683</v>
      </c>
      <c r="J326" t="s">
        <v>2</v>
      </c>
      <c r="K326" t="s">
        <v>1176</v>
      </c>
      <c r="L326" t="s">
        <v>1177</v>
      </c>
      <c r="M326" t="s">
        <v>649</v>
      </c>
    </row>
    <row r="327" spans="1:13" x14ac:dyDescent="0.25">
      <c r="A327" s="24">
        <f t="shared" si="56"/>
        <v>20</v>
      </c>
      <c r="B327" s="24">
        <v>12</v>
      </c>
      <c r="C327" s="24">
        <v>41</v>
      </c>
      <c r="E327" s="4">
        <v>347678</v>
      </c>
      <c r="F327" s="2" t="s">
        <v>2</v>
      </c>
      <c r="G327" s="2" t="str">
        <f t="shared" si="55"/>
        <v>https://www.oreht.ru/modules.php?name=orehtPriceLS&amp;op=Search&amp;page=1&amp;stext=347678</v>
      </c>
      <c r="I327">
        <v>347678</v>
      </c>
      <c r="J327" t="s">
        <v>2</v>
      </c>
      <c r="K327" t="s">
        <v>1178</v>
      </c>
      <c r="L327" t="s">
        <v>1179</v>
      </c>
      <c r="M327" t="s">
        <v>649</v>
      </c>
    </row>
    <row r="328" spans="1:13" hidden="1" x14ac:dyDescent="0.25">
      <c r="A328" s="24">
        <f t="shared" si="56"/>
        <v>20</v>
      </c>
      <c r="B328" s="24">
        <v>12</v>
      </c>
      <c r="C328" s="24">
        <v>69</v>
      </c>
      <c r="E328" s="4">
        <v>139328</v>
      </c>
      <c r="F328" s="2" t="s">
        <v>2</v>
      </c>
      <c r="G328" s="2" t="str">
        <f t="shared" si="55"/>
        <v>https://www.oreht.ru/modules.php?name=orehtPriceLS&amp;op=Search&amp;page=1&amp;stext=139328</v>
      </c>
      <c r="I328">
        <v>139328</v>
      </c>
      <c r="J328" t="s">
        <v>2</v>
      </c>
      <c r="K328" t="s">
        <v>1180</v>
      </c>
      <c r="L328" t="s">
        <v>1181</v>
      </c>
      <c r="M328" t="s">
        <v>1182</v>
      </c>
    </row>
    <row r="329" spans="1:13" x14ac:dyDescent="0.25">
      <c r="A329" s="24">
        <f t="shared" si="56"/>
        <v>20</v>
      </c>
      <c r="B329" s="24">
        <v>12</v>
      </c>
      <c r="C329" s="24">
        <v>40</v>
      </c>
      <c r="E329" s="4">
        <v>391186</v>
      </c>
      <c r="F329" s="2" t="s">
        <v>2</v>
      </c>
      <c r="G329" s="2" t="str">
        <f t="shared" si="55"/>
        <v>https://www.oreht.ru/modules.php?name=orehtPriceLS&amp;op=Search&amp;page=1&amp;stext=391186</v>
      </c>
      <c r="I329">
        <v>391186</v>
      </c>
      <c r="J329" t="s">
        <v>2</v>
      </c>
      <c r="K329" t="s">
        <v>1183</v>
      </c>
      <c r="L329" t="s">
        <v>1184</v>
      </c>
      <c r="M329" t="s">
        <v>649</v>
      </c>
    </row>
    <row r="330" spans="1:13" hidden="1" x14ac:dyDescent="0.25">
      <c r="A330" s="24">
        <f t="shared" si="56"/>
        <v>20</v>
      </c>
      <c r="B330" s="24">
        <v>12</v>
      </c>
      <c r="C330" s="24">
        <v>41</v>
      </c>
      <c r="E330" s="4">
        <v>272028</v>
      </c>
      <c r="F330" s="2" t="s">
        <v>2</v>
      </c>
      <c r="G330" s="2" t="str">
        <f t="shared" si="55"/>
        <v>https://www.oreht.ru/modules.php?name=orehtPriceLS&amp;op=Search&amp;page=1&amp;stext=272028</v>
      </c>
      <c r="I330">
        <v>272028</v>
      </c>
      <c r="J330" t="s">
        <v>2</v>
      </c>
      <c r="K330" t="s">
        <v>1185</v>
      </c>
      <c r="L330" t="s">
        <v>1186</v>
      </c>
      <c r="M330" t="s">
        <v>1187</v>
      </c>
    </row>
    <row r="331" spans="1:13" x14ac:dyDescent="0.25">
      <c r="A331" s="24">
        <f t="shared" si="56"/>
        <v>20</v>
      </c>
      <c r="B331" s="24">
        <v>12</v>
      </c>
      <c r="C331" s="24">
        <v>45</v>
      </c>
      <c r="E331" s="4">
        <v>272029</v>
      </c>
      <c r="F331" s="2" t="s">
        <v>2</v>
      </c>
      <c r="G331" s="2" t="str">
        <f t="shared" si="55"/>
        <v>https://www.oreht.ru/modules.php?name=orehtPriceLS&amp;op=Search&amp;page=1&amp;stext=272029</v>
      </c>
      <c r="I331">
        <v>272029</v>
      </c>
      <c r="J331" t="s">
        <v>2</v>
      </c>
      <c r="K331" t="s">
        <v>1188</v>
      </c>
      <c r="L331" t="s">
        <v>1189</v>
      </c>
      <c r="M331" t="s">
        <v>649</v>
      </c>
    </row>
    <row r="332" spans="1:13" x14ac:dyDescent="0.25">
      <c r="A332" s="24">
        <f t="shared" si="56"/>
        <v>20</v>
      </c>
      <c r="B332" s="24">
        <v>12</v>
      </c>
      <c r="C332" s="24">
        <v>57</v>
      </c>
      <c r="E332" s="4">
        <v>389531</v>
      </c>
      <c r="F332" s="2" t="s">
        <v>2</v>
      </c>
      <c r="G332" s="2" t="str">
        <f t="shared" si="55"/>
        <v>https://www.oreht.ru/modules.php?name=orehtPriceLS&amp;op=Search&amp;page=1&amp;stext=389531</v>
      </c>
      <c r="I332">
        <v>389531</v>
      </c>
      <c r="J332" t="s">
        <v>2</v>
      </c>
      <c r="K332" t="s">
        <v>1190</v>
      </c>
      <c r="L332" t="s">
        <v>1191</v>
      </c>
      <c r="M332" t="s">
        <v>649</v>
      </c>
    </row>
    <row r="333" spans="1:13" hidden="1" x14ac:dyDescent="0.25">
      <c r="A333" s="24">
        <f t="shared" si="56"/>
        <v>20</v>
      </c>
      <c r="B333" s="24">
        <v>12</v>
      </c>
      <c r="C333" s="24">
        <v>43</v>
      </c>
      <c r="E333" s="4">
        <v>422501</v>
      </c>
      <c r="F333" s="2" t="s">
        <v>2</v>
      </c>
      <c r="G333" s="2" t="str">
        <f t="shared" si="55"/>
        <v>https://www.oreht.ru/modules.php?name=orehtPriceLS&amp;op=Search&amp;page=1&amp;stext=422501</v>
      </c>
      <c r="I333">
        <v>422501</v>
      </c>
      <c r="J333" t="s">
        <v>2</v>
      </c>
      <c r="K333" t="s">
        <v>1192</v>
      </c>
      <c r="L333" t="s">
        <v>1193</v>
      </c>
      <c r="M333" t="s">
        <v>1194</v>
      </c>
    </row>
    <row r="334" spans="1:13" x14ac:dyDescent="0.25">
      <c r="A334" s="24">
        <f t="shared" si="56"/>
        <v>20</v>
      </c>
      <c r="B334" s="24">
        <v>12</v>
      </c>
      <c r="C334" s="24">
        <v>43</v>
      </c>
      <c r="E334" s="4">
        <v>409963</v>
      </c>
      <c r="F334" s="2" t="s">
        <v>2</v>
      </c>
      <c r="G334" s="2" t="str">
        <f t="shared" si="55"/>
        <v>https://www.oreht.ru/modules.php?name=orehtPriceLS&amp;op=Search&amp;page=1&amp;stext=409963</v>
      </c>
      <c r="I334">
        <v>409963</v>
      </c>
      <c r="J334" t="s">
        <v>2</v>
      </c>
      <c r="K334" t="s">
        <v>1195</v>
      </c>
      <c r="L334" t="s">
        <v>1196</v>
      </c>
      <c r="M334" t="s">
        <v>649</v>
      </c>
    </row>
    <row r="335" spans="1:13" hidden="1" x14ac:dyDescent="0.25">
      <c r="A335" s="24">
        <f t="shared" si="56"/>
        <v>20</v>
      </c>
      <c r="B335" s="24">
        <v>12</v>
      </c>
      <c r="C335" s="24">
        <v>79</v>
      </c>
      <c r="E335" s="4">
        <v>198952</v>
      </c>
      <c r="F335" s="2" t="s">
        <v>2</v>
      </c>
      <c r="G335" s="2" t="str">
        <f t="shared" si="55"/>
        <v>https://www.oreht.ru/modules.php?name=orehtPriceLS&amp;op=Search&amp;page=1&amp;stext=198952</v>
      </c>
      <c r="I335">
        <v>198952</v>
      </c>
      <c r="J335" t="s">
        <v>2</v>
      </c>
      <c r="K335" t="s">
        <v>1197</v>
      </c>
      <c r="L335" t="s">
        <v>1198</v>
      </c>
      <c r="M335" t="s">
        <v>1199</v>
      </c>
    </row>
    <row r="336" spans="1:13" hidden="1" x14ac:dyDescent="0.25">
      <c r="A336" s="24">
        <f t="shared" si="56"/>
        <v>20</v>
      </c>
      <c r="B336" s="24">
        <v>12</v>
      </c>
      <c r="C336" s="24">
        <v>43</v>
      </c>
      <c r="E336" s="4">
        <v>423264</v>
      </c>
      <c r="F336" s="2" t="s">
        <v>2</v>
      </c>
      <c r="G336" s="2" t="str">
        <f t="shared" si="55"/>
        <v>https://www.oreht.ru/modules.php?name=orehtPriceLS&amp;op=Search&amp;page=1&amp;stext=423264</v>
      </c>
      <c r="I336">
        <v>423264</v>
      </c>
      <c r="J336" t="s">
        <v>2</v>
      </c>
      <c r="K336" t="s">
        <v>1200</v>
      </c>
      <c r="L336" t="s">
        <v>1201</v>
      </c>
      <c r="M336" t="s">
        <v>1202</v>
      </c>
    </row>
    <row r="337" spans="1:13" x14ac:dyDescent="0.25">
      <c r="A337" s="24">
        <f t="shared" si="56"/>
        <v>20</v>
      </c>
      <c r="B337" s="24">
        <v>12</v>
      </c>
      <c r="C337" s="24">
        <v>49</v>
      </c>
      <c r="E337" s="4">
        <v>269753</v>
      </c>
      <c r="F337" s="2" t="s">
        <v>2</v>
      </c>
      <c r="G337" s="2" t="str">
        <f t="shared" si="55"/>
        <v>https://www.oreht.ru/modules.php?name=orehtPriceLS&amp;op=Search&amp;page=1&amp;stext=269753</v>
      </c>
      <c r="I337">
        <v>269753</v>
      </c>
      <c r="J337" t="s">
        <v>2</v>
      </c>
      <c r="K337" t="s">
        <v>1203</v>
      </c>
      <c r="L337" t="s">
        <v>1204</v>
      </c>
      <c r="M337" t="s">
        <v>649</v>
      </c>
    </row>
    <row r="338" spans="1:13" hidden="1" x14ac:dyDescent="0.25">
      <c r="A338" s="24">
        <f t="shared" si="56"/>
        <v>20</v>
      </c>
      <c r="B338" s="24">
        <v>12</v>
      </c>
      <c r="C338" s="24">
        <v>51</v>
      </c>
      <c r="E338" s="4">
        <v>385020</v>
      </c>
      <c r="F338" s="2" t="s">
        <v>2</v>
      </c>
      <c r="G338" s="2" t="str">
        <f t="shared" si="55"/>
        <v>https://www.oreht.ru/modules.php?name=orehtPriceLS&amp;op=Search&amp;page=1&amp;stext=385020</v>
      </c>
      <c r="I338">
        <v>385020</v>
      </c>
      <c r="J338" t="s">
        <v>2</v>
      </c>
      <c r="K338" t="s">
        <v>1205</v>
      </c>
      <c r="L338" t="s">
        <v>1206</v>
      </c>
      <c r="M338" t="s">
        <v>1207</v>
      </c>
    </row>
    <row r="339" spans="1:13" hidden="1" x14ac:dyDescent="0.25">
      <c r="A339" s="24">
        <f t="shared" si="56"/>
        <v>20</v>
      </c>
      <c r="B339" s="24">
        <v>12</v>
      </c>
      <c r="C339" s="24">
        <v>69</v>
      </c>
      <c r="E339" s="4">
        <v>124542</v>
      </c>
      <c r="F339" s="2" t="s">
        <v>2</v>
      </c>
      <c r="G339" s="2" t="str">
        <f t="shared" si="55"/>
        <v>https://www.oreht.ru/modules.php?name=orehtPriceLS&amp;op=Search&amp;page=1&amp;stext=124542</v>
      </c>
      <c r="I339">
        <v>124542</v>
      </c>
      <c r="J339" t="s">
        <v>2</v>
      </c>
      <c r="K339" t="s">
        <v>1208</v>
      </c>
      <c r="L339" t="s">
        <v>1209</v>
      </c>
      <c r="M339" t="s">
        <v>1210</v>
      </c>
    </row>
    <row r="340" spans="1:13" hidden="1" x14ac:dyDescent="0.25">
      <c r="A340" s="24">
        <f t="shared" si="56"/>
        <v>20</v>
      </c>
      <c r="B340" s="24">
        <v>12</v>
      </c>
      <c r="C340" s="24">
        <v>43</v>
      </c>
      <c r="E340" s="4">
        <v>323968</v>
      </c>
      <c r="F340" s="2" t="s">
        <v>2</v>
      </c>
      <c r="G340" s="2" t="str">
        <f t="shared" si="55"/>
        <v>https://www.oreht.ru/modules.php?name=orehtPriceLS&amp;op=Search&amp;page=1&amp;stext=323968</v>
      </c>
      <c r="I340">
        <v>323968</v>
      </c>
      <c r="J340" t="s">
        <v>2</v>
      </c>
      <c r="K340" t="s">
        <v>1211</v>
      </c>
      <c r="L340" t="s">
        <v>1212</v>
      </c>
      <c r="M340" t="s">
        <v>1213</v>
      </c>
    </row>
    <row r="341" spans="1:13" hidden="1" x14ac:dyDescent="0.25">
      <c r="A341" s="24">
        <f t="shared" si="56"/>
        <v>20</v>
      </c>
      <c r="B341" s="24">
        <v>12</v>
      </c>
      <c r="C341" s="24">
        <v>42</v>
      </c>
      <c r="E341" s="4">
        <v>344705</v>
      </c>
      <c r="F341" s="2" t="s">
        <v>2</v>
      </c>
      <c r="G341" s="2" t="str">
        <f t="shared" si="55"/>
        <v>https://www.oreht.ru/modules.php?name=orehtPriceLS&amp;op=Search&amp;page=1&amp;stext=344705</v>
      </c>
      <c r="I341">
        <v>344705</v>
      </c>
      <c r="J341" t="s">
        <v>2</v>
      </c>
      <c r="K341" t="s">
        <v>1214</v>
      </c>
      <c r="L341" t="s">
        <v>1215</v>
      </c>
      <c r="M341" t="s">
        <v>1216</v>
      </c>
    </row>
    <row r="342" spans="1:13" hidden="1" x14ac:dyDescent="0.25">
      <c r="A342" s="24">
        <f t="shared" si="56"/>
        <v>20</v>
      </c>
      <c r="B342" s="24">
        <v>12</v>
      </c>
      <c r="C342" s="24">
        <v>51</v>
      </c>
      <c r="E342" s="4">
        <v>390312</v>
      </c>
      <c r="F342" s="2" t="s">
        <v>2</v>
      </c>
      <c r="G342" s="2" t="str">
        <f t="shared" si="55"/>
        <v>https://www.oreht.ru/modules.php?name=orehtPriceLS&amp;op=Search&amp;page=1&amp;stext=390312</v>
      </c>
      <c r="I342">
        <v>390312</v>
      </c>
      <c r="J342" t="s">
        <v>2</v>
      </c>
      <c r="K342" t="s">
        <v>1217</v>
      </c>
      <c r="L342" t="s">
        <v>1218</v>
      </c>
      <c r="M342" t="s">
        <v>1219</v>
      </c>
    </row>
    <row r="343" spans="1:13" hidden="1" x14ac:dyDescent="0.25">
      <c r="A343" s="24">
        <f t="shared" si="56"/>
        <v>20</v>
      </c>
      <c r="B343" s="24">
        <v>12</v>
      </c>
      <c r="C343" s="24">
        <v>43</v>
      </c>
      <c r="E343" s="4">
        <v>306217</v>
      </c>
      <c r="F343" s="2" t="s">
        <v>2</v>
      </c>
      <c r="G343" s="2" t="str">
        <f t="shared" si="55"/>
        <v>https://www.oreht.ru/modules.php?name=orehtPriceLS&amp;op=Search&amp;page=1&amp;stext=306217</v>
      </c>
      <c r="I343">
        <v>306217</v>
      </c>
      <c r="J343" t="s">
        <v>2</v>
      </c>
      <c r="K343" t="s">
        <v>1220</v>
      </c>
      <c r="L343" t="s">
        <v>1221</v>
      </c>
      <c r="M343" t="s">
        <v>1222</v>
      </c>
    </row>
    <row r="344" spans="1:13" hidden="1" x14ac:dyDescent="0.25">
      <c r="A344" s="24">
        <f t="shared" si="56"/>
        <v>20</v>
      </c>
      <c r="B344" s="24">
        <v>10</v>
      </c>
      <c r="C344" s="24">
        <v>47</v>
      </c>
      <c r="E344" s="4">
        <v>104930</v>
      </c>
      <c r="F344" s="2" t="s">
        <v>2</v>
      </c>
      <c r="G344" s="2" t="str">
        <f t="shared" si="55"/>
        <v>https://www.oreht.ru/modules.php?name=orehtPriceLS&amp;op=Search&amp;page=1&amp;stext=104930</v>
      </c>
      <c r="I344">
        <v>104930</v>
      </c>
      <c r="J344" t="s">
        <v>2</v>
      </c>
      <c r="K344" t="s">
        <v>1223</v>
      </c>
      <c r="L344" t="s">
        <v>1224</v>
      </c>
      <c r="M344" t="s">
        <v>1225</v>
      </c>
    </row>
    <row r="345" spans="1:13" hidden="1" x14ac:dyDescent="0.25">
      <c r="A345" s="24">
        <f t="shared" si="56"/>
        <v>20</v>
      </c>
      <c r="B345" s="24">
        <v>10</v>
      </c>
      <c r="C345" s="24">
        <v>120</v>
      </c>
      <c r="E345" s="4">
        <v>202466</v>
      </c>
      <c r="F345" s="2" t="s">
        <v>2</v>
      </c>
      <c r="G345" s="2" t="str">
        <f t="shared" si="55"/>
        <v>https://www.oreht.ru/modules.php?name=orehtPriceLS&amp;op=Search&amp;page=1&amp;stext=202466</v>
      </c>
      <c r="I345">
        <v>202466</v>
      </c>
      <c r="J345" t="s">
        <v>2</v>
      </c>
      <c r="K345" t="s">
        <v>1226</v>
      </c>
      <c r="L345" t="s">
        <v>1227</v>
      </c>
      <c r="M345" t="s">
        <v>1228</v>
      </c>
    </row>
    <row r="346" spans="1:13" hidden="1" x14ac:dyDescent="0.25">
      <c r="A346" s="24">
        <f t="shared" si="56"/>
        <v>20</v>
      </c>
      <c r="B346" s="24">
        <v>12</v>
      </c>
      <c r="C346" s="24">
        <v>51</v>
      </c>
      <c r="E346" s="4">
        <v>272698</v>
      </c>
      <c r="F346" s="2" t="s">
        <v>2</v>
      </c>
      <c r="G346" s="2" t="str">
        <f t="shared" si="55"/>
        <v>https://www.oreht.ru/modules.php?name=orehtPriceLS&amp;op=Search&amp;page=1&amp;stext=272698</v>
      </c>
      <c r="I346">
        <v>272698</v>
      </c>
      <c r="J346" t="s">
        <v>2</v>
      </c>
      <c r="K346" t="s">
        <v>1229</v>
      </c>
      <c r="L346" t="s">
        <v>1230</v>
      </c>
      <c r="M346" t="s">
        <v>1231</v>
      </c>
    </row>
    <row r="347" spans="1:13" hidden="1" x14ac:dyDescent="0.25">
      <c r="A347" s="24">
        <f t="shared" si="56"/>
        <v>20</v>
      </c>
      <c r="B347" s="24">
        <v>12</v>
      </c>
      <c r="C347" s="24">
        <v>55</v>
      </c>
      <c r="E347" s="4">
        <v>198948</v>
      </c>
      <c r="F347" s="2" t="s">
        <v>2</v>
      </c>
      <c r="G347" s="2" t="str">
        <f t="shared" si="55"/>
        <v>https://www.oreht.ru/modules.php?name=orehtPriceLS&amp;op=Search&amp;page=1&amp;stext=198948</v>
      </c>
      <c r="I347">
        <v>198948</v>
      </c>
      <c r="J347" t="s">
        <v>2</v>
      </c>
      <c r="K347" t="s">
        <v>1232</v>
      </c>
      <c r="L347" t="s">
        <v>1233</v>
      </c>
      <c r="M347" t="s">
        <v>1234</v>
      </c>
    </row>
    <row r="348" spans="1:13" x14ac:dyDescent="0.25">
      <c r="A348" s="24">
        <f t="shared" si="56"/>
        <v>20</v>
      </c>
      <c r="B348" s="24">
        <v>12</v>
      </c>
      <c r="C348" s="24">
        <v>55</v>
      </c>
      <c r="E348" s="4">
        <v>372441</v>
      </c>
      <c r="F348" s="2" t="s">
        <v>2</v>
      </c>
      <c r="G348" s="2" t="str">
        <f t="shared" si="55"/>
        <v>https://www.oreht.ru/modules.php?name=orehtPriceLS&amp;op=Search&amp;page=1&amp;stext=372441</v>
      </c>
      <c r="I348">
        <v>372441</v>
      </c>
      <c r="J348" t="s">
        <v>2</v>
      </c>
      <c r="K348" t="s">
        <v>1235</v>
      </c>
      <c r="L348" t="s">
        <v>1236</v>
      </c>
      <c r="M348" t="s">
        <v>649</v>
      </c>
    </row>
    <row r="349" spans="1:13" x14ac:dyDescent="0.25">
      <c r="A349" s="24">
        <f t="shared" si="56"/>
        <v>20</v>
      </c>
      <c r="B349" s="24">
        <v>12</v>
      </c>
      <c r="C349" s="24">
        <v>45</v>
      </c>
      <c r="E349" s="4">
        <v>375091</v>
      </c>
      <c r="F349" s="2" t="s">
        <v>2</v>
      </c>
      <c r="G349" s="2" t="str">
        <f t="shared" si="55"/>
        <v>https://www.oreht.ru/modules.php?name=orehtPriceLS&amp;op=Search&amp;page=1&amp;stext=375091</v>
      </c>
      <c r="I349">
        <v>375091</v>
      </c>
      <c r="J349" t="s">
        <v>2</v>
      </c>
      <c r="K349" t="s">
        <v>1237</v>
      </c>
      <c r="L349" t="s">
        <v>1238</v>
      </c>
      <c r="M349" t="s">
        <v>649</v>
      </c>
    </row>
    <row r="350" spans="1:13" hidden="1" x14ac:dyDescent="0.25">
      <c r="A350" s="24">
        <f t="shared" si="56"/>
        <v>20</v>
      </c>
      <c r="B350" s="24">
        <v>12</v>
      </c>
      <c r="C350" s="24">
        <v>40</v>
      </c>
      <c r="E350" s="4">
        <v>417791</v>
      </c>
      <c r="F350" s="2" t="s">
        <v>2</v>
      </c>
      <c r="G350" s="2" t="str">
        <f t="shared" si="55"/>
        <v>https://www.oreht.ru/modules.php?name=orehtPriceLS&amp;op=Search&amp;page=1&amp;stext=417791</v>
      </c>
      <c r="I350">
        <v>417791</v>
      </c>
      <c r="J350" t="s">
        <v>2</v>
      </c>
      <c r="K350" t="s">
        <v>1239</v>
      </c>
      <c r="L350" t="s">
        <v>1240</v>
      </c>
      <c r="M350" t="s">
        <v>1241</v>
      </c>
    </row>
    <row r="351" spans="1:13" hidden="1" x14ac:dyDescent="0.25">
      <c r="A351" s="24">
        <f t="shared" si="56"/>
        <v>20</v>
      </c>
      <c r="B351" s="24">
        <v>12</v>
      </c>
      <c r="C351" s="24">
        <v>51</v>
      </c>
      <c r="E351" s="4">
        <v>422007</v>
      </c>
      <c r="F351" s="2" t="s">
        <v>2</v>
      </c>
      <c r="G351" s="2" t="str">
        <f t="shared" si="55"/>
        <v>https://www.oreht.ru/modules.php?name=orehtPriceLS&amp;op=Search&amp;page=1&amp;stext=422007</v>
      </c>
      <c r="I351">
        <v>422007</v>
      </c>
      <c r="J351" t="s">
        <v>2</v>
      </c>
      <c r="K351" t="s">
        <v>1242</v>
      </c>
      <c r="L351" t="s">
        <v>1243</v>
      </c>
      <c r="M351" t="s">
        <v>1244</v>
      </c>
    </row>
    <row r="352" spans="1:13" x14ac:dyDescent="0.25">
      <c r="A352" s="24">
        <f t="shared" si="56"/>
        <v>20</v>
      </c>
      <c r="B352" s="24">
        <v>12</v>
      </c>
      <c r="C352" s="24">
        <v>47</v>
      </c>
      <c r="E352" s="4">
        <v>426638</v>
      </c>
      <c r="F352" s="2" t="s">
        <v>2</v>
      </c>
      <c r="G352" s="2" t="str">
        <f t="shared" si="55"/>
        <v>https://www.oreht.ru/modules.php?name=orehtPriceLS&amp;op=Search&amp;page=1&amp;stext=426638</v>
      </c>
      <c r="I352">
        <v>426638</v>
      </c>
      <c r="J352" t="s">
        <v>2</v>
      </c>
      <c r="K352" t="s">
        <v>1245</v>
      </c>
      <c r="L352" t="s">
        <v>1246</v>
      </c>
      <c r="M352" t="s">
        <v>649</v>
      </c>
    </row>
    <row r="353" spans="1:13" hidden="1" x14ac:dyDescent="0.25">
      <c r="A353" s="24">
        <f t="shared" si="56"/>
        <v>20</v>
      </c>
      <c r="B353" s="24">
        <v>12</v>
      </c>
      <c r="C353" s="24">
        <v>43</v>
      </c>
      <c r="E353" s="4">
        <v>176634</v>
      </c>
      <c r="F353" s="2" t="s">
        <v>2</v>
      </c>
      <c r="G353" s="2" t="str">
        <f t="shared" si="55"/>
        <v>https://www.oreht.ru/modules.php?name=orehtPriceLS&amp;op=Search&amp;page=1&amp;stext=176634</v>
      </c>
      <c r="I353">
        <v>176634</v>
      </c>
      <c r="J353" t="s">
        <v>2</v>
      </c>
      <c r="K353" t="s">
        <v>1247</v>
      </c>
      <c r="L353" t="s">
        <v>1248</v>
      </c>
      <c r="M353" t="s">
        <v>1249</v>
      </c>
    </row>
    <row r="354" spans="1:13" hidden="1" x14ac:dyDescent="0.25">
      <c r="A354" s="24">
        <f t="shared" si="56"/>
        <v>20</v>
      </c>
      <c r="B354" s="24">
        <v>12</v>
      </c>
      <c r="C354" s="24">
        <v>47</v>
      </c>
      <c r="E354" s="4">
        <v>394343</v>
      </c>
      <c r="F354" s="2" t="s">
        <v>2</v>
      </c>
      <c r="G354" s="2" t="str">
        <f t="shared" si="55"/>
        <v>https://www.oreht.ru/modules.php?name=orehtPriceLS&amp;op=Search&amp;page=1&amp;stext=394343</v>
      </c>
      <c r="I354">
        <v>394343</v>
      </c>
      <c r="J354" t="s">
        <v>2</v>
      </c>
      <c r="K354" t="s">
        <v>1250</v>
      </c>
      <c r="L354" t="s">
        <v>1251</v>
      </c>
      <c r="M354" t="s">
        <v>1252</v>
      </c>
    </row>
    <row r="355" spans="1:13" hidden="1" x14ac:dyDescent="0.25">
      <c r="A355" s="24">
        <f t="shared" si="56"/>
        <v>20</v>
      </c>
      <c r="B355" s="24">
        <v>10</v>
      </c>
      <c r="C355" s="24">
        <v>79</v>
      </c>
      <c r="E355" s="4">
        <v>367680</v>
      </c>
      <c r="F355" s="2" t="s">
        <v>2</v>
      </c>
      <c r="G355" s="2" t="str">
        <f t="shared" si="55"/>
        <v>https://www.oreht.ru/modules.php?name=orehtPriceLS&amp;op=Search&amp;page=1&amp;stext=367680</v>
      </c>
      <c r="I355">
        <v>367680</v>
      </c>
      <c r="J355" t="s">
        <v>2</v>
      </c>
      <c r="K355" t="s">
        <v>1253</v>
      </c>
      <c r="L355" t="s">
        <v>1254</v>
      </c>
      <c r="M355" t="s">
        <v>1255</v>
      </c>
    </row>
    <row r="356" spans="1:13" hidden="1" x14ac:dyDescent="0.25">
      <c r="A356" s="24">
        <f t="shared" si="56"/>
        <v>20</v>
      </c>
      <c r="B356" s="24">
        <v>12</v>
      </c>
      <c r="C356" s="24">
        <v>51</v>
      </c>
      <c r="E356" s="4">
        <v>390325</v>
      </c>
      <c r="F356" s="2" t="s">
        <v>2</v>
      </c>
      <c r="G356" s="2" t="str">
        <f t="shared" si="55"/>
        <v>https://www.oreht.ru/modules.php?name=orehtPriceLS&amp;op=Search&amp;page=1&amp;stext=390325</v>
      </c>
      <c r="I356">
        <v>390325</v>
      </c>
      <c r="J356" t="s">
        <v>2</v>
      </c>
      <c r="K356" t="s">
        <v>1256</v>
      </c>
      <c r="L356" t="s">
        <v>1257</v>
      </c>
      <c r="M356" t="s">
        <v>1258</v>
      </c>
    </row>
    <row r="357" spans="1:13" x14ac:dyDescent="0.25">
      <c r="A357" s="24">
        <f t="shared" si="56"/>
        <v>20</v>
      </c>
      <c r="B357" s="24">
        <v>12</v>
      </c>
      <c r="C357" s="24">
        <v>61</v>
      </c>
      <c r="E357" s="4">
        <v>370789</v>
      </c>
      <c r="F357" s="2" t="s">
        <v>2</v>
      </c>
      <c r="G357" s="2" t="str">
        <f t="shared" si="55"/>
        <v>https://www.oreht.ru/modules.php?name=orehtPriceLS&amp;op=Search&amp;page=1&amp;stext=370789</v>
      </c>
      <c r="I357">
        <v>370789</v>
      </c>
      <c r="J357" t="s">
        <v>2</v>
      </c>
      <c r="K357" t="s">
        <v>1259</v>
      </c>
      <c r="L357" t="s">
        <v>1260</v>
      </c>
      <c r="M357" t="s">
        <v>649</v>
      </c>
    </row>
    <row r="358" spans="1:13" hidden="1" x14ac:dyDescent="0.25">
      <c r="A358" s="24">
        <f t="shared" si="56"/>
        <v>20</v>
      </c>
      <c r="B358" s="24">
        <v>12</v>
      </c>
      <c r="C358" s="24">
        <v>57</v>
      </c>
      <c r="E358" s="4">
        <v>198953</v>
      </c>
      <c r="F358" s="2" t="s">
        <v>2</v>
      </c>
      <c r="G358" s="2" t="str">
        <f t="shared" si="55"/>
        <v>https://www.oreht.ru/modules.php?name=orehtPriceLS&amp;op=Search&amp;page=1&amp;stext=198953</v>
      </c>
      <c r="I358">
        <v>198953</v>
      </c>
      <c r="J358" t="s">
        <v>2</v>
      </c>
      <c r="K358" t="s">
        <v>1261</v>
      </c>
      <c r="L358" t="s">
        <v>1262</v>
      </c>
      <c r="M358" t="s">
        <v>1263</v>
      </c>
    </row>
    <row r="359" spans="1:13" hidden="1" x14ac:dyDescent="0.25">
      <c r="A359" s="24">
        <f t="shared" si="56"/>
        <v>20</v>
      </c>
      <c r="B359" s="24">
        <v>12</v>
      </c>
      <c r="C359" s="24">
        <v>43</v>
      </c>
      <c r="E359" s="4">
        <v>233617</v>
      </c>
      <c r="F359" s="2" t="s">
        <v>2</v>
      </c>
      <c r="G359" s="2" t="str">
        <f t="shared" si="55"/>
        <v>https://www.oreht.ru/modules.php?name=orehtPriceLS&amp;op=Search&amp;page=1&amp;stext=233617</v>
      </c>
      <c r="I359">
        <v>233617</v>
      </c>
      <c r="J359" t="s">
        <v>2</v>
      </c>
      <c r="K359" t="s">
        <v>1264</v>
      </c>
      <c r="L359" t="s">
        <v>1265</v>
      </c>
      <c r="M359" t="s">
        <v>1266</v>
      </c>
    </row>
    <row r="360" spans="1:13" x14ac:dyDescent="0.25">
      <c r="A360" s="24">
        <f t="shared" si="56"/>
        <v>20</v>
      </c>
      <c r="B360" s="24">
        <v>12</v>
      </c>
      <c r="C360" s="24">
        <v>49</v>
      </c>
      <c r="E360" s="4">
        <v>205336</v>
      </c>
      <c r="F360" s="2" t="s">
        <v>2</v>
      </c>
      <c r="G360" s="2" t="str">
        <f t="shared" si="55"/>
        <v>https://www.oreht.ru/modules.php?name=orehtPriceLS&amp;op=Search&amp;page=1&amp;stext=205336</v>
      </c>
      <c r="I360">
        <v>205336</v>
      </c>
      <c r="J360" t="s">
        <v>2</v>
      </c>
      <c r="K360" t="s">
        <v>1267</v>
      </c>
      <c r="L360" t="s">
        <v>1268</v>
      </c>
      <c r="M360" t="s">
        <v>649</v>
      </c>
    </row>
    <row r="361" spans="1:13" x14ac:dyDescent="0.25">
      <c r="A361" s="24">
        <f t="shared" si="56"/>
        <v>20</v>
      </c>
      <c r="B361" s="24">
        <v>12</v>
      </c>
      <c r="C361" s="24">
        <v>43.5</v>
      </c>
      <c r="E361" s="4">
        <v>387883</v>
      </c>
      <c r="F361" s="2" t="s">
        <v>2</v>
      </c>
      <c r="G361" s="2" t="str">
        <f t="shared" si="55"/>
        <v>https://www.oreht.ru/modules.php?name=orehtPriceLS&amp;op=Search&amp;page=1&amp;stext=387883</v>
      </c>
      <c r="I361">
        <v>387883</v>
      </c>
      <c r="J361" t="s">
        <v>2</v>
      </c>
      <c r="K361" t="s">
        <v>1269</v>
      </c>
      <c r="L361" t="s">
        <v>1270</v>
      </c>
      <c r="M361" t="s">
        <v>649</v>
      </c>
    </row>
    <row r="362" spans="1:13" hidden="1" x14ac:dyDescent="0.25">
      <c r="A362" s="24">
        <f t="shared" si="56"/>
        <v>20</v>
      </c>
      <c r="B362" s="24">
        <v>12</v>
      </c>
      <c r="C362" s="24">
        <v>63</v>
      </c>
      <c r="E362" s="4">
        <v>389152</v>
      </c>
      <c r="F362" s="2" t="s">
        <v>2</v>
      </c>
      <c r="G362" s="2" t="str">
        <f t="shared" si="55"/>
        <v>https://www.oreht.ru/modules.php?name=orehtPriceLS&amp;op=Search&amp;page=1&amp;stext=389152</v>
      </c>
      <c r="I362">
        <v>389152</v>
      </c>
      <c r="J362" t="s">
        <v>2</v>
      </c>
      <c r="K362" t="s">
        <v>1271</v>
      </c>
      <c r="L362" t="s">
        <v>1272</v>
      </c>
      <c r="M362" t="s">
        <v>1273</v>
      </c>
    </row>
    <row r="363" spans="1:13" hidden="1" x14ac:dyDescent="0.25">
      <c r="A363" s="24">
        <f t="shared" si="56"/>
        <v>20</v>
      </c>
      <c r="B363" s="24">
        <v>12</v>
      </c>
      <c r="C363" s="24">
        <v>42</v>
      </c>
      <c r="E363" s="4">
        <v>354626</v>
      </c>
      <c r="F363" s="2" t="s">
        <v>2</v>
      </c>
      <c r="G363" s="2" t="str">
        <f t="shared" si="55"/>
        <v>https://www.oreht.ru/modules.php?name=orehtPriceLS&amp;op=Search&amp;page=1&amp;stext=354626</v>
      </c>
      <c r="I363">
        <v>354626</v>
      </c>
      <c r="J363" t="s">
        <v>2</v>
      </c>
      <c r="K363" t="s">
        <v>1274</v>
      </c>
      <c r="L363" t="s">
        <v>1275</v>
      </c>
      <c r="M363" t="s">
        <v>1276</v>
      </c>
    </row>
    <row r="364" spans="1:13" hidden="1" x14ac:dyDescent="0.25">
      <c r="A364" s="24">
        <f t="shared" si="56"/>
        <v>20</v>
      </c>
      <c r="B364" s="24">
        <v>12</v>
      </c>
      <c r="C364" s="24">
        <v>45</v>
      </c>
      <c r="E364" s="4">
        <v>353759</v>
      </c>
      <c r="F364" s="2" t="s">
        <v>2</v>
      </c>
      <c r="G364" s="2" t="str">
        <f t="shared" si="55"/>
        <v>https://www.oreht.ru/modules.php?name=orehtPriceLS&amp;op=Search&amp;page=1&amp;stext=353759</v>
      </c>
      <c r="I364">
        <v>353759</v>
      </c>
      <c r="J364" t="s">
        <v>2</v>
      </c>
      <c r="K364" t="s">
        <v>1277</v>
      </c>
      <c r="L364" t="s">
        <v>1278</v>
      </c>
      <c r="M364" t="s">
        <v>1266</v>
      </c>
    </row>
    <row r="365" spans="1:13" x14ac:dyDescent="0.25">
      <c r="A365" s="24">
        <f t="shared" si="56"/>
        <v>20</v>
      </c>
      <c r="B365" s="24">
        <v>12</v>
      </c>
      <c r="C365" s="24">
        <v>44.05</v>
      </c>
      <c r="E365" s="4">
        <v>297633</v>
      </c>
      <c r="F365" s="2" t="s">
        <v>2</v>
      </c>
      <c r="G365" s="2" t="str">
        <f t="shared" si="55"/>
        <v>https://www.oreht.ru/modules.php?name=orehtPriceLS&amp;op=Search&amp;page=1&amp;stext=297633</v>
      </c>
      <c r="I365">
        <v>297633</v>
      </c>
      <c r="J365" t="s">
        <v>2</v>
      </c>
      <c r="K365" t="s">
        <v>1279</v>
      </c>
      <c r="L365" t="s">
        <v>1280</v>
      </c>
      <c r="M365" t="s">
        <v>649</v>
      </c>
    </row>
    <row r="366" spans="1:13" x14ac:dyDescent="0.25">
      <c r="A366" s="24">
        <f t="shared" si="56"/>
        <v>20</v>
      </c>
      <c r="B366" s="24">
        <v>12</v>
      </c>
      <c r="C366" s="24">
        <v>44.05</v>
      </c>
      <c r="E366" s="4">
        <v>297632</v>
      </c>
      <c r="F366" s="2" t="s">
        <v>2</v>
      </c>
      <c r="G366" s="2" t="str">
        <f t="shared" si="55"/>
        <v>https://www.oreht.ru/modules.php?name=orehtPriceLS&amp;op=Search&amp;page=1&amp;stext=297632</v>
      </c>
      <c r="I366">
        <v>297632</v>
      </c>
      <c r="J366" t="s">
        <v>2</v>
      </c>
      <c r="K366" t="s">
        <v>1281</v>
      </c>
      <c r="L366" t="s">
        <v>1282</v>
      </c>
      <c r="M366" t="s">
        <v>649</v>
      </c>
    </row>
    <row r="367" spans="1:13" x14ac:dyDescent="0.25">
      <c r="A367" s="24">
        <f t="shared" si="56"/>
        <v>20</v>
      </c>
      <c r="B367" s="24">
        <v>12</v>
      </c>
      <c r="C367" s="24">
        <v>44.05</v>
      </c>
      <c r="E367" s="4">
        <v>297629</v>
      </c>
      <c r="F367" s="2" t="s">
        <v>2</v>
      </c>
      <c r="G367" s="2" t="str">
        <f t="shared" si="55"/>
        <v>https://www.oreht.ru/modules.php?name=orehtPriceLS&amp;op=Search&amp;page=1&amp;stext=297629</v>
      </c>
      <c r="I367">
        <v>297629</v>
      </c>
      <c r="J367" t="s">
        <v>2</v>
      </c>
      <c r="K367" t="s">
        <v>1283</v>
      </c>
      <c r="L367" t="s">
        <v>1284</v>
      </c>
      <c r="M367" t="s">
        <v>649</v>
      </c>
    </row>
    <row r="368" spans="1:13" x14ac:dyDescent="0.25">
      <c r="A368" s="24">
        <f t="shared" si="56"/>
        <v>20</v>
      </c>
      <c r="B368" s="24">
        <v>12</v>
      </c>
      <c r="C368" s="24">
        <v>44.05</v>
      </c>
      <c r="E368" s="4">
        <v>297623</v>
      </c>
      <c r="F368" s="2" t="s">
        <v>2</v>
      </c>
      <c r="G368" s="2" t="str">
        <f t="shared" si="55"/>
        <v>https://www.oreht.ru/modules.php?name=orehtPriceLS&amp;op=Search&amp;page=1&amp;stext=297623</v>
      </c>
      <c r="I368">
        <v>297623</v>
      </c>
      <c r="J368" t="s">
        <v>2</v>
      </c>
      <c r="K368" t="s">
        <v>1285</v>
      </c>
      <c r="L368" t="s">
        <v>1286</v>
      </c>
      <c r="M368" t="s">
        <v>649</v>
      </c>
    </row>
    <row r="369" spans="1:13" x14ac:dyDescent="0.25">
      <c r="A369" s="24">
        <f t="shared" si="56"/>
        <v>20</v>
      </c>
      <c r="B369" s="24">
        <v>12</v>
      </c>
      <c r="C369" s="24">
        <v>43</v>
      </c>
      <c r="E369" s="4">
        <v>297620</v>
      </c>
      <c r="F369" s="2" t="s">
        <v>2</v>
      </c>
      <c r="G369" s="2" t="str">
        <f t="shared" si="55"/>
        <v>https://www.oreht.ru/modules.php?name=orehtPriceLS&amp;op=Search&amp;page=1&amp;stext=297620</v>
      </c>
      <c r="I369">
        <v>297620</v>
      </c>
      <c r="J369" t="s">
        <v>2</v>
      </c>
      <c r="K369" t="s">
        <v>1287</v>
      </c>
      <c r="L369" t="s">
        <v>1288</v>
      </c>
      <c r="M369" t="s">
        <v>649</v>
      </c>
    </row>
    <row r="370" spans="1:13" x14ac:dyDescent="0.25">
      <c r="A370" s="24">
        <f t="shared" si="56"/>
        <v>20</v>
      </c>
      <c r="B370" s="24">
        <v>12</v>
      </c>
      <c r="C370" s="24">
        <v>65</v>
      </c>
      <c r="E370" s="4">
        <v>428661</v>
      </c>
      <c r="F370" s="2" t="s">
        <v>2</v>
      </c>
      <c r="G370" s="2" t="str">
        <f t="shared" si="55"/>
        <v>https://www.oreht.ru/modules.php?name=orehtPriceLS&amp;op=Search&amp;page=1&amp;stext=428661</v>
      </c>
      <c r="I370">
        <v>428661</v>
      </c>
      <c r="J370" t="s">
        <v>2</v>
      </c>
      <c r="K370" t="s">
        <v>1289</v>
      </c>
      <c r="L370" t="s">
        <v>1290</v>
      </c>
      <c r="M370" t="s">
        <v>649</v>
      </c>
    </row>
    <row r="371" spans="1:13" x14ac:dyDescent="0.25">
      <c r="A371" s="24">
        <f t="shared" si="56"/>
        <v>20</v>
      </c>
      <c r="B371" s="24">
        <v>12</v>
      </c>
      <c r="C371" s="24">
        <v>43</v>
      </c>
      <c r="E371" s="4">
        <v>429426</v>
      </c>
      <c r="F371" s="2" t="s">
        <v>2</v>
      </c>
      <c r="G371" s="2" t="str">
        <f t="shared" si="55"/>
        <v>https://www.oreht.ru/modules.php?name=orehtPriceLS&amp;op=Search&amp;page=1&amp;stext=429426</v>
      </c>
      <c r="I371">
        <v>429426</v>
      </c>
      <c r="J371" t="s">
        <v>2</v>
      </c>
      <c r="K371" t="s">
        <v>1291</v>
      </c>
      <c r="L371" t="s">
        <v>1292</v>
      </c>
      <c r="M371" t="s">
        <v>649</v>
      </c>
    </row>
    <row r="372" spans="1:13" hidden="1" x14ac:dyDescent="0.25">
      <c r="A372" s="24">
        <f t="shared" si="56"/>
        <v>20</v>
      </c>
      <c r="B372" s="24">
        <v>12</v>
      </c>
      <c r="C372" s="24">
        <v>43</v>
      </c>
      <c r="E372" s="4">
        <v>344698</v>
      </c>
      <c r="F372" s="2" t="s">
        <v>2</v>
      </c>
      <c r="G372" s="2" t="str">
        <f t="shared" si="55"/>
        <v>https://www.oreht.ru/modules.php?name=orehtPriceLS&amp;op=Search&amp;page=1&amp;stext=344698</v>
      </c>
      <c r="I372">
        <v>344698</v>
      </c>
      <c r="J372" t="s">
        <v>2</v>
      </c>
      <c r="K372" t="s">
        <v>1293</v>
      </c>
      <c r="L372" t="s">
        <v>1294</v>
      </c>
      <c r="M372" t="s">
        <v>1295</v>
      </c>
    </row>
    <row r="373" spans="1:13" x14ac:dyDescent="0.25">
      <c r="A373" s="24">
        <f t="shared" si="56"/>
        <v>20</v>
      </c>
      <c r="B373" s="24">
        <v>12</v>
      </c>
      <c r="C373" s="24">
        <v>67</v>
      </c>
      <c r="E373" s="4">
        <v>423250</v>
      </c>
      <c r="F373" s="2" t="s">
        <v>2</v>
      </c>
      <c r="G373" s="2" t="str">
        <f t="shared" si="55"/>
        <v>https://www.oreht.ru/modules.php?name=orehtPriceLS&amp;op=Search&amp;page=1&amp;stext=423250</v>
      </c>
      <c r="I373">
        <v>423250</v>
      </c>
      <c r="J373" t="s">
        <v>2</v>
      </c>
      <c r="K373" t="s">
        <v>1296</v>
      </c>
      <c r="L373" t="s">
        <v>1297</v>
      </c>
      <c r="M373" t="s">
        <v>649</v>
      </c>
    </row>
    <row r="374" spans="1:13" hidden="1" x14ac:dyDescent="0.25">
      <c r="A374" s="24">
        <f t="shared" si="56"/>
        <v>20</v>
      </c>
      <c r="B374" s="24">
        <v>12</v>
      </c>
      <c r="C374" s="24">
        <v>43</v>
      </c>
      <c r="E374" s="4">
        <v>436289</v>
      </c>
      <c r="F374" s="2" t="s">
        <v>2</v>
      </c>
      <c r="G374" s="2" t="str">
        <f t="shared" si="55"/>
        <v>https://www.oreht.ru/modules.php?name=orehtPriceLS&amp;op=Search&amp;page=1&amp;stext=436289</v>
      </c>
      <c r="I374">
        <v>436289</v>
      </c>
      <c r="J374" t="s">
        <v>2</v>
      </c>
      <c r="K374" t="s">
        <v>1298</v>
      </c>
      <c r="L374" t="s">
        <v>1299</v>
      </c>
      <c r="M374" t="s">
        <v>1300</v>
      </c>
    </row>
    <row r="375" spans="1:13" x14ac:dyDescent="0.25">
      <c r="A375" s="24">
        <f t="shared" si="56"/>
        <v>20</v>
      </c>
      <c r="B375" s="24">
        <v>12</v>
      </c>
      <c r="C375" s="24">
        <v>44.9</v>
      </c>
      <c r="E375" s="4">
        <v>395479</v>
      </c>
      <c r="F375" s="2" t="s">
        <v>2</v>
      </c>
      <c r="G375" s="2" t="str">
        <f t="shared" si="55"/>
        <v>https://www.oreht.ru/modules.php?name=orehtPriceLS&amp;op=Search&amp;page=1&amp;stext=395479</v>
      </c>
      <c r="I375">
        <v>395479</v>
      </c>
      <c r="J375" t="s">
        <v>2</v>
      </c>
      <c r="K375" t="s">
        <v>1301</v>
      </c>
      <c r="L375" t="s">
        <v>1302</v>
      </c>
      <c r="M375" t="s">
        <v>649</v>
      </c>
    </row>
    <row r="376" spans="1:13" hidden="1" x14ac:dyDescent="0.25">
      <c r="A376" s="24">
        <f t="shared" si="56"/>
        <v>20</v>
      </c>
      <c r="B376" s="24">
        <v>12</v>
      </c>
      <c r="C376" s="24">
        <v>120</v>
      </c>
      <c r="E376" s="4">
        <v>400240</v>
      </c>
      <c r="F376" s="2" t="s">
        <v>2</v>
      </c>
      <c r="G376" s="2" t="str">
        <f t="shared" si="55"/>
        <v>https://www.oreht.ru/modules.php?name=orehtPriceLS&amp;op=Search&amp;page=1&amp;stext=400240</v>
      </c>
      <c r="I376">
        <v>400240</v>
      </c>
      <c r="J376" t="s">
        <v>2</v>
      </c>
      <c r="K376" t="s">
        <v>1303</v>
      </c>
      <c r="L376" t="s">
        <v>1304</v>
      </c>
      <c r="M376" t="s">
        <v>1305</v>
      </c>
    </row>
    <row r="377" spans="1:13" hidden="1" x14ac:dyDescent="0.25">
      <c r="A377" s="24">
        <f t="shared" si="56"/>
        <v>20</v>
      </c>
      <c r="B377" s="24">
        <v>12</v>
      </c>
      <c r="C377" s="24">
        <v>47</v>
      </c>
      <c r="E377" s="4">
        <v>261186</v>
      </c>
      <c r="F377" s="2" t="s">
        <v>2</v>
      </c>
      <c r="G377" s="2" t="str">
        <f t="shared" si="55"/>
        <v>https://www.oreht.ru/modules.php?name=orehtPriceLS&amp;op=Search&amp;page=1&amp;stext=261186</v>
      </c>
      <c r="I377">
        <v>261186</v>
      </c>
      <c r="J377" t="s">
        <v>2</v>
      </c>
      <c r="K377" t="s">
        <v>1306</v>
      </c>
      <c r="L377" t="s">
        <v>1307</v>
      </c>
      <c r="M377" t="s">
        <v>1308</v>
      </c>
    </row>
    <row r="378" spans="1:13" x14ac:dyDescent="0.25">
      <c r="A378" s="24">
        <f t="shared" si="56"/>
        <v>20</v>
      </c>
      <c r="B378" s="24">
        <v>12</v>
      </c>
      <c r="C378" s="24">
        <v>43</v>
      </c>
      <c r="E378" s="4">
        <v>402836</v>
      </c>
      <c r="F378" s="2" t="s">
        <v>2</v>
      </c>
      <c r="G378" s="2" t="str">
        <f t="shared" si="55"/>
        <v>https://www.oreht.ru/modules.php?name=orehtPriceLS&amp;op=Search&amp;page=1&amp;stext=402836</v>
      </c>
      <c r="I378">
        <v>402836</v>
      </c>
      <c r="J378" t="s">
        <v>2</v>
      </c>
      <c r="K378" t="s">
        <v>1309</v>
      </c>
      <c r="L378" t="s">
        <v>1310</v>
      </c>
      <c r="M378" t="s">
        <v>649</v>
      </c>
    </row>
    <row r="379" spans="1:13" x14ac:dyDescent="0.25">
      <c r="A379" s="24">
        <f t="shared" si="56"/>
        <v>20</v>
      </c>
      <c r="B379" s="24">
        <v>12</v>
      </c>
      <c r="C379" s="24">
        <v>61</v>
      </c>
      <c r="E379" s="4">
        <v>351643</v>
      </c>
      <c r="F379" s="2" t="s">
        <v>2</v>
      </c>
      <c r="G379" s="2" t="str">
        <f t="shared" si="55"/>
        <v>https://www.oreht.ru/modules.php?name=orehtPriceLS&amp;op=Search&amp;page=1&amp;stext=351643</v>
      </c>
      <c r="I379">
        <v>351643</v>
      </c>
      <c r="J379" t="s">
        <v>2</v>
      </c>
      <c r="K379" t="s">
        <v>1311</v>
      </c>
      <c r="L379" t="s">
        <v>1312</v>
      </c>
      <c r="M379" t="s">
        <v>649</v>
      </c>
    </row>
    <row r="380" spans="1:13" hidden="1" x14ac:dyDescent="0.25">
      <c r="A380" s="24">
        <f t="shared" si="56"/>
        <v>20</v>
      </c>
      <c r="B380" s="24">
        <v>12</v>
      </c>
      <c r="C380" s="24">
        <v>45</v>
      </c>
      <c r="E380" s="4">
        <v>375909</v>
      </c>
      <c r="F380" s="2" t="s">
        <v>2</v>
      </c>
      <c r="G380" s="2" t="str">
        <f t="shared" si="55"/>
        <v>https://www.oreht.ru/modules.php?name=orehtPriceLS&amp;op=Search&amp;page=1&amp;stext=375909</v>
      </c>
      <c r="I380">
        <v>375909</v>
      </c>
      <c r="J380" t="s">
        <v>2</v>
      </c>
      <c r="K380" t="s">
        <v>1313</v>
      </c>
      <c r="L380" t="s">
        <v>1314</v>
      </c>
      <c r="M380" t="s">
        <v>1315</v>
      </c>
    </row>
    <row r="381" spans="1:13" x14ac:dyDescent="0.25">
      <c r="A381" s="24">
        <f t="shared" si="56"/>
        <v>20</v>
      </c>
      <c r="B381" s="24">
        <v>12</v>
      </c>
      <c r="C381" s="24">
        <v>55</v>
      </c>
      <c r="E381" s="4">
        <v>350356</v>
      </c>
      <c r="F381" s="2" t="s">
        <v>2</v>
      </c>
      <c r="G381" s="2" t="str">
        <f t="shared" si="55"/>
        <v>https://www.oreht.ru/modules.php?name=orehtPriceLS&amp;op=Search&amp;page=1&amp;stext=350356</v>
      </c>
      <c r="I381">
        <v>350356</v>
      </c>
      <c r="J381" t="s">
        <v>2</v>
      </c>
      <c r="K381" t="s">
        <v>1316</v>
      </c>
      <c r="L381" t="s">
        <v>1317</v>
      </c>
      <c r="M381" t="s">
        <v>649</v>
      </c>
    </row>
    <row r="382" spans="1:13" x14ac:dyDescent="0.25">
      <c r="A382" s="24">
        <f t="shared" si="56"/>
        <v>20</v>
      </c>
      <c r="B382" s="24">
        <v>12</v>
      </c>
      <c r="C382" s="24">
        <v>45.5</v>
      </c>
      <c r="E382" s="4">
        <v>350353</v>
      </c>
      <c r="F382" s="2" t="s">
        <v>2</v>
      </c>
      <c r="G382" s="2" t="str">
        <f t="shared" si="55"/>
        <v>https://www.oreht.ru/modules.php?name=orehtPriceLS&amp;op=Search&amp;page=1&amp;stext=350353</v>
      </c>
      <c r="I382">
        <v>350353</v>
      </c>
      <c r="J382" t="s">
        <v>2</v>
      </c>
      <c r="K382" t="s">
        <v>1318</v>
      </c>
      <c r="L382" t="s">
        <v>1319</v>
      </c>
      <c r="M382" t="s">
        <v>649</v>
      </c>
    </row>
    <row r="383" spans="1:13" x14ac:dyDescent="0.25">
      <c r="A383" s="24">
        <f t="shared" si="56"/>
        <v>20</v>
      </c>
      <c r="B383" s="24">
        <v>12</v>
      </c>
      <c r="C383" s="24">
        <v>65</v>
      </c>
      <c r="E383" s="4">
        <v>269770</v>
      </c>
      <c r="F383" s="2" t="s">
        <v>2</v>
      </c>
      <c r="G383" s="2" t="str">
        <f t="shared" si="55"/>
        <v>https://www.oreht.ru/modules.php?name=orehtPriceLS&amp;op=Search&amp;page=1&amp;stext=269770</v>
      </c>
      <c r="I383">
        <v>269770</v>
      </c>
      <c r="J383" t="s">
        <v>2</v>
      </c>
      <c r="K383" t="s">
        <v>1320</v>
      </c>
      <c r="L383" t="s">
        <v>1321</v>
      </c>
      <c r="M383" t="s">
        <v>649</v>
      </c>
    </row>
    <row r="384" spans="1:13" hidden="1" x14ac:dyDescent="0.25">
      <c r="A384" s="24">
        <f t="shared" si="56"/>
        <v>20</v>
      </c>
      <c r="B384" s="24">
        <v>12</v>
      </c>
      <c r="C384" s="24">
        <v>49.95</v>
      </c>
      <c r="E384" s="4">
        <v>348400</v>
      </c>
      <c r="F384" s="2" t="s">
        <v>2</v>
      </c>
      <c r="G384" s="2" t="str">
        <f t="shared" si="55"/>
        <v>https://www.oreht.ru/modules.php?name=orehtPriceLS&amp;op=Search&amp;page=1&amp;stext=348400</v>
      </c>
      <c r="I384">
        <v>348400</v>
      </c>
      <c r="J384" t="s">
        <v>2</v>
      </c>
      <c r="K384" t="s">
        <v>1322</v>
      </c>
      <c r="L384" t="s">
        <v>1323</v>
      </c>
      <c r="M384" t="s">
        <v>1324</v>
      </c>
    </row>
    <row r="385" spans="1:13" x14ac:dyDescent="0.25">
      <c r="A385" s="24">
        <f t="shared" si="56"/>
        <v>20</v>
      </c>
      <c r="B385" s="24">
        <v>12</v>
      </c>
      <c r="C385" s="24">
        <v>100</v>
      </c>
      <c r="E385" s="4">
        <v>294936</v>
      </c>
      <c r="F385" s="2" t="s">
        <v>2</v>
      </c>
      <c r="G385" s="2" t="str">
        <f t="shared" si="55"/>
        <v>https://www.oreht.ru/modules.php?name=orehtPriceLS&amp;op=Search&amp;page=1&amp;stext=294936</v>
      </c>
      <c r="I385">
        <v>294936</v>
      </c>
      <c r="J385" t="s">
        <v>2</v>
      </c>
      <c r="K385" t="s">
        <v>1325</v>
      </c>
      <c r="L385" t="s">
        <v>1326</v>
      </c>
      <c r="M385" t="s">
        <v>649</v>
      </c>
    </row>
    <row r="386" spans="1:13" hidden="1" x14ac:dyDescent="0.25">
      <c r="A386" s="24">
        <f t="shared" si="56"/>
        <v>20</v>
      </c>
      <c r="B386" s="24">
        <v>12</v>
      </c>
      <c r="C386" s="24">
        <v>54.84</v>
      </c>
      <c r="E386" s="4">
        <v>124558</v>
      </c>
      <c r="F386" s="2" t="s">
        <v>2</v>
      </c>
      <c r="G386" s="2" t="str">
        <f t="shared" ref="G386:G449" si="57">HYPERLINK(F386&amp;E386)</f>
        <v>https://www.oreht.ru/modules.php?name=orehtPriceLS&amp;op=Search&amp;page=1&amp;stext=124558</v>
      </c>
      <c r="I386">
        <v>124558</v>
      </c>
      <c r="J386" t="s">
        <v>2</v>
      </c>
      <c r="K386" t="s">
        <v>1327</v>
      </c>
      <c r="L386" t="s">
        <v>1328</v>
      </c>
      <c r="M386" t="s">
        <v>1329</v>
      </c>
    </row>
    <row r="387" spans="1:13" hidden="1" x14ac:dyDescent="0.25">
      <c r="A387" s="24">
        <f t="shared" si="56"/>
        <v>20</v>
      </c>
      <c r="B387" s="24">
        <v>12</v>
      </c>
      <c r="C387" s="24">
        <v>49</v>
      </c>
      <c r="E387" s="4">
        <v>409964</v>
      </c>
      <c r="F387" s="2" t="s">
        <v>2</v>
      </c>
      <c r="G387" s="2" t="str">
        <f t="shared" si="57"/>
        <v>https://www.oreht.ru/modules.php?name=orehtPriceLS&amp;op=Search&amp;page=1&amp;stext=409964</v>
      </c>
      <c r="I387">
        <v>409964</v>
      </c>
      <c r="J387" t="s">
        <v>2</v>
      </c>
      <c r="K387" t="s">
        <v>1330</v>
      </c>
      <c r="L387" t="s">
        <v>1331</v>
      </c>
      <c r="M387" t="s">
        <v>1332</v>
      </c>
    </row>
    <row r="388" spans="1:13" hidden="1" x14ac:dyDescent="0.25">
      <c r="A388" s="24">
        <f t="shared" si="56"/>
        <v>20</v>
      </c>
      <c r="B388" s="24">
        <v>12</v>
      </c>
      <c r="C388" s="24">
        <v>42.75</v>
      </c>
      <c r="E388" s="4">
        <v>400045</v>
      </c>
      <c r="F388" s="2" t="s">
        <v>2</v>
      </c>
      <c r="G388" s="2" t="str">
        <f t="shared" si="57"/>
        <v>https://www.oreht.ru/modules.php?name=orehtPriceLS&amp;op=Search&amp;page=1&amp;stext=400045</v>
      </c>
      <c r="I388">
        <v>400045</v>
      </c>
      <c r="J388" t="s">
        <v>2</v>
      </c>
      <c r="K388" t="s">
        <v>1333</v>
      </c>
      <c r="L388" t="s">
        <v>1334</v>
      </c>
      <c r="M388" t="s">
        <v>1335</v>
      </c>
    </row>
    <row r="389" spans="1:13" x14ac:dyDescent="0.25">
      <c r="A389" s="24">
        <f t="shared" ref="A389:A452" si="58">IF(W389*0.05&gt;=250,250,IF(W389*0.05&gt;=20,IF(W389*0.05&lt;20,20,W389*0.05),20))</f>
        <v>20</v>
      </c>
      <c r="B389" s="24">
        <v>12</v>
      </c>
      <c r="C389" s="24">
        <v>65</v>
      </c>
      <c r="E389" s="4">
        <v>245605</v>
      </c>
      <c r="F389" s="2" t="s">
        <v>2</v>
      </c>
      <c r="G389" s="2" t="str">
        <f t="shared" si="57"/>
        <v>https://www.oreht.ru/modules.php?name=orehtPriceLS&amp;op=Search&amp;page=1&amp;stext=245605</v>
      </c>
      <c r="I389">
        <v>245605</v>
      </c>
      <c r="J389" t="s">
        <v>2</v>
      </c>
      <c r="K389" t="s">
        <v>1336</v>
      </c>
      <c r="L389" t="s">
        <v>1337</v>
      </c>
      <c r="M389" t="s">
        <v>649</v>
      </c>
    </row>
    <row r="390" spans="1:13" x14ac:dyDescent="0.25">
      <c r="A390" s="24">
        <f t="shared" si="58"/>
        <v>20</v>
      </c>
      <c r="B390" s="24">
        <v>12</v>
      </c>
      <c r="C390" s="24">
        <v>46.9</v>
      </c>
      <c r="E390" s="4">
        <v>371301</v>
      </c>
      <c r="F390" s="2" t="s">
        <v>2</v>
      </c>
      <c r="G390" s="2" t="str">
        <f t="shared" si="57"/>
        <v>https://www.oreht.ru/modules.php?name=orehtPriceLS&amp;op=Search&amp;page=1&amp;stext=371301</v>
      </c>
      <c r="I390">
        <v>371301</v>
      </c>
      <c r="J390" t="s">
        <v>2</v>
      </c>
      <c r="K390" t="s">
        <v>1338</v>
      </c>
      <c r="L390" t="s">
        <v>1339</v>
      </c>
      <c r="M390" t="s">
        <v>649</v>
      </c>
    </row>
    <row r="391" spans="1:13" hidden="1" x14ac:dyDescent="0.25">
      <c r="A391" s="24">
        <f t="shared" si="58"/>
        <v>20</v>
      </c>
      <c r="B391" s="24">
        <v>12</v>
      </c>
      <c r="C391" s="24">
        <v>45</v>
      </c>
      <c r="E391" s="4">
        <v>436290</v>
      </c>
      <c r="F391" s="2" t="s">
        <v>2</v>
      </c>
      <c r="G391" s="2" t="str">
        <f t="shared" si="57"/>
        <v>https://www.oreht.ru/modules.php?name=orehtPriceLS&amp;op=Search&amp;page=1&amp;stext=436290</v>
      </c>
      <c r="I391">
        <v>436290</v>
      </c>
      <c r="J391" t="s">
        <v>2</v>
      </c>
      <c r="K391" t="s">
        <v>1340</v>
      </c>
      <c r="L391" t="s">
        <v>1341</v>
      </c>
      <c r="M391" t="s">
        <v>1342</v>
      </c>
    </row>
    <row r="392" spans="1:13" x14ac:dyDescent="0.25">
      <c r="A392" s="24">
        <f t="shared" si="58"/>
        <v>20</v>
      </c>
      <c r="B392" s="24">
        <v>12</v>
      </c>
      <c r="C392" s="24">
        <v>47</v>
      </c>
      <c r="E392" s="4">
        <v>402482</v>
      </c>
      <c r="F392" s="2" t="s">
        <v>2</v>
      </c>
      <c r="G392" s="2" t="str">
        <f t="shared" si="57"/>
        <v>https://www.oreht.ru/modules.php?name=orehtPriceLS&amp;op=Search&amp;page=1&amp;stext=402482</v>
      </c>
      <c r="I392">
        <v>402482</v>
      </c>
      <c r="J392" t="s">
        <v>2</v>
      </c>
      <c r="K392" t="s">
        <v>1343</v>
      </c>
      <c r="L392" t="s">
        <v>1344</v>
      </c>
      <c r="M392" t="s">
        <v>649</v>
      </c>
    </row>
    <row r="393" spans="1:13" x14ac:dyDescent="0.25">
      <c r="A393" s="24">
        <f t="shared" si="58"/>
        <v>20</v>
      </c>
      <c r="B393" s="24">
        <v>12</v>
      </c>
      <c r="C393" s="24">
        <v>49</v>
      </c>
      <c r="E393" s="4">
        <v>278206</v>
      </c>
      <c r="F393" s="2" t="s">
        <v>2</v>
      </c>
      <c r="G393" s="2" t="str">
        <f t="shared" si="57"/>
        <v>https://www.oreht.ru/modules.php?name=orehtPriceLS&amp;op=Search&amp;page=1&amp;stext=278206</v>
      </c>
      <c r="I393">
        <v>278206</v>
      </c>
      <c r="J393" t="s">
        <v>2</v>
      </c>
      <c r="K393" t="s">
        <v>1345</v>
      </c>
      <c r="L393" t="s">
        <v>1346</v>
      </c>
      <c r="M393" t="s">
        <v>649</v>
      </c>
    </row>
    <row r="394" spans="1:13" hidden="1" x14ac:dyDescent="0.25">
      <c r="A394" s="24">
        <f t="shared" si="58"/>
        <v>20</v>
      </c>
      <c r="B394" s="24">
        <v>12</v>
      </c>
      <c r="C394" s="24">
        <v>79</v>
      </c>
      <c r="E394" s="4">
        <v>383479</v>
      </c>
      <c r="F394" s="2" t="s">
        <v>2</v>
      </c>
      <c r="G394" s="2" t="str">
        <f t="shared" si="57"/>
        <v>https://www.oreht.ru/modules.php?name=orehtPriceLS&amp;op=Search&amp;page=1&amp;stext=383479</v>
      </c>
      <c r="I394">
        <v>383479</v>
      </c>
      <c r="J394" t="s">
        <v>2</v>
      </c>
      <c r="K394" t="s">
        <v>1347</v>
      </c>
      <c r="L394" t="s">
        <v>1348</v>
      </c>
      <c r="M394" t="s">
        <v>1349</v>
      </c>
    </row>
    <row r="395" spans="1:13" x14ac:dyDescent="0.25">
      <c r="A395" s="24">
        <f t="shared" si="58"/>
        <v>20</v>
      </c>
      <c r="B395" s="24">
        <v>12</v>
      </c>
      <c r="C395" s="24">
        <v>70</v>
      </c>
      <c r="E395" s="4">
        <v>430247</v>
      </c>
      <c r="F395" s="2" t="s">
        <v>2</v>
      </c>
      <c r="G395" s="2" t="str">
        <f t="shared" si="57"/>
        <v>https://www.oreht.ru/modules.php?name=orehtPriceLS&amp;op=Search&amp;page=1&amp;stext=430247</v>
      </c>
      <c r="I395">
        <v>430247</v>
      </c>
      <c r="J395" t="s">
        <v>2</v>
      </c>
      <c r="K395" t="s">
        <v>1350</v>
      </c>
      <c r="L395" t="s">
        <v>1351</v>
      </c>
      <c r="M395" t="s">
        <v>649</v>
      </c>
    </row>
    <row r="396" spans="1:13" x14ac:dyDescent="0.25">
      <c r="A396" s="24">
        <f t="shared" si="58"/>
        <v>20</v>
      </c>
      <c r="B396" s="24">
        <v>12</v>
      </c>
      <c r="C396" s="24">
        <v>47.3</v>
      </c>
      <c r="E396" s="4">
        <v>418337</v>
      </c>
      <c r="F396" s="2" t="s">
        <v>2</v>
      </c>
      <c r="G396" s="2" t="str">
        <f t="shared" si="57"/>
        <v>https://www.oreht.ru/modules.php?name=orehtPriceLS&amp;op=Search&amp;page=1&amp;stext=418337</v>
      </c>
      <c r="I396">
        <v>418337</v>
      </c>
      <c r="J396" t="s">
        <v>2</v>
      </c>
      <c r="K396" t="s">
        <v>1352</v>
      </c>
      <c r="L396" t="s">
        <v>1353</v>
      </c>
      <c r="M396" t="s">
        <v>649</v>
      </c>
    </row>
    <row r="397" spans="1:13" hidden="1" x14ac:dyDescent="0.25">
      <c r="A397" s="24">
        <f t="shared" si="58"/>
        <v>20</v>
      </c>
      <c r="B397" s="24">
        <v>12</v>
      </c>
      <c r="C397" s="24">
        <v>57</v>
      </c>
      <c r="E397" s="4">
        <v>432334</v>
      </c>
      <c r="F397" s="2" t="s">
        <v>2</v>
      </c>
      <c r="G397" s="2" t="str">
        <f t="shared" si="57"/>
        <v>https://www.oreht.ru/modules.php?name=orehtPriceLS&amp;op=Search&amp;page=1&amp;stext=432334</v>
      </c>
      <c r="I397">
        <v>432334</v>
      </c>
      <c r="J397" t="s">
        <v>2</v>
      </c>
      <c r="K397" t="s">
        <v>1354</v>
      </c>
      <c r="L397" t="s">
        <v>1355</v>
      </c>
      <c r="M397" t="s">
        <v>1356</v>
      </c>
    </row>
    <row r="398" spans="1:13" hidden="1" x14ac:dyDescent="0.25">
      <c r="A398" s="24">
        <f t="shared" si="58"/>
        <v>20</v>
      </c>
      <c r="B398" s="24">
        <v>12</v>
      </c>
      <c r="C398" s="24">
        <v>49</v>
      </c>
      <c r="E398" s="4">
        <v>314014</v>
      </c>
      <c r="F398" s="2" t="s">
        <v>2</v>
      </c>
      <c r="G398" s="2" t="str">
        <f t="shared" si="57"/>
        <v>https://www.oreht.ru/modules.php?name=orehtPriceLS&amp;op=Search&amp;page=1&amp;stext=314014</v>
      </c>
      <c r="I398">
        <v>314014</v>
      </c>
      <c r="J398" t="s">
        <v>2</v>
      </c>
      <c r="K398" t="s">
        <v>1357</v>
      </c>
      <c r="L398" t="s">
        <v>1358</v>
      </c>
      <c r="M398" t="s">
        <v>1359</v>
      </c>
    </row>
    <row r="399" spans="1:13" hidden="1" x14ac:dyDescent="0.25">
      <c r="A399" s="24">
        <f t="shared" si="58"/>
        <v>20</v>
      </c>
      <c r="B399" s="24">
        <v>12</v>
      </c>
      <c r="C399" s="24">
        <v>45</v>
      </c>
      <c r="E399" s="4">
        <v>430898</v>
      </c>
      <c r="F399" s="2" t="s">
        <v>2</v>
      </c>
      <c r="G399" s="2" t="str">
        <f t="shared" si="57"/>
        <v>https://www.oreht.ru/modules.php?name=orehtPriceLS&amp;op=Search&amp;page=1&amp;stext=430898</v>
      </c>
      <c r="I399">
        <v>430898</v>
      </c>
      <c r="J399" t="s">
        <v>2</v>
      </c>
      <c r="K399" t="s">
        <v>1360</v>
      </c>
      <c r="L399" t="s">
        <v>1361</v>
      </c>
      <c r="M399" t="s">
        <v>1362</v>
      </c>
    </row>
    <row r="400" spans="1:13" x14ac:dyDescent="0.25">
      <c r="A400" s="24">
        <f t="shared" si="58"/>
        <v>20</v>
      </c>
      <c r="B400" s="24">
        <v>12</v>
      </c>
      <c r="C400" s="24">
        <v>47</v>
      </c>
      <c r="E400" s="4">
        <v>368285</v>
      </c>
      <c r="F400" s="2" t="s">
        <v>2</v>
      </c>
      <c r="G400" s="2" t="str">
        <f t="shared" si="57"/>
        <v>https://www.oreht.ru/modules.php?name=orehtPriceLS&amp;op=Search&amp;page=1&amp;stext=368285</v>
      </c>
      <c r="I400">
        <v>368285</v>
      </c>
      <c r="J400" t="s">
        <v>2</v>
      </c>
      <c r="K400" t="s">
        <v>1363</v>
      </c>
      <c r="L400" t="s">
        <v>1364</v>
      </c>
      <c r="M400" t="s">
        <v>649</v>
      </c>
    </row>
    <row r="401" spans="1:13" x14ac:dyDescent="0.25">
      <c r="A401" s="24">
        <f t="shared" si="58"/>
        <v>20</v>
      </c>
      <c r="B401" s="24">
        <v>12</v>
      </c>
      <c r="C401" s="24">
        <v>43</v>
      </c>
      <c r="E401" s="4">
        <v>393203</v>
      </c>
      <c r="F401" s="2" t="s">
        <v>2</v>
      </c>
      <c r="G401" s="2" t="str">
        <f t="shared" si="57"/>
        <v>https://www.oreht.ru/modules.php?name=orehtPriceLS&amp;op=Search&amp;page=1&amp;stext=393203</v>
      </c>
      <c r="I401">
        <v>393203</v>
      </c>
      <c r="J401" t="s">
        <v>2</v>
      </c>
      <c r="K401" t="s">
        <v>1365</v>
      </c>
      <c r="L401" t="s">
        <v>1366</v>
      </c>
      <c r="M401" t="s">
        <v>649</v>
      </c>
    </row>
    <row r="402" spans="1:13" x14ac:dyDescent="0.25">
      <c r="A402" s="24">
        <f t="shared" si="58"/>
        <v>20</v>
      </c>
      <c r="B402" s="24">
        <v>12</v>
      </c>
      <c r="C402" s="24">
        <v>45</v>
      </c>
      <c r="E402" s="4">
        <v>222925</v>
      </c>
      <c r="F402" s="2" t="s">
        <v>2</v>
      </c>
      <c r="G402" s="2" t="str">
        <f t="shared" si="57"/>
        <v>https://www.oreht.ru/modules.php?name=orehtPriceLS&amp;op=Search&amp;page=1&amp;stext=222925</v>
      </c>
      <c r="I402">
        <v>222925</v>
      </c>
      <c r="J402" t="s">
        <v>2</v>
      </c>
      <c r="K402" t="s">
        <v>1367</v>
      </c>
      <c r="L402" t="s">
        <v>1368</v>
      </c>
      <c r="M402" t="s">
        <v>649</v>
      </c>
    </row>
    <row r="403" spans="1:13" x14ac:dyDescent="0.25">
      <c r="A403" s="24">
        <f t="shared" si="58"/>
        <v>20</v>
      </c>
      <c r="B403" s="24">
        <v>12</v>
      </c>
      <c r="C403" s="24">
        <v>61</v>
      </c>
      <c r="E403" s="4">
        <v>418257</v>
      </c>
      <c r="F403" s="2" t="s">
        <v>2</v>
      </c>
      <c r="G403" s="2" t="str">
        <f t="shared" si="57"/>
        <v>https://www.oreht.ru/modules.php?name=orehtPriceLS&amp;op=Search&amp;page=1&amp;stext=418257</v>
      </c>
      <c r="I403">
        <v>418257</v>
      </c>
      <c r="J403" t="s">
        <v>2</v>
      </c>
      <c r="K403" t="s">
        <v>1369</v>
      </c>
      <c r="L403" t="s">
        <v>1370</v>
      </c>
      <c r="M403" t="s">
        <v>649</v>
      </c>
    </row>
    <row r="404" spans="1:13" hidden="1" x14ac:dyDescent="0.25">
      <c r="A404" s="24">
        <f t="shared" si="58"/>
        <v>20</v>
      </c>
      <c r="B404" s="24">
        <v>12</v>
      </c>
      <c r="C404" s="24">
        <v>52</v>
      </c>
      <c r="E404" s="4">
        <v>348402</v>
      </c>
      <c r="F404" s="2" t="s">
        <v>2</v>
      </c>
      <c r="G404" s="2" t="str">
        <f t="shared" si="57"/>
        <v>https://www.oreht.ru/modules.php?name=orehtPriceLS&amp;op=Search&amp;page=1&amp;stext=348402</v>
      </c>
      <c r="I404">
        <v>348402</v>
      </c>
      <c r="J404" t="s">
        <v>2</v>
      </c>
      <c r="K404" t="s">
        <v>1371</v>
      </c>
      <c r="L404" t="s">
        <v>1372</v>
      </c>
      <c r="M404" t="s">
        <v>1373</v>
      </c>
    </row>
    <row r="405" spans="1:13" hidden="1" x14ac:dyDescent="0.25">
      <c r="A405" s="24">
        <f t="shared" si="58"/>
        <v>20</v>
      </c>
      <c r="B405" s="24">
        <v>12</v>
      </c>
      <c r="C405" s="24">
        <v>63</v>
      </c>
      <c r="E405" s="4">
        <v>269765</v>
      </c>
      <c r="F405" s="2" t="s">
        <v>2</v>
      </c>
      <c r="G405" s="2" t="str">
        <f t="shared" si="57"/>
        <v>https://www.oreht.ru/modules.php?name=orehtPriceLS&amp;op=Search&amp;page=1&amp;stext=269765</v>
      </c>
      <c r="I405">
        <v>269765</v>
      </c>
      <c r="J405" t="s">
        <v>2</v>
      </c>
      <c r="K405" t="s">
        <v>1374</v>
      </c>
      <c r="L405" t="s">
        <v>1375</v>
      </c>
      <c r="M405" t="s">
        <v>1376</v>
      </c>
    </row>
    <row r="406" spans="1:13" x14ac:dyDescent="0.25">
      <c r="A406" s="24">
        <f t="shared" si="58"/>
        <v>20</v>
      </c>
      <c r="B406" s="24">
        <v>12</v>
      </c>
      <c r="C406" s="24">
        <v>79</v>
      </c>
      <c r="E406" s="4">
        <v>367623</v>
      </c>
      <c r="F406" s="2" t="s">
        <v>2</v>
      </c>
      <c r="G406" s="2" t="str">
        <f t="shared" si="57"/>
        <v>https://www.oreht.ru/modules.php?name=orehtPriceLS&amp;op=Search&amp;page=1&amp;stext=367623</v>
      </c>
      <c r="I406">
        <v>367623</v>
      </c>
      <c r="J406" t="s">
        <v>2</v>
      </c>
      <c r="K406" t="s">
        <v>1377</v>
      </c>
      <c r="L406" t="s">
        <v>1378</v>
      </c>
      <c r="M406" t="s">
        <v>649</v>
      </c>
    </row>
    <row r="407" spans="1:13" hidden="1" x14ac:dyDescent="0.25">
      <c r="A407" s="24">
        <f t="shared" si="58"/>
        <v>20</v>
      </c>
      <c r="B407" s="24">
        <v>12</v>
      </c>
      <c r="C407" s="24">
        <v>44.6</v>
      </c>
      <c r="E407" s="4">
        <v>399965</v>
      </c>
      <c r="F407" s="2" t="s">
        <v>2</v>
      </c>
      <c r="G407" s="2" t="str">
        <f t="shared" si="57"/>
        <v>https://www.oreht.ru/modules.php?name=orehtPriceLS&amp;op=Search&amp;page=1&amp;stext=399965</v>
      </c>
      <c r="I407">
        <v>399965</v>
      </c>
      <c r="J407" t="s">
        <v>2</v>
      </c>
      <c r="K407" t="s">
        <v>1379</v>
      </c>
      <c r="L407" t="s">
        <v>1380</v>
      </c>
      <c r="M407" t="s">
        <v>1381</v>
      </c>
    </row>
    <row r="408" spans="1:13" hidden="1" x14ac:dyDescent="0.25">
      <c r="A408" s="24">
        <f t="shared" si="58"/>
        <v>20</v>
      </c>
      <c r="B408" s="24">
        <v>12</v>
      </c>
      <c r="C408" s="24">
        <v>45</v>
      </c>
      <c r="E408" s="4">
        <v>327076</v>
      </c>
      <c r="F408" s="2" t="s">
        <v>2</v>
      </c>
      <c r="G408" s="2" t="str">
        <f t="shared" si="57"/>
        <v>https://www.oreht.ru/modules.php?name=orehtPriceLS&amp;op=Search&amp;page=1&amp;stext=327076</v>
      </c>
      <c r="I408">
        <v>327076</v>
      </c>
      <c r="J408" t="s">
        <v>2</v>
      </c>
      <c r="K408" t="s">
        <v>1382</v>
      </c>
      <c r="L408" t="s">
        <v>1383</v>
      </c>
      <c r="M408" t="s">
        <v>1384</v>
      </c>
    </row>
    <row r="409" spans="1:13" hidden="1" x14ac:dyDescent="0.25">
      <c r="A409" s="24">
        <f t="shared" si="58"/>
        <v>20</v>
      </c>
      <c r="B409" s="24">
        <v>12</v>
      </c>
      <c r="C409" s="24">
        <v>100</v>
      </c>
      <c r="E409" s="4">
        <v>105384</v>
      </c>
      <c r="F409" s="2" t="s">
        <v>2</v>
      </c>
      <c r="G409" s="2" t="str">
        <f t="shared" si="57"/>
        <v>https://www.oreht.ru/modules.php?name=orehtPriceLS&amp;op=Search&amp;page=1&amp;stext=105384</v>
      </c>
      <c r="I409">
        <v>105384</v>
      </c>
      <c r="J409" t="s">
        <v>2</v>
      </c>
      <c r="K409" t="s">
        <v>1385</v>
      </c>
      <c r="L409" t="s">
        <v>1386</v>
      </c>
      <c r="M409" t="s">
        <v>1387</v>
      </c>
    </row>
    <row r="410" spans="1:13" x14ac:dyDescent="0.25">
      <c r="A410" s="24">
        <f t="shared" si="58"/>
        <v>20</v>
      </c>
      <c r="B410" s="24">
        <v>12</v>
      </c>
      <c r="C410" s="24">
        <v>69</v>
      </c>
      <c r="E410" s="4">
        <v>424104</v>
      </c>
      <c r="F410" s="2" t="s">
        <v>2</v>
      </c>
      <c r="G410" s="2" t="str">
        <f t="shared" si="57"/>
        <v>https://www.oreht.ru/modules.php?name=orehtPriceLS&amp;op=Search&amp;page=1&amp;stext=424104</v>
      </c>
      <c r="I410">
        <v>424104</v>
      </c>
      <c r="J410" t="s">
        <v>2</v>
      </c>
      <c r="K410" t="s">
        <v>1388</v>
      </c>
      <c r="L410" t="s">
        <v>1389</v>
      </c>
      <c r="M410" t="s">
        <v>649</v>
      </c>
    </row>
    <row r="411" spans="1:13" hidden="1" x14ac:dyDescent="0.25">
      <c r="A411" s="24">
        <f t="shared" si="58"/>
        <v>20</v>
      </c>
      <c r="B411" s="24">
        <v>12</v>
      </c>
      <c r="C411" s="24">
        <v>63</v>
      </c>
      <c r="E411" s="4">
        <v>240395</v>
      </c>
      <c r="F411" s="2" t="s">
        <v>2</v>
      </c>
      <c r="G411" s="2" t="str">
        <f t="shared" si="57"/>
        <v>https://www.oreht.ru/modules.php?name=orehtPriceLS&amp;op=Search&amp;page=1&amp;stext=240395</v>
      </c>
      <c r="I411">
        <v>240395</v>
      </c>
      <c r="J411" t="s">
        <v>2</v>
      </c>
      <c r="K411" t="s">
        <v>1390</v>
      </c>
      <c r="L411" t="s">
        <v>1391</v>
      </c>
      <c r="M411" t="s">
        <v>1392</v>
      </c>
    </row>
    <row r="412" spans="1:13" x14ac:dyDescent="0.25">
      <c r="A412" s="24">
        <f t="shared" si="58"/>
        <v>20</v>
      </c>
      <c r="B412" s="24">
        <v>12</v>
      </c>
      <c r="C412" s="24">
        <v>67</v>
      </c>
      <c r="E412" s="4">
        <v>341416</v>
      </c>
      <c r="F412" s="2" t="s">
        <v>2</v>
      </c>
      <c r="G412" s="2" t="str">
        <f t="shared" si="57"/>
        <v>https://www.oreht.ru/modules.php?name=orehtPriceLS&amp;op=Search&amp;page=1&amp;stext=341416</v>
      </c>
      <c r="I412">
        <v>341416</v>
      </c>
      <c r="J412" t="s">
        <v>2</v>
      </c>
      <c r="K412" t="s">
        <v>1393</v>
      </c>
    </row>
    <row r="413" spans="1:13" hidden="1" x14ac:dyDescent="0.25">
      <c r="A413" s="24">
        <f t="shared" si="58"/>
        <v>20</v>
      </c>
      <c r="B413" s="24">
        <v>12</v>
      </c>
      <c r="C413" s="24">
        <v>49</v>
      </c>
      <c r="E413" s="4">
        <v>121176</v>
      </c>
      <c r="F413" s="2" t="s">
        <v>2</v>
      </c>
      <c r="G413" s="2" t="str">
        <f t="shared" si="57"/>
        <v>https://www.oreht.ru/modules.php?name=orehtPriceLS&amp;op=Search&amp;page=1&amp;stext=121176</v>
      </c>
      <c r="I413">
        <v>121176</v>
      </c>
      <c r="J413" t="s">
        <v>2</v>
      </c>
      <c r="K413" t="s">
        <v>1394</v>
      </c>
      <c r="L413" t="s">
        <v>1395</v>
      </c>
      <c r="M413" t="s">
        <v>1396</v>
      </c>
    </row>
    <row r="414" spans="1:13" x14ac:dyDescent="0.25">
      <c r="A414" s="24">
        <f t="shared" si="58"/>
        <v>20</v>
      </c>
      <c r="B414" s="24">
        <v>12</v>
      </c>
      <c r="C414" s="24">
        <v>48.55</v>
      </c>
      <c r="E414" s="4">
        <v>403935</v>
      </c>
      <c r="F414" s="2" t="s">
        <v>2</v>
      </c>
      <c r="G414" s="2" t="str">
        <f t="shared" si="57"/>
        <v>https://www.oreht.ru/modules.php?name=orehtPriceLS&amp;op=Search&amp;page=1&amp;stext=403935</v>
      </c>
      <c r="I414">
        <v>403935</v>
      </c>
      <c r="J414" t="s">
        <v>2</v>
      </c>
      <c r="K414" t="s">
        <v>1397</v>
      </c>
      <c r="L414" t="s">
        <v>1398</v>
      </c>
      <c r="M414" t="s">
        <v>649</v>
      </c>
    </row>
    <row r="415" spans="1:13" hidden="1" x14ac:dyDescent="0.25">
      <c r="A415" s="24">
        <f t="shared" si="58"/>
        <v>20</v>
      </c>
      <c r="B415" s="24">
        <v>12</v>
      </c>
      <c r="C415" s="24">
        <v>44.4</v>
      </c>
      <c r="E415" s="4">
        <v>421579</v>
      </c>
      <c r="F415" s="2" t="s">
        <v>2</v>
      </c>
      <c r="G415" s="2" t="str">
        <f t="shared" si="57"/>
        <v>https://www.oreht.ru/modules.php?name=orehtPriceLS&amp;op=Search&amp;page=1&amp;stext=421579</v>
      </c>
      <c r="I415">
        <v>421579</v>
      </c>
      <c r="J415" t="s">
        <v>2</v>
      </c>
      <c r="K415" t="s">
        <v>1399</v>
      </c>
      <c r="L415" t="s">
        <v>1400</v>
      </c>
      <c r="M415" t="s">
        <v>1401</v>
      </c>
    </row>
    <row r="416" spans="1:13" x14ac:dyDescent="0.25">
      <c r="A416" s="24">
        <f t="shared" si="58"/>
        <v>20</v>
      </c>
      <c r="B416" s="24">
        <v>12</v>
      </c>
      <c r="C416" s="24">
        <v>65</v>
      </c>
      <c r="E416" s="4">
        <v>121168</v>
      </c>
      <c r="F416" s="2" t="s">
        <v>2</v>
      </c>
      <c r="G416" s="2" t="str">
        <f t="shared" si="57"/>
        <v>https://www.oreht.ru/modules.php?name=orehtPriceLS&amp;op=Search&amp;page=1&amp;stext=121168</v>
      </c>
      <c r="I416">
        <v>121168</v>
      </c>
      <c r="J416" t="s">
        <v>2</v>
      </c>
      <c r="K416" t="s">
        <v>1402</v>
      </c>
      <c r="L416" t="s">
        <v>1403</v>
      </c>
      <c r="M416" t="s">
        <v>649</v>
      </c>
    </row>
    <row r="417" spans="1:13" x14ac:dyDescent="0.25">
      <c r="A417" s="24">
        <f t="shared" si="58"/>
        <v>20</v>
      </c>
      <c r="B417" s="24">
        <v>12</v>
      </c>
      <c r="C417" s="24">
        <v>44.4</v>
      </c>
      <c r="E417" s="4">
        <v>239666</v>
      </c>
      <c r="F417" s="2" t="s">
        <v>2</v>
      </c>
      <c r="G417" s="2" t="str">
        <f t="shared" si="57"/>
        <v>https://www.oreht.ru/modules.php?name=orehtPriceLS&amp;op=Search&amp;page=1&amp;stext=239666</v>
      </c>
      <c r="I417">
        <v>239666</v>
      </c>
      <c r="J417" t="s">
        <v>2</v>
      </c>
      <c r="K417" t="s">
        <v>1404</v>
      </c>
      <c r="L417" t="s">
        <v>1405</v>
      </c>
      <c r="M417" t="s">
        <v>649</v>
      </c>
    </row>
    <row r="418" spans="1:13" hidden="1" x14ac:dyDescent="0.25">
      <c r="A418" s="24">
        <f t="shared" si="58"/>
        <v>20</v>
      </c>
      <c r="B418" s="24">
        <v>12</v>
      </c>
      <c r="C418" s="24">
        <v>55</v>
      </c>
      <c r="E418" s="4">
        <v>353036</v>
      </c>
      <c r="F418" s="2" t="s">
        <v>2</v>
      </c>
      <c r="G418" s="2" t="str">
        <f t="shared" si="57"/>
        <v>https://www.oreht.ru/modules.php?name=orehtPriceLS&amp;op=Search&amp;page=1&amp;stext=353036</v>
      </c>
      <c r="I418">
        <v>353036</v>
      </c>
      <c r="J418" t="s">
        <v>2</v>
      </c>
      <c r="K418" t="s">
        <v>1406</v>
      </c>
      <c r="L418" t="s">
        <v>1407</v>
      </c>
      <c r="M418" t="s">
        <v>1392</v>
      </c>
    </row>
    <row r="419" spans="1:13" hidden="1" x14ac:dyDescent="0.25">
      <c r="A419" s="24">
        <f t="shared" si="58"/>
        <v>20</v>
      </c>
      <c r="B419" s="24">
        <v>12</v>
      </c>
      <c r="C419" s="24">
        <v>71</v>
      </c>
      <c r="E419" s="4">
        <v>213911</v>
      </c>
      <c r="F419" s="2" t="s">
        <v>2</v>
      </c>
      <c r="G419" s="2" t="str">
        <f t="shared" si="57"/>
        <v>https://www.oreht.ru/modules.php?name=orehtPriceLS&amp;op=Search&amp;page=1&amp;stext=213911</v>
      </c>
      <c r="I419">
        <v>213911</v>
      </c>
      <c r="J419" t="s">
        <v>2</v>
      </c>
      <c r="K419" t="s">
        <v>1408</v>
      </c>
      <c r="L419" t="s">
        <v>1409</v>
      </c>
      <c r="M419" t="s">
        <v>1410</v>
      </c>
    </row>
    <row r="420" spans="1:13" hidden="1" x14ac:dyDescent="0.25">
      <c r="A420" s="24">
        <f t="shared" si="58"/>
        <v>20</v>
      </c>
      <c r="B420" s="24">
        <v>12</v>
      </c>
      <c r="C420" s="24">
        <v>43</v>
      </c>
      <c r="E420" s="4">
        <v>88703</v>
      </c>
      <c r="F420" s="2" t="s">
        <v>2</v>
      </c>
      <c r="G420" s="2" t="str">
        <f t="shared" si="57"/>
        <v>https://www.oreht.ru/modules.php?name=orehtPriceLS&amp;op=Search&amp;page=1&amp;stext=88703</v>
      </c>
      <c r="I420">
        <v>88703</v>
      </c>
      <c r="J420" t="s">
        <v>2</v>
      </c>
      <c r="K420" t="s">
        <v>1411</v>
      </c>
      <c r="L420" t="s">
        <v>1412</v>
      </c>
      <c r="M420" t="s">
        <v>1413</v>
      </c>
    </row>
    <row r="421" spans="1:13" x14ac:dyDescent="0.25">
      <c r="A421" s="24">
        <f t="shared" si="58"/>
        <v>20</v>
      </c>
      <c r="B421" s="24">
        <v>12</v>
      </c>
      <c r="C421" s="24">
        <v>49.3</v>
      </c>
      <c r="E421" s="4">
        <v>374984</v>
      </c>
      <c r="F421" s="2" t="s">
        <v>2</v>
      </c>
      <c r="G421" s="2" t="str">
        <f t="shared" si="57"/>
        <v>https://www.oreht.ru/modules.php?name=orehtPriceLS&amp;op=Search&amp;page=1&amp;stext=374984</v>
      </c>
      <c r="I421">
        <v>374984</v>
      </c>
      <c r="J421" t="s">
        <v>2</v>
      </c>
      <c r="K421" t="s">
        <v>1414</v>
      </c>
      <c r="L421" t="s">
        <v>1415</v>
      </c>
      <c r="M421" t="s">
        <v>649</v>
      </c>
    </row>
    <row r="422" spans="1:13" x14ac:dyDescent="0.25">
      <c r="A422" s="24">
        <f t="shared" si="58"/>
        <v>20</v>
      </c>
      <c r="B422" s="24">
        <v>12</v>
      </c>
      <c r="C422" s="24">
        <v>47</v>
      </c>
      <c r="E422" s="4">
        <v>272031</v>
      </c>
      <c r="F422" s="2" t="s">
        <v>2</v>
      </c>
      <c r="G422" s="2" t="str">
        <f t="shared" si="57"/>
        <v>https://www.oreht.ru/modules.php?name=orehtPriceLS&amp;op=Search&amp;page=1&amp;stext=272031</v>
      </c>
      <c r="I422">
        <v>272031</v>
      </c>
      <c r="J422" t="s">
        <v>2</v>
      </c>
      <c r="K422" t="s">
        <v>1416</v>
      </c>
      <c r="L422" t="s">
        <v>1417</v>
      </c>
      <c r="M422" t="s">
        <v>649</v>
      </c>
    </row>
    <row r="423" spans="1:13" x14ac:dyDescent="0.25">
      <c r="A423" s="24">
        <f t="shared" si="58"/>
        <v>20</v>
      </c>
      <c r="B423" s="24">
        <v>12</v>
      </c>
      <c r="C423" s="24">
        <v>69</v>
      </c>
      <c r="E423" s="4">
        <v>395583</v>
      </c>
      <c r="F423" s="2" t="s">
        <v>2</v>
      </c>
      <c r="G423" s="2" t="str">
        <f t="shared" si="57"/>
        <v>https://www.oreht.ru/modules.php?name=orehtPriceLS&amp;op=Search&amp;page=1&amp;stext=395583</v>
      </c>
      <c r="I423">
        <v>395583</v>
      </c>
      <c r="J423" t="s">
        <v>2</v>
      </c>
      <c r="K423" t="s">
        <v>1418</v>
      </c>
      <c r="L423" t="s">
        <v>1419</v>
      </c>
      <c r="M423" t="s">
        <v>649</v>
      </c>
    </row>
    <row r="424" spans="1:13" x14ac:dyDescent="0.25">
      <c r="A424" s="24">
        <f t="shared" si="58"/>
        <v>20</v>
      </c>
      <c r="B424" s="24">
        <v>12</v>
      </c>
      <c r="C424" s="24">
        <v>48.65</v>
      </c>
      <c r="E424" s="4">
        <v>423436</v>
      </c>
      <c r="F424" s="2" t="s">
        <v>2</v>
      </c>
      <c r="G424" s="2" t="str">
        <f t="shared" si="57"/>
        <v>https://www.oreht.ru/modules.php?name=orehtPriceLS&amp;op=Search&amp;page=1&amp;stext=423436</v>
      </c>
      <c r="I424">
        <v>423436</v>
      </c>
      <c r="J424" t="s">
        <v>2</v>
      </c>
      <c r="K424" t="s">
        <v>1420</v>
      </c>
      <c r="L424" t="s">
        <v>1421</v>
      </c>
      <c r="M424" t="s">
        <v>649</v>
      </c>
    </row>
    <row r="425" spans="1:13" hidden="1" x14ac:dyDescent="0.25">
      <c r="A425" s="24">
        <f t="shared" si="58"/>
        <v>20</v>
      </c>
      <c r="B425" s="24">
        <v>12</v>
      </c>
      <c r="C425" s="24">
        <v>120</v>
      </c>
      <c r="E425" s="4">
        <v>413054</v>
      </c>
      <c r="F425" s="2" t="s">
        <v>2</v>
      </c>
      <c r="G425" s="2" t="str">
        <f t="shared" si="57"/>
        <v>https://www.oreht.ru/modules.php?name=orehtPriceLS&amp;op=Search&amp;page=1&amp;stext=413054</v>
      </c>
      <c r="I425">
        <v>413054</v>
      </c>
      <c r="J425" t="s">
        <v>2</v>
      </c>
      <c r="K425" t="s">
        <v>1422</v>
      </c>
      <c r="L425" t="s">
        <v>1423</v>
      </c>
      <c r="M425" t="s">
        <v>1424</v>
      </c>
    </row>
    <row r="426" spans="1:13" x14ac:dyDescent="0.25">
      <c r="A426" s="24">
        <f t="shared" si="58"/>
        <v>20</v>
      </c>
      <c r="B426" s="24">
        <v>12</v>
      </c>
      <c r="C426" s="24">
        <v>49.95</v>
      </c>
      <c r="E426" s="4">
        <v>379235</v>
      </c>
      <c r="F426" s="2" t="s">
        <v>2</v>
      </c>
      <c r="G426" s="2" t="str">
        <f t="shared" si="57"/>
        <v>https://www.oreht.ru/modules.php?name=orehtPriceLS&amp;op=Search&amp;page=1&amp;stext=379235</v>
      </c>
      <c r="I426">
        <v>379235</v>
      </c>
      <c r="J426" t="s">
        <v>2</v>
      </c>
      <c r="K426" t="s">
        <v>1425</v>
      </c>
      <c r="L426" t="s">
        <v>1426</v>
      </c>
      <c r="M426" t="s">
        <v>649</v>
      </c>
    </row>
    <row r="427" spans="1:13" x14ac:dyDescent="0.25">
      <c r="A427" s="24">
        <f t="shared" si="58"/>
        <v>20</v>
      </c>
      <c r="B427" s="24">
        <v>12</v>
      </c>
      <c r="C427" s="24">
        <v>50.35</v>
      </c>
      <c r="E427" s="4">
        <v>376842</v>
      </c>
      <c r="F427" s="2" t="s">
        <v>2</v>
      </c>
      <c r="G427" s="2" t="str">
        <f t="shared" si="57"/>
        <v>https://www.oreht.ru/modules.php?name=orehtPriceLS&amp;op=Search&amp;page=1&amp;stext=376842</v>
      </c>
      <c r="I427">
        <v>376842</v>
      </c>
      <c r="J427" t="s">
        <v>2</v>
      </c>
      <c r="K427" t="s">
        <v>1427</v>
      </c>
      <c r="L427" t="s">
        <v>1428</v>
      </c>
      <c r="M427" t="s">
        <v>649</v>
      </c>
    </row>
    <row r="428" spans="1:13" x14ac:dyDescent="0.25">
      <c r="A428" s="24">
        <f t="shared" si="58"/>
        <v>20</v>
      </c>
      <c r="B428" s="24">
        <v>12</v>
      </c>
      <c r="C428" s="24">
        <v>61.44</v>
      </c>
      <c r="E428" s="4">
        <v>426253</v>
      </c>
      <c r="F428" s="2" t="s">
        <v>2</v>
      </c>
      <c r="G428" s="2" t="str">
        <f t="shared" si="57"/>
        <v>https://www.oreht.ru/modules.php?name=orehtPriceLS&amp;op=Search&amp;page=1&amp;stext=426253</v>
      </c>
      <c r="I428">
        <v>426253</v>
      </c>
      <c r="J428" t="s">
        <v>2</v>
      </c>
      <c r="K428" t="s">
        <v>1429</v>
      </c>
      <c r="L428" t="s">
        <v>1430</v>
      </c>
      <c r="M428" t="s">
        <v>649</v>
      </c>
    </row>
    <row r="429" spans="1:13" hidden="1" x14ac:dyDescent="0.25">
      <c r="A429" s="24">
        <f t="shared" si="58"/>
        <v>20</v>
      </c>
      <c r="B429" s="24">
        <v>12</v>
      </c>
      <c r="C429" s="24">
        <v>46.9</v>
      </c>
      <c r="E429" s="4">
        <v>340518</v>
      </c>
      <c r="F429" s="2" t="s">
        <v>2</v>
      </c>
      <c r="G429" s="2" t="str">
        <f t="shared" si="57"/>
        <v>https://www.oreht.ru/modules.php?name=orehtPriceLS&amp;op=Search&amp;page=1&amp;stext=340518</v>
      </c>
      <c r="I429">
        <v>340518</v>
      </c>
      <c r="J429" t="s">
        <v>2</v>
      </c>
      <c r="K429" t="s">
        <v>1431</v>
      </c>
      <c r="L429" t="s">
        <v>1432</v>
      </c>
      <c r="M429" t="s">
        <v>1433</v>
      </c>
    </row>
    <row r="430" spans="1:13" hidden="1" x14ac:dyDescent="0.25">
      <c r="A430" s="24">
        <f t="shared" si="58"/>
        <v>20</v>
      </c>
      <c r="B430" s="24">
        <v>12</v>
      </c>
      <c r="C430" s="24">
        <v>46.9</v>
      </c>
      <c r="E430" s="4">
        <v>340520</v>
      </c>
      <c r="F430" s="2" t="s">
        <v>2</v>
      </c>
      <c r="G430" s="2" t="str">
        <f t="shared" si="57"/>
        <v>https://www.oreht.ru/modules.php?name=orehtPriceLS&amp;op=Search&amp;page=1&amp;stext=340520</v>
      </c>
      <c r="I430">
        <v>340520</v>
      </c>
      <c r="J430" t="s">
        <v>2</v>
      </c>
      <c r="K430" t="s">
        <v>1434</v>
      </c>
      <c r="L430" t="s">
        <v>1435</v>
      </c>
      <c r="M430" t="s">
        <v>1433</v>
      </c>
    </row>
    <row r="431" spans="1:13" x14ac:dyDescent="0.25">
      <c r="A431" s="24">
        <f t="shared" si="58"/>
        <v>20</v>
      </c>
      <c r="B431" s="24">
        <v>12</v>
      </c>
      <c r="C431" s="24">
        <v>61.68</v>
      </c>
      <c r="E431" s="4">
        <v>423252</v>
      </c>
      <c r="F431" s="2" t="s">
        <v>2</v>
      </c>
      <c r="G431" s="2" t="str">
        <f t="shared" si="57"/>
        <v>https://www.oreht.ru/modules.php?name=orehtPriceLS&amp;op=Search&amp;page=1&amp;stext=423252</v>
      </c>
      <c r="I431">
        <v>423252</v>
      </c>
      <c r="J431" t="s">
        <v>2</v>
      </c>
      <c r="K431" t="s">
        <v>1436</v>
      </c>
      <c r="L431" t="s">
        <v>1437</v>
      </c>
      <c r="M431" t="s">
        <v>649</v>
      </c>
    </row>
    <row r="432" spans="1:13" hidden="1" x14ac:dyDescent="0.25">
      <c r="A432" s="24">
        <f t="shared" si="58"/>
        <v>20</v>
      </c>
      <c r="B432" s="24">
        <v>12</v>
      </c>
      <c r="C432" s="24">
        <v>120</v>
      </c>
      <c r="E432" s="4">
        <v>213902</v>
      </c>
      <c r="F432" s="2" t="s">
        <v>2</v>
      </c>
      <c r="G432" s="2" t="str">
        <f t="shared" si="57"/>
        <v>https://www.oreht.ru/modules.php?name=orehtPriceLS&amp;op=Search&amp;page=1&amp;stext=213902</v>
      </c>
      <c r="I432">
        <v>213902</v>
      </c>
      <c r="J432" t="s">
        <v>2</v>
      </c>
      <c r="K432" t="s">
        <v>1438</v>
      </c>
      <c r="L432" t="s">
        <v>1439</v>
      </c>
      <c r="M432" t="s">
        <v>1440</v>
      </c>
    </row>
    <row r="433" spans="1:13" hidden="1" x14ac:dyDescent="0.25">
      <c r="A433" s="24">
        <f t="shared" si="58"/>
        <v>20</v>
      </c>
      <c r="B433" s="24">
        <v>12</v>
      </c>
      <c r="C433" s="24">
        <v>57</v>
      </c>
      <c r="E433" s="4">
        <v>412248</v>
      </c>
      <c r="F433" s="2" t="s">
        <v>2</v>
      </c>
      <c r="G433" s="2" t="str">
        <f t="shared" si="57"/>
        <v>https://www.oreht.ru/modules.php?name=orehtPriceLS&amp;op=Search&amp;page=1&amp;stext=412248</v>
      </c>
      <c r="I433">
        <v>412248</v>
      </c>
      <c r="J433" t="s">
        <v>2</v>
      </c>
      <c r="K433" t="s">
        <v>1441</v>
      </c>
      <c r="L433" t="s">
        <v>1442</v>
      </c>
      <c r="M433" t="s">
        <v>1443</v>
      </c>
    </row>
    <row r="434" spans="1:13" hidden="1" x14ac:dyDescent="0.25">
      <c r="A434" s="24">
        <f t="shared" si="58"/>
        <v>20</v>
      </c>
      <c r="B434" s="24">
        <v>12</v>
      </c>
      <c r="C434" s="24">
        <v>79</v>
      </c>
      <c r="E434" s="4">
        <v>139331</v>
      </c>
      <c r="F434" s="2" t="s">
        <v>2</v>
      </c>
      <c r="G434" s="2" t="str">
        <f t="shared" si="57"/>
        <v>https://www.oreht.ru/modules.php?name=orehtPriceLS&amp;op=Search&amp;page=1&amp;stext=139331</v>
      </c>
      <c r="I434">
        <v>139331</v>
      </c>
      <c r="J434" t="s">
        <v>2</v>
      </c>
      <c r="K434" t="s">
        <v>1444</v>
      </c>
      <c r="L434" t="s">
        <v>1445</v>
      </c>
      <c r="M434" t="s">
        <v>1446</v>
      </c>
    </row>
    <row r="435" spans="1:13" hidden="1" x14ac:dyDescent="0.25">
      <c r="A435" s="24">
        <f t="shared" si="58"/>
        <v>20</v>
      </c>
      <c r="B435" s="24">
        <v>12</v>
      </c>
      <c r="C435" s="24">
        <v>120</v>
      </c>
      <c r="E435" s="4">
        <v>273958</v>
      </c>
      <c r="F435" s="2" t="s">
        <v>2</v>
      </c>
      <c r="G435" s="2" t="str">
        <f t="shared" si="57"/>
        <v>https://www.oreht.ru/modules.php?name=orehtPriceLS&amp;op=Search&amp;page=1&amp;stext=273958</v>
      </c>
      <c r="I435">
        <v>273958</v>
      </c>
      <c r="J435" t="s">
        <v>2</v>
      </c>
      <c r="K435" t="s">
        <v>1447</v>
      </c>
      <c r="L435" t="s">
        <v>1448</v>
      </c>
      <c r="M435" t="s">
        <v>1449</v>
      </c>
    </row>
    <row r="436" spans="1:13" hidden="1" x14ac:dyDescent="0.25">
      <c r="A436" s="24">
        <f t="shared" si="58"/>
        <v>20</v>
      </c>
      <c r="B436" s="24">
        <v>12</v>
      </c>
      <c r="C436" s="24">
        <v>79</v>
      </c>
      <c r="E436" s="4">
        <v>294510</v>
      </c>
      <c r="F436" s="2" t="s">
        <v>2</v>
      </c>
      <c r="G436" s="2" t="str">
        <f t="shared" si="57"/>
        <v>https://www.oreht.ru/modules.php?name=orehtPriceLS&amp;op=Search&amp;page=1&amp;stext=294510</v>
      </c>
      <c r="I436">
        <v>294510</v>
      </c>
      <c r="J436" t="s">
        <v>2</v>
      </c>
      <c r="K436" t="s">
        <v>1450</v>
      </c>
      <c r="L436" t="s">
        <v>1451</v>
      </c>
      <c r="M436" t="s">
        <v>1452</v>
      </c>
    </row>
    <row r="437" spans="1:13" x14ac:dyDescent="0.25">
      <c r="A437" s="24">
        <f t="shared" si="58"/>
        <v>20</v>
      </c>
      <c r="B437" s="24">
        <v>12</v>
      </c>
      <c r="C437" s="24">
        <v>51.1</v>
      </c>
      <c r="E437" s="4">
        <v>426212</v>
      </c>
      <c r="F437" s="2" t="s">
        <v>2</v>
      </c>
      <c r="G437" s="2" t="str">
        <f t="shared" si="57"/>
        <v>https://www.oreht.ru/modules.php?name=orehtPriceLS&amp;op=Search&amp;page=1&amp;stext=426212</v>
      </c>
      <c r="I437">
        <v>426212</v>
      </c>
      <c r="J437" t="s">
        <v>2</v>
      </c>
      <c r="K437" t="s">
        <v>1453</v>
      </c>
      <c r="L437" t="s">
        <v>1454</v>
      </c>
      <c r="M437" t="s">
        <v>649</v>
      </c>
    </row>
    <row r="438" spans="1:13" x14ac:dyDescent="0.25">
      <c r="A438" s="24">
        <f t="shared" si="58"/>
        <v>20</v>
      </c>
      <c r="B438" s="24">
        <v>12</v>
      </c>
      <c r="C438" s="24">
        <v>51.1</v>
      </c>
      <c r="E438" s="4">
        <v>426237</v>
      </c>
      <c r="F438" s="2" t="s">
        <v>2</v>
      </c>
      <c r="G438" s="2" t="str">
        <f t="shared" si="57"/>
        <v>https://www.oreht.ru/modules.php?name=orehtPriceLS&amp;op=Search&amp;page=1&amp;stext=426237</v>
      </c>
      <c r="I438">
        <v>426237</v>
      </c>
      <c r="J438" t="s">
        <v>2</v>
      </c>
      <c r="K438" t="s">
        <v>1455</v>
      </c>
      <c r="L438" t="s">
        <v>1456</v>
      </c>
      <c r="M438" t="s">
        <v>649</v>
      </c>
    </row>
    <row r="439" spans="1:13" x14ac:dyDescent="0.25">
      <c r="A439" s="24">
        <f t="shared" si="58"/>
        <v>20</v>
      </c>
      <c r="B439" s="24">
        <v>12</v>
      </c>
      <c r="C439" s="24">
        <v>51.2</v>
      </c>
      <c r="E439" s="4">
        <v>364681</v>
      </c>
      <c r="F439" s="2" t="s">
        <v>2</v>
      </c>
      <c r="G439" s="2" t="str">
        <f t="shared" si="57"/>
        <v>https://www.oreht.ru/modules.php?name=orehtPriceLS&amp;op=Search&amp;page=1&amp;stext=364681</v>
      </c>
      <c r="I439">
        <v>364681</v>
      </c>
      <c r="J439" t="s">
        <v>2</v>
      </c>
      <c r="K439" t="s">
        <v>1457</v>
      </c>
      <c r="L439" t="s">
        <v>1458</v>
      </c>
      <c r="M439" t="s">
        <v>649</v>
      </c>
    </row>
    <row r="440" spans="1:13" hidden="1" x14ac:dyDescent="0.25">
      <c r="A440" s="24">
        <f t="shared" si="58"/>
        <v>20</v>
      </c>
      <c r="B440" s="24">
        <v>12</v>
      </c>
      <c r="C440" s="24">
        <v>63</v>
      </c>
      <c r="E440" s="4">
        <v>430616</v>
      </c>
      <c r="F440" s="2" t="s">
        <v>2</v>
      </c>
      <c r="G440" s="2" t="str">
        <f t="shared" si="57"/>
        <v>https://www.oreht.ru/modules.php?name=orehtPriceLS&amp;op=Search&amp;page=1&amp;stext=430616</v>
      </c>
      <c r="I440">
        <v>430616</v>
      </c>
      <c r="J440" t="s">
        <v>2</v>
      </c>
      <c r="K440" t="s">
        <v>1459</v>
      </c>
      <c r="L440" t="s">
        <v>1460</v>
      </c>
      <c r="M440" t="s">
        <v>1461</v>
      </c>
    </row>
    <row r="441" spans="1:13" hidden="1" x14ac:dyDescent="0.25">
      <c r="A441" s="24">
        <f t="shared" si="58"/>
        <v>20</v>
      </c>
      <c r="B441" s="24">
        <v>12</v>
      </c>
      <c r="C441" s="24">
        <v>120</v>
      </c>
      <c r="E441" s="4">
        <v>372539</v>
      </c>
      <c r="F441" s="2" t="s">
        <v>2</v>
      </c>
      <c r="G441" s="2" t="str">
        <f t="shared" si="57"/>
        <v>https://www.oreht.ru/modules.php?name=orehtPriceLS&amp;op=Search&amp;page=1&amp;stext=372539</v>
      </c>
      <c r="I441">
        <v>372539</v>
      </c>
      <c r="J441" t="s">
        <v>2</v>
      </c>
      <c r="K441" t="s">
        <v>1462</v>
      </c>
      <c r="L441" t="s">
        <v>1463</v>
      </c>
      <c r="M441" t="s">
        <v>1464</v>
      </c>
    </row>
    <row r="442" spans="1:13" x14ac:dyDescent="0.25">
      <c r="A442" s="24">
        <f t="shared" si="58"/>
        <v>20</v>
      </c>
      <c r="B442" s="24">
        <v>12</v>
      </c>
      <c r="C442" s="24">
        <v>62.7</v>
      </c>
      <c r="E442" s="4">
        <v>349664</v>
      </c>
      <c r="F442" s="2" t="s">
        <v>2</v>
      </c>
      <c r="G442" s="2" t="str">
        <f t="shared" si="57"/>
        <v>https://www.oreht.ru/modules.php?name=orehtPriceLS&amp;op=Search&amp;page=1&amp;stext=349664</v>
      </c>
      <c r="I442">
        <v>349664</v>
      </c>
      <c r="J442" t="s">
        <v>2</v>
      </c>
      <c r="K442" t="s">
        <v>1465</v>
      </c>
      <c r="L442" t="s">
        <v>1466</v>
      </c>
      <c r="M442" t="s">
        <v>649</v>
      </c>
    </row>
    <row r="443" spans="1:13" x14ac:dyDescent="0.25">
      <c r="A443" s="24">
        <f t="shared" si="58"/>
        <v>20</v>
      </c>
      <c r="B443" s="24">
        <v>10</v>
      </c>
      <c r="C443" s="24">
        <v>49</v>
      </c>
      <c r="E443" s="4">
        <v>400236</v>
      </c>
      <c r="F443" s="2" t="s">
        <v>2</v>
      </c>
      <c r="G443" s="2" t="str">
        <f t="shared" si="57"/>
        <v>https://www.oreht.ru/modules.php?name=orehtPriceLS&amp;op=Search&amp;page=1&amp;stext=400236</v>
      </c>
      <c r="I443">
        <v>400236</v>
      </c>
      <c r="J443" t="s">
        <v>2</v>
      </c>
      <c r="K443" t="s">
        <v>1467</v>
      </c>
      <c r="L443" t="s">
        <v>1468</v>
      </c>
      <c r="M443" t="s">
        <v>649</v>
      </c>
    </row>
    <row r="444" spans="1:13" hidden="1" x14ac:dyDescent="0.25">
      <c r="A444" s="24">
        <f t="shared" si="58"/>
        <v>20</v>
      </c>
      <c r="B444" s="24">
        <v>12</v>
      </c>
      <c r="C444" s="24">
        <v>47.45</v>
      </c>
      <c r="E444" s="4">
        <v>417792</v>
      </c>
      <c r="F444" s="2" t="s">
        <v>2</v>
      </c>
      <c r="G444" s="2" t="str">
        <f t="shared" si="57"/>
        <v>https://www.oreht.ru/modules.php?name=orehtPriceLS&amp;op=Search&amp;page=1&amp;stext=417792</v>
      </c>
      <c r="I444">
        <v>417792</v>
      </c>
      <c r="J444" t="s">
        <v>2</v>
      </c>
      <c r="K444" t="s">
        <v>1469</v>
      </c>
      <c r="L444" t="s">
        <v>1470</v>
      </c>
      <c r="M444" t="s">
        <v>1471</v>
      </c>
    </row>
    <row r="445" spans="1:13" x14ac:dyDescent="0.25">
      <c r="A445" s="24">
        <f t="shared" si="58"/>
        <v>20</v>
      </c>
      <c r="B445" s="24">
        <v>12</v>
      </c>
      <c r="C445" s="24">
        <v>63.12</v>
      </c>
      <c r="E445" s="4">
        <v>428629</v>
      </c>
      <c r="F445" s="2" t="s">
        <v>2</v>
      </c>
      <c r="G445" s="2" t="str">
        <f t="shared" si="57"/>
        <v>https://www.oreht.ru/modules.php?name=orehtPriceLS&amp;op=Search&amp;page=1&amp;stext=428629</v>
      </c>
      <c r="I445">
        <v>428629</v>
      </c>
      <c r="J445" t="s">
        <v>2</v>
      </c>
      <c r="K445" t="s">
        <v>1472</v>
      </c>
      <c r="L445" t="s">
        <v>1473</v>
      </c>
      <c r="M445" t="s">
        <v>649</v>
      </c>
    </row>
    <row r="446" spans="1:13" x14ac:dyDescent="0.25">
      <c r="A446" s="24">
        <f t="shared" si="58"/>
        <v>20</v>
      </c>
      <c r="B446" s="24">
        <v>12</v>
      </c>
      <c r="C446" s="24">
        <v>47</v>
      </c>
      <c r="E446" s="4">
        <v>371284</v>
      </c>
      <c r="F446" s="2" t="s">
        <v>2</v>
      </c>
      <c r="G446" s="2" t="str">
        <f t="shared" si="57"/>
        <v>https://www.oreht.ru/modules.php?name=orehtPriceLS&amp;op=Search&amp;page=1&amp;stext=371284</v>
      </c>
      <c r="I446">
        <v>371284</v>
      </c>
      <c r="J446" t="s">
        <v>2</v>
      </c>
      <c r="K446" t="s">
        <v>1474</v>
      </c>
      <c r="L446" t="s">
        <v>1475</v>
      </c>
      <c r="M446" t="s">
        <v>649</v>
      </c>
    </row>
    <row r="447" spans="1:13" hidden="1" x14ac:dyDescent="0.25">
      <c r="A447" s="24">
        <f t="shared" si="58"/>
        <v>20</v>
      </c>
      <c r="B447" s="24">
        <v>12</v>
      </c>
      <c r="C447" s="24">
        <v>79</v>
      </c>
      <c r="E447" s="4">
        <v>105516</v>
      </c>
      <c r="F447" s="2" t="s">
        <v>2</v>
      </c>
      <c r="G447" s="2" t="str">
        <f t="shared" si="57"/>
        <v>https://www.oreht.ru/modules.php?name=orehtPriceLS&amp;op=Search&amp;page=1&amp;stext=105516</v>
      </c>
      <c r="I447">
        <v>105516</v>
      </c>
      <c r="J447" t="s">
        <v>2</v>
      </c>
      <c r="K447" t="s">
        <v>1476</v>
      </c>
      <c r="L447" t="s">
        <v>1477</v>
      </c>
      <c r="M447" t="s">
        <v>1478</v>
      </c>
    </row>
    <row r="448" spans="1:13" hidden="1" x14ac:dyDescent="0.25">
      <c r="A448" s="24">
        <f t="shared" si="58"/>
        <v>20</v>
      </c>
      <c r="B448" s="24">
        <v>10</v>
      </c>
      <c r="C448" s="24">
        <v>46.05</v>
      </c>
      <c r="E448" s="4">
        <v>204795</v>
      </c>
      <c r="F448" s="2" t="s">
        <v>2</v>
      </c>
      <c r="G448" s="2" t="str">
        <f t="shared" si="57"/>
        <v>https://www.oreht.ru/modules.php?name=orehtPriceLS&amp;op=Search&amp;page=1&amp;stext=204795</v>
      </c>
      <c r="I448">
        <v>204795</v>
      </c>
      <c r="J448" t="s">
        <v>2</v>
      </c>
      <c r="K448" t="s">
        <v>1479</v>
      </c>
      <c r="L448" t="s">
        <v>1480</v>
      </c>
      <c r="M448" t="s">
        <v>1481</v>
      </c>
    </row>
    <row r="449" spans="1:13" hidden="1" x14ac:dyDescent="0.25">
      <c r="A449" s="24">
        <f t="shared" si="58"/>
        <v>20</v>
      </c>
      <c r="B449" s="24">
        <v>12</v>
      </c>
      <c r="C449" s="24">
        <v>55.95</v>
      </c>
      <c r="E449" s="4">
        <v>259166</v>
      </c>
      <c r="F449" s="2" t="s">
        <v>2</v>
      </c>
      <c r="G449" s="2" t="str">
        <f t="shared" si="57"/>
        <v>https://www.oreht.ru/modules.php?name=orehtPriceLS&amp;op=Search&amp;page=1&amp;stext=259166</v>
      </c>
      <c r="I449">
        <v>259166</v>
      </c>
      <c r="J449" t="s">
        <v>2</v>
      </c>
      <c r="K449" t="s">
        <v>1482</v>
      </c>
      <c r="L449" t="s">
        <v>1483</v>
      </c>
      <c r="M449" t="s">
        <v>1484</v>
      </c>
    </row>
    <row r="450" spans="1:13" hidden="1" x14ac:dyDescent="0.25">
      <c r="A450" s="24">
        <f t="shared" si="58"/>
        <v>20</v>
      </c>
      <c r="B450" s="24">
        <v>12</v>
      </c>
      <c r="C450" s="24">
        <v>58.56</v>
      </c>
      <c r="E450" s="4">
        <v>320342</v>
      </c>
      <c r="F450" s="2" t="s">
        <v>2</v>
      </c>
      <c r="G450" s="2" t="str">
        <f t="shared" ref="G450:G513" si="59">HYPERLINK(F450&amp;E450)</f>
        <v>https://www.oreht.ru/modules.php?name=orehtPriceLS&amp;op=Search&amp;page=1&amp;stext=320342</v>
      </c>
      <c r="I450">
        <v>320342</v>
      </c>
      <c r="J450" t="s">
        <v>2</v>
      </c>
      <c r="K450" t="s">
        <v>1485</v>
      </c>
      <c r="L450" t="s">
        <v>1486</v>
      </c>
      <c r="M450" t="s">
        <v>1487</v>
      </c>
    </row>
    <row r="451" spans="1:13" hidden="1" x14ac:dyDescent="0.25">
      <c r="A451" s="24">
        <f t="shared" si="58"/>
        <v>20</v>
      </c>
      <c r="B451" s="24">
        <v>12</v>
      </c>
      <c r="C451" s="24">
        <v>52.55</v>
      </c>
      <c r="E451" s="4">
        <v>409118</v>
      </c>
      <c r="F451" s="2" t="s">
        <v>2</v>
      </c>
      <c r="G451" s="2" t="str">
        <f t="shared" si="59"/>
        <v>https://www.oreht.ru/modules.php?name=orehtPriceLS&amp;op=Search&amp;page=1&amp;stext=409118</v>
      </c>
      <c r="I451">
        <v>409118</v>
      </c>
      <c r="J451" t="s">
        <v>2</v>
      </c>
      <c r="K451" t="s">
        <v>1488</v>
      </c>
      <c r="L451" t="s">
        <v>1489</v>
      </c>
      <c r="M451" t="s">
        <v>1490</v>
      </c>
    </row>
    <row r="452" spans="1:13" x14ac:dyDescent="0.25">
      <c r="A452" s="24">
        <f t="shared" si="58"/>
        <v>20</v>
      </c>
      <c r="B452" s="24">
        <v>12</v>
      </c>
      <c r="C452" s="24">
        <v>48.95</v>
      </c>
      <c r="E452" s="4">
        <v>272032</v>
      </c>
      <c r="F452" s="2" t="s">
        <v>2</v>
      </c>
      <c r="G452" s="2" t="str">
        <f t="shared" si="59"/>
        <v>https://www.oreht.ru/modules.php?name=orehtPriceLS&amp;op=Search&amp;page=1&amp;stext=272032</v>
      </c>
      <c r="I452">
        <v>272032</v>
      </c>
      <c r="J452" t="s">
        <v>2</v>
      </c>
      <c r="K452" t="s">
        <v>1491</v>
      </c>
      <c r="L452" t="s">
        <v>1492</v>
      </c>
      <c r="M452" t="s">
        <v>649</v>
      </c>
    </row>
    <row r="453" spans="1:13" x14ac:dyDescent="0.25">
      <c r="A453" s="24">
        <f t="shared" ref="A453:A516" si="60">IF(W453*0.05&gt;=250,250,IF(W453*0.05&gt;=20,IF(W453*0.05&lt;20,20,W453*0.05),20))</f>
        <v>20</v>
      </c>
      <c r="B453" s="24">
        <v>12</v>
      </c>
      <c r="C453" s="24">
        <v>52.5</v>
      </c>
      <c r="E453" s="4">
        <v>398814</v>
      </c>
      <c r="F453" s="2" t="s">
        <v>2</v>
      </c>
      <c r="G453" s="2" t="str">
        <f t="shared" si="59"/>
        <v>https://www.oreht.ru/modules.php?name=orehtPriceLS&amp;op=Search&amp;page=1&amp;stext=398814</v>
      </c>
      <c r="I453">
        <v>398814</v>
      </c>
      <c r="J453" t="s">
        <v>2</v>
      </c>
      <c r="K453" t="s">
        <v>1493</v>
      </c>
      <c r="L453" t="s">
        <v>1494</v>
      </c>
      <c r="M453" t="s">
        <v>649</v>
      </c>
    </row>
    <row r="454" spans="1:13" x14ac:dyDescent="0.25">
      <c r="A454" s="24">
        <f t="shared" si="60"/>
        <v>20</v>
      </c>
      <c r="B454" s="24">
        <v>12</v>
      </c>
      <c r="C454" s="24">
        <v>52.15</v>
      </c>
      <c r="E454" s="4">
        <v>379891</v>
      </c>
      <c r="F454" s="2" t="s">
        <v>2</v>
      </c>
      <c r="G454" s="2" t="str">
        <f t="shared" si="59"/>
        <v>https://www.oreht.ru/modules.php?name=orehtPriceLS&amp;op=Search&amp;page=1&amp;stext=379891</v>
      </c>
      <c r="I454">
        <v>379891</v>
      </c>
      <c r="J454" t="s">
        <v>2</v>
      </c>
      <c r="K454" t="s">
        <v>1495</v>
      </c>
      <c r="L454" t="s">
        <v>1496</v>
      </c>
      <c r="M454" t="s">
        <v>649</v>
      </c>
    </row>
    <row r="455" spans="1:13" x14ac:dyDescent="0.25">
      <c r="A455" s="24">
        <f t="shared" si="60"/>
        <v>20</v>
      </c>
      <c r="B455" s="24">
        <v>12</v>
      </c>
      <c r="C455" s="24">
        <v>43</v>
      </c>
      <c r="E455" s="4">
        <v>368518</v>
      </c>
      <c r="F455" s="2" t="s">
        <v>2</v>
      </c>
      <c r="G455" s="2" t="str">
        <f t="shared" si="59"/>
        <v>https://www.oreht.ru/modules.php?name=orehtPriceLS&amp;op=Search&amp;page=1&amp;stext=368518</v>
      </c>
      <c r="I455">
        <v>368518</v>
      </c>
      <c r="J455" t="s">
        <v>2</v>
      </c>
      <c r="K455" t="s">
        <v>1497</v>
      </c>
      <c r="L455" t="s">
        <v>1498</v>
      </c>
      <c r="M455" t="s">
        <v>649</v>
      </c>
    </row>
    <row r="456" spans="1:13" hidden="1" x14ac:dyDescent="0.25">
      <c r="A456" s="24">
        <f t="shared" si="60"/>
        <v>20</v>
      </c>
      <c r="B456" s="24">
        <v>12</v>
      </c>
      <c r="C456" s="24">
        <v>63</v>
      </c>
      <c r="E456" s="4">
        <v>257352</v>
      </c>
      <c r="F456" s="2" t="s">
        <v>2</v>
      </c>
      <c r="G456" s="2" t="str">
        <f t="shared" si="59"/>
        <v>https://www.oreht.ru/modules.php?name=orehtPriceLS&amp;op=Search&amp;page=1&amp;stext=257352</v>
      </c>
      <c r="I456">
        <v>257352</v>
      </c>
      <c r="J456" t="s">
        <v>2</v>
      </c>
      <c r="K456" t="s">
        <v>1499</v>
      </c>
      <c r="L456" t="s">
        <v>1500</v>
      </c>
      <c r="M456" t="s">
        <v>1501</v>
      </c>
    </row>
    <row r="457" spans="1:13" x14ac:dyDescent="0.25">
      <c r="A457" s="24">
        <f t="shared" si="60"/>
        <v>20</v>
      </c>
      <c r="B457" s="24">
        <v>12</v>
      </c>
      <c r="C457" s="24">
        <v>79</v>
      </c>
      <c r="E457" s="4">
        <v>400102</v>
      </c>
      <c r="F457" s="2" t="s">
        <v>2</v>
      </c>
      <c r="G457" s="2" t="str">
        <f t="shared" si="59"/>
        <v>https://www.oreht.ru/modules.php?name=orehtPriceLS&amp;op=Search&amp;page=1&amp;stext=400102</v>
      </c>
      <c r="I457">
        <v>400102</v>
      </c>
      <c r="J457" t="s">
        <v>2</v>
      </c>
      <c r="K457" t="s">
        <v>1502</v>
      </c>
      <c r="L457" t="s">
        <v>1503</v>
      </c>
      <c r="M457" t="s">
        <v>649</v>
      </c>
    </row>
    <row r="458" spans="1:13" hidden="1" x14ac:dyDescent="0.25">
      <c r="A458" s="24">
        <f t="shared" si="60"/>
        <v>20</v>
      </c>
      <c r="B458" s="24">
        <v>12</v>
      </c>
      <c r="C458" s="24">
        <v>63</v>
      </c>
      <c r="E458" s="4">
        <v>385021</v>
      </c>
      <c r="F458" s="2" t="s">
        <v>2</v>
      </c>
      <c r="G458" s="2" t="str">
        <f t="shared" si="59"/>
        <v>https://www.oreht.ru/modules.php?name=orehtPriceLS&amp;op=Search&amp;page=1&amp;stext=385021</v>
      </c>
      <c r="I458">
        <v>385021</v>
      </c>
      <c r="J458" t="s">
        <v>2</v>
      </c>
      <c r="K458" t="s">
        <v>1504</v>
      </c>
      <c r="L458" t="s">
        <v>1505</v>
      </c>
      <c r="M458" t="s">
        <v>1506</v>
      </c>
    </row>
    <row r="459" spans="1:13" x14ac:dyDescent="0.25">
      <c r="A459" s="24">
        <f t="shared" si="60"/>
        <v>20</v>
      </c>
      <c r="B459" s="24">
        <v>12</v>
      </c>
      <c r="C459" s="24">
        <v>79</v>
      </c>
      <c r="E459" s="4">
        <v>121169</v>
      </c>
      <c r="F459" s="2" t="s">
        <v>2</v>
      </c>
      <c r="G459" s="2" t="str">
        <f t="shared" si="59"/>
        <v>https://www.oreht.ru/modules.php?name=orehtPriceLS&amp;op=Search&amp;page=1&amp;stext=121169</v>
      </c>
      <c r="I459">
        <v>121169</v>
      </c>
      <c r="J459" t="s">
        <v>2</v>
      </c>
      <c r="K459" t="s">
        <v>1507</v>
      </c>
      <c r="L459" t="s">
        <v>1508</v>
      </c>
      <c r="M459" t="s">
        <v>649</v>
      </c>
    </row>
    <row r="460" spans="1:13" x14ac:dyDescent="0.25">
      <c r="A460" s="24">
        <f t="shared" si="60"/>
        <v>20</v>
      </c>
      <c r="B460" s="24">
        <v>12</v>
      </c>
      <c r="C460" s="24">
        <v>79</v>
      </c>
      <c r="E460" s="4">
        <v>431781</v>
      </c>
      <c r="F460" s="2" t="s">
        <v>2</v>
      </c>
      <c r="G460" s="2" t="str">
        <f t="shared" si="59"/>
        <v>https://www.oreht.ru/modules.php?name=orehtPriceLS&amp;op=Search&amp;page=1&amp;stext=431781</v>
      </c>
      <c r="I460">
        <v>431781</v>
      </c>
      <c r="J460" t="s">
        <v>2</v>
      </c>
      <c r="K460" t="s">
        <v>1509</v>
      </c>
      <c r="L460" t="s">
        <v>1510</v>
      </c>
      <c r="M460" t="s">
        <v>649</v>
      </c>
    </row>
    <row r="461" spans="1:13" hidden="1" x14ac:dyDescent="0.25">
      <c r="A461" s="24">
        <f t="shared" si="60"/>
        <v>20</v>
      </c>
      <c r="B461" s="24">
        <v>12</v>
      </c>
      <c r="C461" s="24">
        <v>120</v>
      </c>
      <c r="E461" s="4">
        <v>121437</v>
      </c>
      <c r="F461" s="2" t="s">
        <v>2</v>
      </c>
      <c r="G461" s="2" t="str">
        <f t="shared" si="59"/>
        <v>https://www.oreht.ru/modules.php?name=orehtPriceLS&amp;op=Search&amp;page=1&amp;stext=121437</v>
      </c>
      <c r="I461">
        <v>121437</v>
      </c>
      <c r="J461" t="s">
        <v>2</v>
      </c>
      <c r="K461" t="s">
        <v>1511</v>
      </c>
      <c r="L461" t="s">
        <v>1512</v>
      </c>
      <c r="M461" t="s">
        <v>1513</v>
      </c>
    </row>
    <row r="462" spans="1:13" hidden="1" x14ac:dyDescent="0.25">
      <c r="A462" s="24">
        <f t="shared" si="60"/>
        <v>20</v>
      </c>
      <c r="B462" s="24">
        <v>12</v>
      </c>
      <c r="C462" s="24">
        <v>48.5</v>
      </c>
      <c r="E462" s="4">
        <v>364684</v>
      </c>
      <c r="F462" s="2" t="s">
        <v>2</v>
      </c>
      <c r="G462" s="2" t="str">
        <f t="shared" si="59"/>
        <v>https://www.oreht.ru/modules.php?name=orehtPriceLS&amp;op=Search&amp;page=1&amp;stext=364684</v>
      </c>
      <c r="I462">
        <v>364684</v>
      </c>
      <c r="J462" t="s">
        <v>2</v>
      </c>
      <c r="K462" t="s">
        <v>1514</v>
      </c>
      <c r="L462" t="s">
        <v>1515</v>
      </c>
      <c r="M462" t="s">
        <v>1516</v>
      </c>
    </row>
    <row r="463" spans="1:13" x14ac:dyDescent="0.25">
      <c r="A463" s="24">
        <f t="shared" si="60"/>
        <v>20</v>
      </c>
      <c r="B463" s="24">
        <v>12</v>
      </c>
      <c r="C463" s="24">
        <v>52.8</v>
      </c>
      <c r="E463" s="4">
        <v>425439</v>
      </c>
      <c r="F463" s="2" t="s">
        <v>2</v>
      </c>
      <c r="G463" s="2" t="str">
        <f t="shared" si="59"/>
        <v>https://www.oreht.ru/modules.php?name=orehtPriceLS&amp;op=Search&amp;page=1&amp;stext=425439</v>
      </c>
      <c r="I463">
        <v>425439</v>
      </c>
      <c r="J463" t="s">
        <v>2</v>
      </c>
      <c r="K463" t="s">
        <v>1517</v>
      </c>
      <c r="L463" t="s">
        <v>1518</v>
      </c>
      <c r="M463" t="s">
        <v>649</v>
      </c>
    </row>
    <row r="464" spans="1:13" hidden="1" x14ac:dyDescent="0.25">
      <c r="A464" s="24">
        <f t="shared" si="60"/>
        <v>20</v>
      </c>
      <c r="B464" s="24">
        <v>12</v>
      </c>
      <c r="C464" s="24">
        <v>61.44</v>
      </c>
      <c r="E464" s="4">
        <v>121287</v>
      </c>
      <c r="F464" s="2" t="s">
        <v>2</v>
      </c>
      <c r="G464" s="2" t="str">
        <f t="shared" si="59"/>
        <v>https://www.oreht.ru/modules.php?name=orehtPriceLS&amp;op=Search&amp;page=1&amp;stext=121287</v>
      </c>
      <c r="I464">
        <v>121287</v>
      </c>
      <c r="J464" t="s">
        <v>2</v>
      </c>
      <c r="K464" t="s">
        <v>1519</v>
      </c>
      <c r="L464" t="s">
        <v>1520</v>
      </c>
      <c r="M464" t="s">
        <v>1521</v>
      </c>
    </row>
    <row r="465" spans="1:13" x14ac:dyDescent="0.25">
      <c r="A465" s="24">
        <f t="shared" si="60"/>
        <v>20</v>
      </c>
      <c r="B465" s="24">
        <v>12</v>
      </c>
      <c r="C465" s="24">
        <v>52.9</v>
      </c>
      <c r="E465" s="4">
        <v>352030</v>
      </c>
      <c r="F465" s="2" t="s">
        <v>2</v>
      </c>
      <c r="G465" s="2" t="str">
        <f t="shared" si="59"/>
        <v>https://www.oreht.ru/modules.php?name=orehtPriceLS&amp;op=Search&amp;page=1&amp;stext=352030</v>
      </c>
      <c r="I465">
        <v>352030</v>
      </c>
      <c r="J465" t="s">
        <v>2</v>
      </c>
      <c r="K465" t="s">
        <v>1522</v>
      </c>
      <c r="L465" t="s">
        <v>1523</v>
      </c>
      <c r="M465" t="s">
        <v>649</v>
      </c>
    </row>
    <row r="466" spans="1:13" x14ac:dyDescent="0.25">
      <c r="A466" s="24">
        <f t="shared" si="60"/>
        <v>20</v>
      </c>
      <c r="B466" s="24">
        <v>12</v>
      </c>
      <c r="C466" s="24">
        <v>48.65</v>
      </c>
      <c r="E466" s="4">
        <v>402481</v>
      </c>
      <c r="F466" s="2" t="s">
        <v>2</v>
      </c>
      <c r="G466" s="2" t="str">
        <f t="shared" si="59"/>
        <v>https://www.oreht.ru/modules.php?name=orehtPriceLS&amp;op=Search&amp;page=1&amp;stext=402481</v>
      </c>
      <c r="I466">
        <v>402481</v>
      </c>
      <c r="J466" t="s">
        <v>2</v>
      </c>
      <c r="K466" t="s">
        <v>1524</v>
      </c>
      <c r="L466" t="s">
        <v>1525</v>
      </c>
      <c r="M466" t="s">
        <v>649</v>
      </c>
    </row>
    <row r="467" spans="1:13" hidden="1" x14ac:dyDescent="0.25">
      <c r="A467" s="24">
        <f t="shared" si="60"/>
        <v>20</v>
      </c>
      <c r="B467" s="24">
        <v>12</v>
      </c>
      <c r="C467" s="24">
        <v>135</v>
      </c>
      <c r="E467" s="4">
        <v>105301</v>
      </c>
      <c r="F467" s="2" t="s">
        <v>2</v>
      </c>
      <c r="G467" s="2" t="str">
        <f t="shared" si="59"/>
        <v>https://www.oreht.ru/modules.php?name=orehtPriceLS&amp;op=Search&amp;page=1&amp;stext=105301</v>
      </c>
      <c r="I467">
        <v>105301</v>
      </c>
      <c r="J467" t="s">
        <v>2</v>
      </c>
      <c r="K467" t="s">
        <v>1526</v>
      </c>
      <c r="L467" t="s">
        <v>1527</v>
      </c>
      <c r="M467" t="s">
        <v>1528</v>
      </c>
    </row>
    <row r="468" spans="1:13" x14ac:dyDescent="0.25">
      <c r="A468" s="24">
        <f t="shared" si="60"/>
        <v>20</v>
      </c>
      <c r="B468" s="24">
        <v>12</v>
      </c>
      <c r="C468" s="24">
        <v>53.25</v>
      </c>
      <c r="E468" s="4">
        <v>425189</v>
      </c>
      <c r="F468" s="2" t="s">
        <v>2</v>
      </c>
      <c r="G468" s="2" t="str">
        <f t="shared" si="59"/>
        <v>https://www.oreht.ru/modules.php?name=orehtPriceLS&amp;op=Search&amp;page=1&amp;stext=425189</v>
      </c>
      <c r="I468">
        <v>425189</v>
      </c>
      <c r="J468" t="s">
        <v>2</v>
      </c>
      <c r="K468" t="s">
        <v>1529</v>
      </c>
      <c r="L468" t="s">
        <v>1530</v>
      </c>
      <c r="M468" t="s">
        <v>649</v>
      </c>
    </row>
    <row r="469" spans="1:13" hidden="1" x14ac:dyDescent="0.25">
      <c r="A469" s="24">
        <f t="shared" si="60"/>
        <v>20</v>
      </c>
      <c r="B469" s="24">
        <v>12</v>
      </c>
      <c r="C469" s="24">
        <v>49.5</v>
      </c>
      <c r="E469" s="4">
        <v>402484</v>
      </c>
      <c r="F469" s="2" t="s">
        <v>2</v>
      </c>
      <c r="G469" s="2" t="str">
        <f t="shared" si="59"/>
        <v>https://www.oreht.ru/modules.php?name=orehtPriceLS&amp;op=Search&amp;page=1&amp;stext=402484</v>
      </c>
      <c r="I469">
        <v>402484</v>
      </c>
      <c r="J469" t="s">
        <v>2</v>
      </c>
      <c r="K469" t="s">
        <v>1531</v>
      </c>
      <c r="L469" t="s">
        <v>1532</v>
      </c>
      <c r="M469" t="s">
        <v>1533</v>
      </c>
    </row>
    <row r="470" spans="1:13" x14ac:dyDescent="0.25">
      <c r="A470" s="24">
        <f t="shared" si="60"/>
        <v>20</v>
      </c>
      <c r="B470" s="24">
        <v>12</v>
      </c>
      <c r="C470" s="24">
        <v>79</v>
      </c>
      <c r="E470" s="4">
        <v>425097</v>
      </c>
      <c r="F470" s="2" t="s">
        <v>2</v>
      </c>
      <c r="G470" s="2" t="str">
        <f t="shared" si="59"/>
        <v>https://www.oreht.ru/modules.php?name=orehtPriceLS&amp;op=Search&amp;page=1&amp;stext=425097</v>
      </c>
      <c r="I470">
        <v>425097</v>
      </c>
      <c r="J470" t="s">
        <v>2</v>
      </c>
      <c r="K470" t="s">
        <v>1534</v>
      </c>
      <c r="L470" t="s">
        <v>1535</v>
      </c>
      <c r="M470" t="s">
        <v>649</v>
      </c>
    </row>
    <row r="471" spans="1:13" hidden="1" x14ac:dyDescent="0.25">
      <c r="A471" s="24">
        <f t="shared" si="60"/>
        <v>20</v>
      </c>
      <c r="B471" s="24">
        <v>12</v>
      </c>
      <c r="C471" s="24">
        <v>49.4</v>
      </c>
      <c r="E471" s="4">
        <v>430830</v>
      </c>
      <c r="F471" s="2" t="s">
        <v>2</v>
      </c>
      <c r="G471" s="2" t="str">
        <f t="shared" si="59"/>
        <v>https://www.oreht.ru/modules.php?name=orehtPriceLS&amp;op=Search&amp;page=1&amp;stext=430830</v>
      </c>
      <c r="I471">
        <v>430830</v>
      </c>
      <c r="J471" t="s">
        <v>2</v>
      </c>
      <c r="K471" t="s">
        <v>1536</v>
      </c>
      <c r="L471" t="s">
        <v>1537</v>
      </c>
      <c r="M471" t="s">
        <v>1538</v>
      </c>
    </row>
    <row r="472" spans="1:13" hidden="1" x14ac:dyDescent="0.25">
      <c r="A472" s="24">
        <f t="shared" si="60"/>
        <v>20</v>
      </c>
      <c r="B472" s="24">
        <v>12</v>
      </c>
      <c r="C472" s="24">
        <v>75.959999999999994</v>
      </c>
      <c r="E472" s="4">
        <v>348993</v>
      </c>
      <c r="F472" s="2" t="s">
        <v>2</v>
      </c>
      <c r="G472" s="2" t="str">
        <f t="shared" si="59"/>
        <v>https://www.oreht.ru/modules.php?name=orehtPriceLS&amp;op=Search&amp;page=1&amp;stext=348993</v>
      </c>
      <c r="I472">
        <v>348993</v>
      </c>
      <c r="J472" t="s">
        <v>2</v>
      </c>
      <c r="K472" t="s">
        <v>1539</v>
      </c>
      <c r="L472" t="s">
        <v>1540</v>
      </c>
      <c r="M472" t="s">
        <v>1541</v>
      </c>
    </row>
    <row r="473" spans="1:13" hidden="1" x14ac:dyDescent="0.25">
      <c r="A473" s="24">
        <f t="shared" si="60"/>
        <v>20</v>
      </c>
      <c r="B473" s="24">
        <v>12</v>
      </c>
      <c r="C473" s="24">
        <v>45</v>
      </c>
      <c r="E473" s="4">
        <v>424951</v>
      </c>
      <c r="F473" s="2" t="s">
        <v>2</v>
      </c>
      <c r="G473" s="2" t="str">
        <f t="shared" si="59"/>
        <v>https://www.oreht.ru/modules.php?name=orehtPriceLS&amp;op=Search&amp;page=1&amp;stext=424951</v>
      </c>
      <c r="I473">
        <v>424951</v>
      </c>
      <c r="J473" t="s">
        <v>2</v>
      </c>
      <c r="K473" t="s">
        <v>1542</v>
      </c>
      <c r="L473" t="s">
        <v>1543</v>
      </c>
      <c r="M473" t="s">
        <v>1544</v>
      </c>
    </row>
    <row r="474" spans="1:13" hidden="1" x14ac:dyDescent="0.25">
      <c r="A474" s="24">
        <f t="shared" si="60"/>
        <v>20</v>
      </c>
      <c r="B474" s="24">
        <v>12</v>
      </c>
      <c r="C474" s="24">
        <v>61</v>
      </c>
      <c r="E474" s="4">
        <v>139395</v>
      </c>
      <c r="F474" s="2" t="s">
        <v>2</v>
      </c>
      <c r="G474" s="2" t="str">
        <f t="shared" si="59"/>
        <v>https://www.oreht.ru/modules.php?name=orehtPriceLS&amp;op=Search&amp;page=1&amp;stext=139395</v>
      </c>
      <c r="I474">
        <v>139395</v>
      </c>
      <c r="J474" t="s">
        <v>2</v>
      </c>
      <c r="K474" t="s">
        <v>1545</v>
      </c>
      <c r="L474" t="s">
        <v>1546</v>
      </c>
      <c r="M474" t="s">
        <v>1547</v>
      </c>
    </row>
    <row r="475" spans="1:13" hidden="1" x14ac:dyDescent="0.25">
      <c r="A475" s="24">
        <f t="shared" si="60"/>
        <v>20</v>
      </c>
      <c r="B475" s="24">
        <v>12</v>
      </c>
      <c r="C475" s="24">
        <v>63</v>
      </c>
      <c r="E475" s="4">
        <v>380780</v>
      </c>
      <c r="F475" s="2" t="s">
        <v>2</v>
      </c>
      <c r="G475" s="2" t="str">
        <f t="shared" si="59"/>
        <v>https://www.oreht.ru/modules.php?name=orehtPriceLS&amp;op=Search&amp;page=1&amp;stext=380780</v>
      </c>
      <c r="I475">
        <v>380780</v>
      </c>
      <c r="J475" t="s">
        <v>2</v>
      </c>
      <c r="K475" t="s">
        <v>1548</v>
      </c>
      <c r="L475" t="s">
        <v>1549</v>
      </c>
      <c r="M475" t="s">
        <v>1550</v>
      </c>
    </row>
    <row r="476" spans="1:13" hidden="1" x14ac:dyDescent="0.25">
      <c r="A476" s="24">
        <f t="shared" si="60"/>
        <v>20</v>
      </c>
      <c r="B476" s="24">
        <v>10</v>
      </c>
      <c r="C476" s="24">
        <v>71</v>
      </c>
      <c r="E476" s="4">
        <v>202455</v>
      </c>
      <c r="F476" s="2" t="s">
        <v>2</v>
      </c>
      <c r="G476" s="2" t="str">
        <f t="shared" si="59"/>
        <v>https://www.oreht.ru/modules.php?name=orehtPriceLS&amp;op=Search&amp;page=1&amp;stext=202455</v>
      </c>
      <c r="I476">
        <v>202455</v>
      </c>
      <c r="J476" t="s">
        <v>2</v>
      </c>
      <c r="K476" t="s">
        <v>1551</v>
      </c>
      <c r="L476" t="s">
        <v>1552</v>
      </c>
      <c r="M476" t="s">
        <v>1553</v>
      </c>
    </row>
    <row r="477" spans="1:13" x14ac:dyDescent="0.25">
      <c r="A477" s="24">
        <f t="shared" si="60"/>
        <v>20</v>
      </c>
      <c r="B477" s="24">
        <v>12</v>
      </c>
      <c r="C477" s="24">
        <v>65.400000000000006</v>
      </c>
      <c r="E477" s="4">
        <v>169273</v>
      </c>
      <c r="F477" s="2" t="s">
        <v>2</v>
      </c>
      <c r="G477" s="2" t="str">
        <f t="shared" si="59"/>
        <v>https://www.oreht.ru/modules.php?name=orehtPriceLS&amp;op=Search&amp;page=1&amp;stext=169273</v>
      </c>
      <c r="I477">
        <v>169273</v>
      </c>
      <c r="J477" t="s">
        <v>2</v>
      </c>
      <c r="K477" t="s">
        <v>1554</v>
      </c>
      <c r="L477" t="s">
        <v>1555</v>
      </c>
      <c r="M477" t="s">
        <v>649</v>
      </c>
    </row>
    <row r="478" spans="1:13" x14ac:dyDescent="0.25">
      <c r="A478" s="24">
        <f t="shared" si="60"/>
        <v>20</v>
      </c>
      <c r="B478" s="24">
        <v>12</v>
      </c>
      <c r="C478" s="24">
        <v>79</v>
      </c>
      <c r="E478" s="4">
        <v>445068</v>
      </c>
      <c r="F478" s="2" t="s">
        <v>2</v>
      </c>
      <c r="G478" s="2" t="str">
        <f t="shared" si="59"/>
        <v>https://www.oreht.ru/modules.php?name=orehtPriceLS&amp;op=Search&amp;page=1&amp;stext=445068</v>
      </c>
      <c r="I478">
        <v>445068</v>
      </c>
      <c r="J478" t="s">
        <v>2</v>
      </c>
      <c r="K478" t="s">
        <v>1556</v>
      </c>
      <c r="L478" t="s">
        <v>1557</v>
      </c>
      <c r="M478" t="s">
        <v>649</v>
      </c>
    </row>
    <row r="479" spans="1:13" hidden="1" x14ac:dyDescent="0.25">
      <c r="A479" s="24">
        <f t="shared" si="60"/>
        <v>20</v>
      </c>
      <c r="B479" s="24">
        <v>12</v>
      </c>
      <c r="C479" s="24">
        <v>51.35</v>
      </c>
      <c r="E479" s="4">
        <v>399044</v>
      </c>
      <c r="F479" s="2" t="s">
        <v>2</v>
      </c>
      <c r="G479" s="2" t="str">
        <f t="shared" si="59"/>
        <v>https://www.oreht.ru/modules.php?name=orehtPriceLS&amp;op=Search&amp;page=1&amp;stext=399044</v>
      </c>
      <c r="I479">
        <v>399044</v>
      </c>
      <c r="J479" t="s">
        <v>2</v>
      </c>
      <c r="K479" t="s">
        <v>1558</v>
      </c>
      <c r="L479" t="s">
        <v>1559</v>
      </c>
      <c r="M479" t="s">
        <v>1560</v>
      </c>
    </row>
    <row r="480" spans="1:13" x14ac:dyDescent="0.25">
      <c r="A480" s="24">
        <f t="shared" si="60"/>
        <v>20</v>
      </c>
      <c r="B480" s="24">
        <v>12</v>
      </c>
      <c r="C480" s="24">
        <v>79</v>
      </c>
      <c r="E480" s="4">
        <v>400856</v>
      </c>
      <c r="F480" s="2" t="s">
        <v>2</v>
      </c>
      <c r="G480" s="2" t="str">
        <f t="shared" si="59"/>
        <v>https://www.oreht.ru/modules.php?name=orehtPriceLS&amp;op=Search&amp;page=1&amp;stext=400856</v>
      </c>
      <c r="I480">
        <v>400856</v>
      </c>
      <c r="J480" t="s">
        <v>2</v>
      </c>
      <c r="K480" t="s">
        <v>1561</v>
      </c>
      <c r="L480" t="s">
        <v>1562</v>
      </c>
      <c r="M480" t="s">
        <v>649</v>
      </c>
    </row>
    <row r="481" spans="1:13" x14ac:dyDescent="0.25">
      <c r="A481" s="24">
        <f t="shared" si="60"/>
        <v>20</v>
      </c>
      <c r="B481" s="24">
        <v>12</v>
      </c>
      <c r="C481" s="24">
        <v>53.95</v>
      </c>
      <c r="E481" s="4">
        <v>429790</v>
      </c>
      <c r="F481" s="2" t="s">
        <v>2</v>
      </c>
      <c r="G481" s="2" t="str">
        <f t="shared" si="59"/>
        <v>https://www.oreht.ru/modules.php?name=orehtPriceLS&amp;op=Search&amp;page=1&amp;stext=429790</v>
      </c>
      <c r="I481">
        <v>429790</v>
      </c>
      <c r="J481" t="s">
        <v>2</v>
      </c>
      <c r="K481" t="s">
        <v>1563</v>
      </c>
      <c r="L481" t="s">
        <v>1564</v>
      </c>
      <c r="M481" t="s">
        <v>649</v>
      </c>
    </row>
    <row r="482" spans="1:13" hidden="1" x14ac:dyDescent="0.25">
      <c r="A482" s="24">
        <f t="shared" si="60"/>
        <v>20</v>
      </c>
      <c r="B482" s="24">
        <v>12</v>
      </c>
      <c r="C482" s="24">
        <v>54.2</v>
      </c>
      <c r="E482" s="4">
        <v>299131</v>
      </c>
      <c r="F482" s="2" t="s">
        <v>2</v>
      </c>
      <c r="G482" s="2" t="str">
        <f t="shared" si="59"/>
        <v>https://www.oreht.ru/modules.php?name=orehtPriceLS&amp;op=Search&amp;page=1&amp;stext=299131</v>
      </c>
      <c r="I482">
        <v>299131</v>
      </c>
      <c r="J482" t="s">
        <v>2</v>
      </c>
      <c r="K482" t="s">
        <v>1565</v>
      </c>
      <c r="L482" t="s">
        <v>1566</v>
      </c>
      <c r="M482" t="s">
        <v>1567</v>
      </c>
    </row>
    <row r="483" spans="1:13" hidden="1" x14ac:dyDescent="0.25">
      <c r="A483" s="24">
        <f t="shared" si="60"/>
        <v>20</v>
      </c>
      <c r="B483" s="24">
        <v>10</v>
      </c>
      <c r="C483" s="24">
        <v>64.319999999999993</v>
      </c>
      <c r="E483" s="4">
        <v>204777</v>
      </c>
      <c r="F483" s="2" t="s">
        <v>2</v>
      </c>
      <c r="G483" s="2" t="str">
        <f t="shared" si="59"/>
        <v>https://www.oreht.ru/modules.php?name=orehtPriceLS&amp;op=Search&amp;page=1&amp;stext=204777</v>
      </c>
      <c r="I483">
        <v>204777</v>
      </c>
      <c r="J483" t="s">
        <v>2</v>
      </c>
      <c r="K483" t="s">
        <v>1568</v>
      </c>
      <c r="L483" t="s">
        <v>1569</v>
      </c>
      <c r="M483" t="s">
        <v>1570</v>
      </c>
    </row>
    <row r="484" spans="1:13" hidden="1" x14ac:dyDescent="0.25">
      <c r="A484" s="24">
        <f t="shared" si="60"/>
        <v>20</v>
      </c>
      <c r="B484" s="24">
        <v>12</v>
      </c>
      <c r="C484" s="24">
        <v>60.54</v>
      </c>
      <c r="E484" s="4">
        <v>248024</v>
      </c>
      <c r="F484" s="2" t="s">
        <v>2</v>
      </c>
      <c r="G484" s="2" t="str">
        <f t="shared" si="59"/>
        <v>https://www.oreht.ru/modules.php?name=orehtPriceLS&amp;op=Search&amp;page=1&amp;stext=248024</v>
      </c>
      <c r="I484">
        <v>248024</v>
      </c>
      <c r="J484" t="s">
        <v>2</v>
      </c>
      <c r="K484" t="s">
        <v>1571</v>
      </c>
      <c r="L484" t="s">
        <v>1572</v>
      </c>
      <c r="M484" t="s">
        <v>1478</v>
      </c>
    </row>
    <row r="485" spans="1:13" hidden="1" x14ac:dyDescent="0.25">
      <c r="A485" s="24">
        <f t="shared" si="60"/>
        <v>20</v>
      </c>
      <c r="B485" s="24">
        <v>12</v>
      </c>
      <c r="C485" s="24">
        <v>50.45</v>
      </c>
      <c r="E485" s="4">
        <v>342575</v>
      </c>
      <c r="F485" s="2" t="s">
        <v>2</v>
      </c>
      <c r="G485" s="2" t="str">
        <f t="shared" si="59"/>
        <v>https://www.oreht.ru/modules.php?name=orehtPriceLS&amp;op=Search&amp;page=1&amp;stext=342575</v>
      </c>
      <c r="I485">
        <v>342575</v>
      </c>
      <c r="J485" t="s">
        <v>2</v>
      </c>
      <c r="K485" t="s">
        <v>1573</v>
      </c>
      <c r="L485" t="s">
        <v>1574</v>
      </c>
      <c r="M485" t="s">
        <v>1575</v>
      </c>
    </row>
    <row r="486" spans="1:13" hidden="1" x14ac:dyDescent="0.25">
      <c r="A486" s="24">
        <f t="shared" si="60"/>
        <v>20</v>
      </c>
      <c r="B486" s="24">
        <v>12</v>
      </c>
      <c r="C486" s="24">
        <v>67</v>
      </c>
      <c r="E486" s="4">
        <v>121277</v>
      </c>
      <c r="F486" s="2" t="s">
        <v>2</v>
      </c>
      <c r="G486" s="2" t="str">
        <f t="shared" si="59"/>
        <v>https://www.oreht.ru/modules.php?name=orehtPriceLS&amp;op=Search&amp;page=1&amp;stext=121277</v>
      </c>
      <c r="I486">
        <v>121277</v>
      </c>
      <c r="J486" t="s">
        <v>2</v>
      </c>
      <c r="K486" t="s">
        <v>1576</v>
      </c>
      <c r="L486" t="s">
        <v>1577</v>
      </c>
      <c r="M486" t="s">
        <v>1521</v>
      </c>
    </row>
    <row r="487" spans="1:13" x14ac:dyDescent="0.25">
      <c r="A487" s="24">
        <f t="shared" si="60"/>
        <v>20</v>
      </c>
      <c r="B487" s="24">
        <v>12</v>
      </c>
      <c r="C487" s="24">
        <v>55.25</v>
      </c>
      <c r="E487" s="4">
        <v>418336</v>
      </c>
      <c r="F487" s="2" t="s">
        <v>2</v>
      </c>
      <c r="G487" s="2" t="str">
        <f t="shared" si="59"/>
        <v>https://www.oreht.ru/modules.php?name=orehtPriceLS&amp;op=Search&amp;page=1&amp;stext=418336</v>
      </c>
      <c r="I487">
        <v>418336</v>
      </c>
      <c r="J487" t="s">
        <v>2</v>
      </c>
      <c r="K487" t="s">
        <v>1578</v>
      </c>
      <c r="L487" t="s">
        <v>1579</v>
      </c>
      <c r="M487" t="s">
        <v>649</v>
      </c>
    </row>
    <row r="488" spans="1:13" hidden="1" x14ac:dyDescent="0.25">
      <c r="A488" s="24">
        <f t="shared" si="60"/>
        <v>20</v>
      </c>
      <c r="B488" s="24">
        <v>12</v>
      </c>
      <c r="C488" s="24">
        <v>79</v>
      </c>
      <c r="E488" s="4">
        <v>403908</v>
      </c>
      <c r="F488" s="2" t="s">
        <v>2</v>
      </c>
      <c r="G488" s="2" t="str">
        <f t="shared" si="59"/>
        <v>https://www.oreht.ru/modules.php?name=orehtPriceLS&amp;op=Search&amp;page=1&amp;stext=403908</v>
      </c>
      <c r="I488">
        <v>403908</v>
      </c>
      <c r="J488" t="s">
        <v>2</v>
      </c>
      <c r="K488" t="s">
        <v>1580</v>
      </c>
      <c r="L488" t="s">
        <v>1581</v>
      </c>
      <c r="M488" t="s">
        <v>1582</v>
      </c>
    </row>
    <row r="489" spans="1:13" x14ac:dyDescent="0.25">
      <c r="A489" s="24">
        <f t="shared" si="60"/>
        <v>20</v>
      </c>
      <c r="B489" s="24">
        <v>12</v>
      </c>
      <c r="C489" s="24">
        <v>79</v>
      </c>
      <c r="E489" s="4">
        <v>350367</v>
      </c>
      <c r="F489" s="2" t="s">
        <v>2</v>
      </c>
      <c r="G489" s="2" t="str">
        <f t="shared" si="59"/>
        <v>https://www.oreht.ru/modules.php?name=orehtPriceLS&amp;op=Search&amp;page=1&amp;stext=350367</v>
      </c>
      <c r="I489">
        <v>350367</v>
      </c>
      <c r="J489" t="s">
        <v>2</v>
      </c>
      <c r="K489" t="s">
        <v>1583</v>
      </c>
      <c r="L489" t="s">
        <v>1584</v>
      </c>
      <c r="M489" t="s">
        <v>649</v>
      </c>
    </row>
    <row r="490" spans="1:13" hidden="1" x14ac:dyDescent="0.25">
      <c r="A490" s="24">
        <f t="shared" si="60"/>
        <v>20</v>
      </c>
      <c r="B490" s="24">
        <v>12</v>
      </c>
      <c r="C490" s="24">
        <v>64.38</v>
      </c>
      <c r="E490" s="4">
        <v>195814</v>
      </c>
      <c r="F490" s="2" t="s">
        <v>2</v>
      </c>
      <c r="G490" s="2" t="str">
        <f t="shared" si="59"/>
        <v>https://www.oreht.ru/modules.php?name=orehtPriceLS&amp;op=Search&amp;page=1&amp;stext=195814</v>
      </c>
      <c r="I490">
        <v>195814</v>
      </c>
      <c r="J490" t="s">
        <v>2</v>
      </c>
      <c r="K490" t="s">
        <v>1585</v>
      </c>
      <c r="L490" t="s">
        <v>1586</v>
      </c>
      <c r="M490" t="s">
        <v>1587</v>
      </c>
    </row>
    <row r="491" spans="1:13" hidden="1" x14ac:dyDescent="0.25">
      <c r="A491" s="24">
        <f t="shared" si="60"/>
        <v>20</v>
      </c>
      <c r="B491" s="24">
        <v>12</v>
      </c>
      <c r="C491" s="24">
        <v>50.95</v>
      </c>
      <c r="E491" s="4">
        <v>314940</v>
      </c>
      <c r="F491" s="2" t="s">
        <v>2</v>
      </c>
      <c r="G491" s="2" t="str">
        <f t="shared" si="59"/>
        <v>https://www.oreht.ru/modules.php?name=orehtPriceLS&amp;op=Search&amp;page=1&amp;stext=314940</v>
      </c>
      <c r="I491">
        <v>314940</v>
      </c>
      <c r="J491" t="s">
        <v>2</v>
      </c>
      <c r="K491" t="s">
        <v>1588</v>
      </c>
      <c r="L491" t="s">
        <v>1589</v>
      </c>
      <c r="M491" t="s">
        <v>1590</v>
      </c>
    </row>
    <row r="492" spans="1:13" x14ac:dyDescent="0.25">
      <c r="A492" s="24">
        <f t="shared" si="60"/>
        <v>20</v>
      </c>
      <c r="B492" s="24">
        <v>12</v>
      </c>
      <c r="C492" s="24">
        <v>65</v>
      </c>
      <c r="E492" s="4">
        <v>389530</v>
      </c>
      <c r="F492" s="2" t="s">
        <v>2</v>
      </c>
      <c r="G492" s="2" t="str">
        <f t="shared" si="59"/>
        <v>https://www.oreht.ru/modules.php?name=orehtPriceLS&amp;op=Search&amp;page=1&amp;stext=389530</v>
      </c>
      <c r="I492">
        <v>389530</v>
      </c>
      <c r="J492" t="s">
        <v>2</v>
      </c>
      <c r="K492" t="s">
        <v>1591</v>
      </c>
      <c r="L492" t="s">
        <v>1592</v>
      </c>
      <c r="M492" t="s">
        <v>649</v>
      </c>
    </row>
    <row r="493" spans="1:13" x14ac:dyDescent="0.25">
      <c r="A493" s="24">
        <f t="shared" si="60"/>
        <v>20</v>
      </c>
      <c r="B493" s="24">
        <v>12</v>
      </c>
      <c r="C493" s="24">
        <v>55.75</v>
      </c>
      <c r="E493" s="4">
        <v>432634</v>
      </c>
      <c r="F493" s="2" t="s">
        <v>2</v>
      </c>
      <c r="G493" s="2" t="str">
        <f t="shared" si="59"/>
        <v>https://www.oreht.ru/modules.php?name=orehtPriceLS&amp;op=Search&amp;page=1&amp;stext=432634</v>
      </c>
      <c r="I493">
        <v>432634</v>
      </c>
      <c r="J493" t="s">
        <v>2</v>
      </c>
      <c r="K493" t="s">
        <v>1593</v>
      </c>
      <c r="L493" t="s">
        <v>1594</v>
      </c>
      <c r="M493" t="s">
        <v>649</v>
      </c>
    </row>
    <row r="494" spans="1:13" hidden="1" x14ac:dyDescent="0.25">
      <c r="A494" s="24">
        <f t="shared" si="60"/>
        <v>20</v>
      </c>
      <c r="B494" s="24">
        <v>12</v>
      </c>
      <c r="C494" s="24">
        <v>60.95</v>
      </c>
      <c r="E494" s="4">
        <v>259779</v>
      </c>
      <c r="F494" s="2" t="s">
        <v>2</v>
      </c>
      <c r="G494" s="2" t="str">
        <f t="shared" si="59"/>
        <v>https://www.oreht.ru/modules.php?name=orehtPriceLS&amp;op=Search&amp;page=1&amp;stext=259779</v>
      </c>
      <c r="I494">
        <v>259779</v>
      </c>
      <c r="J494" t="s">
        <v>2</v>
      </c>
      <c r="K494" t="s">
        <v>1595</v>
      </c>
      <c r="L494" t="s">
        <v>1596</v>
      </c>
      <c r="M494" t="s">
        <v>1597</v>
      </c>
    </row>
    <row r="495" spans="1:13" hidden="1" x14ac:dyDescent="0.25">
      <c r="A495" s="24">
        <f t="shared" si="60"/>
        <v>20</v>
      </c>
      <c r="B495" s="24">
        <v>12</v>
      </c>
      <c r="C495" s="24">
        <v>71</v>
      </c>
      <c r="E495" s="4">
        <v>338092</v>
      </c>
      <c r="F495" s="2" t="s">
        <v>2</v>
      </c>
      <c r="G495" s="2" t="str">
        <f t="shared" si="59"/>
        <v>https://www.oreht.ru/modules.php?name=orehtPriceLS&amp;op=Search&amp;page=1&amp;stext=338092</v>
      </c>
      <c r="I495">
        <v>338092</v>
      </c>
      <c r="J495" t="s">
        <v>2</v>
      </c>
      <c r="K495" t="s">
        <v>1598</v>
      </c>
      <c r="L495" t="s">
        <v>1599</v>
      </c>
      <c r="M495" t="s">
        <v>1600</v>
      </c>
    </row>
    <row r="496" spans="1:13" x14ac:dyDescent="0.25">
      <c r="A496" s="24">
        <f t="shared" si="60"/>
        <v>20</v>
      </c>
      <c r="B496" s="24">
        <v>12</v>
      </c>
      <c r="C496" s="24">
        <v>51.05</v>
      </c>
      <c r="E496" s="4">
        <v>395485</v>
      </c>
      <c r="F496" s="2" t="s">
        <v>2</v>
      </c>
      <c r="G496" s="2" t="str">
        <f t="shared" si="59"/>
        <v>https://www.oreht.ru/modules.php?name=orehtPriceLS&amp;op=Search&amp;page=1&amp;stext=395485</v>
      </c>
      <c r="I496">
        <v>395485</v>
      </c>
      <c r="J496" t="s">
        <v>2</v>
      </c>
      <c r="K496" t="s">
        <v>1601</v>
      </c>
      <c r="L496" t="s">
        <v>1602</v>
      </c>
      <c r="M496" t="s">
        <v>649</v>
      </c>
    </row>
    <row r="497" spans="1:13" hidden="1" x14ac:dyDescent="0.25">
      <c r="A497" s="24">
        <f t="shared" si="60"/>
        <v>20</v>
      </c>
      <c r="B497" s="24">
        <v>12</v>
      </c>
      <c r="C497" s="24">
        <v>51.65</v>
      </c>
      <c r="E497" s="4">
        <v>375906</v>
      </c>
      <c r="F497" s="2" t="s">
        <v>2</v>
      </c>
      <c r="G497" s="2" t="str">
        <f t="shared" si="59"/>
        <v>https://www.oreht.ru/modules.php?name=orehtPriceLS&amp;op=Search&amp;page=1&amp;stext=375906</v>
      </c>
      <c r="I497">
        <v>375906</v>
      </c>
      <c r="J497" t="s">
        <v>2</v>
      </c>
      <c r="K497" t="s">
        <v>1603</v>
      </c>
      <c r="L497" t="s">
        <v>1604</v>
      </c>
      <c r="M497" t="s">
        <v>1605</v>
      </c>
    </row>
    <row r="498" spans="1:13" hidden="1" x14ac:dyDescent="0.25">
      <c r="A498" s="24">
        <f t="shared" si="60"/>
        <v>20</v>
      </c>
      <c r="B498" s="24">
        <v>12</v>
      </c>
      <c r="C498" s="24">
        <v>120</v>
      </c>
      <c r="E498" s="4">
        <v>314393</v>
      </c>
      <c r="F498" s="2" t="s">
        <v>2</v>
      </c>
      <c r="G498" s="2" t="str">
        <f t="shared" si="59"/>
        <v>https://www.oreht.ru/modules.php?name=orehtPriceLS&amp;op=Search&amp;page=1&amp;stext=314393</v>
      </c>
      <c r="I498">
        <v>314393</v>
      </c>
      <c r="J498" t="s">
        <v>2</v>
      </c>
      <c r="K498" t="s">
        <v>1606</v>
      </c>
      <c r="L498" t="s">
        <v>1607</v>
      </c>
      <c r="M498" t="s">
        <v>1608</v>
      </c>
    </row>
    <row r="499" spans="1:13" x14ac:dyDescent="0.25">
      <c r="A499" s="24">
        <f t="shared" si="60"/>
        <v>20</v>
      </c>
      <c r="B499" s="24">
        <v>12</v>
      </c>
      <c r="C499" s="24">
        <v>56</v>
      </c>
      <c r="E499" s="4">
        <v>415935</v>
      </c>
      <c r="F499" s="2" t="s">
        <v>2</v>
      </c>
      <c r="G499" s="2" t="str">
        <f t="shared" si="59"/>
        <v>https://www.oreht.ru/modules.php?name=orehtPriceLS&amp;op=Search&amp;page=1&amp;stext=415935</v>
      </c>
      <c r="I499">
        <v>415935</v>
      </c>
      <c r="J499" t="s">
        <v>2</v>
      </c>
      <c r="K499" t="s">
        <v>1609</v>
      </c>
      <c r="L499" t="s">
        <v>1610</v>
      </c>
      <c r="M499" t="s">
        <v>649</v>
      </c>
    </row>
    <row r="500" spans="1:13" hidden="1" x14ac:dyDescent="0.25">
      <c r="A500" s="24">
        <f t="shared" si="60"/>
        <v>20</v>
      </c>
      <c r="B500" s="24">
        <v>12</v>
      </c>
      <c r="C500" s="24">
        <v>62.16</v>
      </c>
      <c r="E500" s="4">
        <v>429751</v>
      </c>
      <c r="F500" s="2" t="s">
        <v>2</v>
      </c>
      <c r="G500" s="2" t="str">
        <f t="shared" si="59"/>
        <v>https://www.oreht.ru/modules.php?name=orehtPriceLS&amp;op=Search&amp;page=1&amp;stext=429751</v>
      </c>
      <c r="I500">
        <v>429751</v>
      </c>
      <c r="J500" t="s">
        <v>2</v>
      </c>
      <c r="K500" t="s">
        <v>1611</v>
      </c>
      <c r="L500" t="s">
        <v>1612</v>
      </c>
      <c r="M500" t="s">
        <v>1613</v>
      </c>
    </row>
    <row r="501" spans="1:13" hidden="1" x14ac:dyDescent="0.25">
      <c r="A501" s="24">
        <f t="shared" si="60"/>
        <v>20</v>
      </c>
      <c r="B501" s="24">
        <v>12</v>
      </c>
      <c r="C501" s="24">
        <v>50.95</v>
      </c>
      <c r="E501" s="4">
        <v>424051</v>
      </c>
      <c r="F501" s="2" t="s">
        <v>2</v>
      </c>
      <c r="G501" s="2" t="str">
        <f t="shared" si="59"/>
        <v>https://www.oreht.ru/modules.php?name=orehtPriceLS&amp;op=Search&amp;page=1&amp;stext=424051</v>
      </c>
      <c r="I501">
        <v>424051</v>
      </c>
      <c r="J501" t="s">
        <v>2</v>
      </c>
      <c r="K501" t="s">
        <v>1614</v>
      </c>
      <c r="L501" t="s">
        <v>1615</v>
      </c>
      <c r="M501" t="s">
        <v>1616</v>
      </c>
    </row>
    <row r="502" spans="1:13" hidden="1" x14ac:dyDescent="0.25">
      <c r="A502" s="24">
        <f t="shared" si="60"/>
        <v>20</v>
      </c>
      <c r="B502" s="24">
        <v>10</v>
      </c>
      <c r="C502" s="24">
        <v>65.099999999999994</v>
      </c>
      <c r="E502" s="4">
        <v>323814</v>
      </c>
      <c r="F502" s="2" t="s">
        <v>2</v>
      </c>
      <c r="G502" s="2" t="str">
        <f t="shared" si="59"/>
        <v>https://www.oreht.ru/modules.php?name=orehtPriceLS&amp;op=Search&amp;page=1&amp;stext=323814</v>
      </c>
      <c r="I502">
        <v>323814</v>
      </c>
      <c r="J502" t="s">
        <v>2</v>
      </c>
      <c r="K502" t="s">
        <v>1617</v>
      </c>
      <c r="L502" t="s">
        <v>1618</v>
      </c>
      <c r="M502" t="s">
        <v>1619</v>
      </c>
    </row>
    <row r="503" spans="1:13" hidden="1" x14ac:dyDescent="0.25">
      <c r="A503" s="24">
        <f t="shared" si="60"/>
        <v>20</v>
      </c>
      <c r="B503" s="24">
        <v>12</v>
      </c>
      <c r="C503" s="24">
        <v>46.45</v>
      </c>
      <c r="E503" s="4">
        <v>429742</v>
      </c>
      <c r="F503" s="2" t="s">
        <v>2</v>
      </c>
      <c r="G503" s="2" t="str">
        <f t="shared" si="59"/>
        <v>https://www.oreht.ru/modules.php?name=orehtPriceLS&amp;op=Search&amp;page=1&amp;stext=429742</v>
      </c>
      <c r="I503">
        <v>429742</v>
      </c>
      <c r="J503" t="s">
        <v>2</v>
      </c>
      <c r="K503" t="s">
        <v>1620</v>
      </c>
      <c r="L503" t="s">
        <v>1621</v>
      </c>
      <c r="M503" t="s">
        <v>1622</v>
      </c>
    </row>
    <row r="504" spans="1:13" hidden="1" x14ac:dyDescent="0.25">
      <c r="A504" s="24">
        <f t="shared" si="60"/>
        <v>20</v>
      </c>
      <c r="B504" s="24">
        <v>12</v>
      </c>
      <c r="C504" s="24">
        <v>65.16</v>
      </c>
      <c r="E504" s="4">
        <v>163684</v>
      </c>
      <c r="F504" s="2" t="s">
        <v>2</v>
      </c>
      <c r="G504" s="2" t="str">
        <f t="shared" si="59"/>
        <v>https://www.oreht.ru/modules.php?name=orehtPriceLS&amp;op=Search&amp;page=1&amp;stext=163684</v>
      </c>
      <c r="I504">
        <v>163684</v>
      </c>
      <c r="J504" t="s">
        <v>2</v>
      </c>
      <c r="K504" t="s">
        <v>1623</v>
      </c>
      <c r="L504" t="s">
        <v>1624</v>
      </c>
      <c r="M504" t="s">
        <v>1625</v>
      </c>
    </row>
    <row r="505" spans="1:13" hidden="1" x14ac:dyDescent="0.25">
      <c r="A505" s="24">
        <f t="shared" si="60"/>
        <v>20</v>
      </c>
      <c r="B505" s="24">
        <v>12</v>
      </c>
      <c r="C505" s="24">
        <v>52.15</v>
      </c>
      <c r="E505" s="4">
        <v>105456</v>
      </c>
      <c r="F505" s="2" t="s">
        <v>2</v>
      </c>
      <c r="G505" s="2" t="str">
        <f t="shared" si="59"/>
        <v>https://www.oreht.ru/modules.php?name=orehtPriceLS&amp;op=Search&amp;page=1&amp;stext=105456</v>
      </c>
      <c r="I505">
        <v>105456</v>
      </c>
      <c r="J505" t="s">
        <v>2</v>
      </c>
      <c r="K505" t="s">
        <v>1626</v>
      </c>
      <c r="L505" t="s">
        <v>1627</v>
      </c>
      <c r="M505" t="s">
        <v>1628</v>
      </c>
    </row>
    <row r="506" spans="1:13" x14ac:dyDescent="0.25">
      <c r="A506" s="24">
        <f t="shared" si="60"/>
        <v>20</v>
      </c>
      <c r="B506" s="24">
        <v>12</v>
      </c>
      <c r="C506" s="24">
        <v>79</v>
      </c>
      <c r="E506" s="4">
        <v>344480</v>
      </c>
      <c r="F506" s="2" t="s">
        <v>2</v>
      </c>
      <c r="G506" s="2" t="str">
        <f t="shared" si="59"/>
        <v>https://www.oreht.ru/modules.php?name=orehtPriceLS&amp;op=Search&amp;page=1&amp;stext=344480</v>
      </c>
      <c r="I506">
        <v>344480</v>
      </c>
      <c r="J506" t="s">
        <v>2</v>
      </c>
      <c r="K506" t="s">
        <v>1629</v>
      </c>
      <c r="L506" t="s">
        <v>1630</v>
      </c>
      <c r="M506" t="s">
        <v>649</v>
      </c>
    </row>
    <row r="507" spans="1:13" hidden="1" x14ac:dyDescent="0.25">
      <c r="A507" s="24">
        <f t="shared" si="60"/>
        <v>20</v>
      </c>
      <c r="B507" s="24">
        <v>12</v>
      </c>
      <c r="C507" s="24">
        <v>65</v>
      </c>
      <c r="E507" s="4">
        <v>231312</v>
      </c>
      <c r="F507" s="2" t="s">
        <v>2</v>
      </c>
      <c r="G507" s="2" t="str">
        <f t="shared" si="59"/>
        <v>https://www.oreht.ru/modules.php?name=orehtPriceLS&amp;op=Search&amp;page=1&amp;stext=231312</v>
      </c>
      <c r="I507">
        <v>231312</v>
      </c>
      <c r="J507" t="s">
        <v>2</v>
      </c>
      <c r="K507" t="s">
        <v>1631</v>
      </c>
      <c r="L507" t="s">
        <v>1632</v>
      </c>
      <c r="M507" t="s">
        <v>1633</v>
      </c>
    </row>
    <row r="508" spans="1:13" hidden="1" x14ac:dyDescent="0.25">
      <c r="A508" s="24">
        <f t="shared" si="60"/>
        <v>20</v>
      </c>
      <c r="B508" s="24">
        <v>12</v>
      </c>
      <c r="C508" s="24">
        <v>74.099999999999994</v>
      </c>
      <c r="E508" s="4">
        <v>124553</v>
      </c>
      <c r="F508" s="2" t="s">
        <v>2</v>
      </c>
      <c r="G508" s="2" t="str">
        <f t="shared" si="59"/>
        <v>https://www.oreht.ru/modules.php?name=orehtPriceLS&amp;op=Search&amp;page=1&amp;stext=124553</v>
      </c>
      <c r="I508">
        <v>124553</v>
      </c>
      <c r="J508" t="s">
        <v>2</v>
      </c>
      <c r="K508" t="s">
        <v>1634</v>
      </c>
      <c r="L508" t="s">
        <v>1635</v>
      </c>
      <c r="M508" t="s">
        <v>1636</v>
      </c>
    </row>
    <row r="509" spans="1:13" hidden="1" x14ac:dyDescent="0.25">
      <c r="A509" s="24">
        <f t="shared" si="60"/>
        <v>20</v>
      </c>
      <c r="B509" s="24">
        <v>12</v>
      </c>
      <c r="C509" s="24">
        <v>71</v>
      </c>
      <c r="E509" s="4">
        <v>273576</v>
      </c>
      <c r="F509" s="2" t="s">
        <v>2</v>
      </c>
      <c r="G509" s="2" t="str">
        <f t="shared" si="59"/>
        <v>https://www.oreht.ru/modules.php?name=orehtPriceLS&amp;op=Search&amp;page=1&amp;stext=273576</v>
      </c>
      <c r="I509">
        <v>273576</v>
      </c>
      <c r="J509" t="s">
        <v>2</v>
      </c>
      <c r="K509" t="s">
        <v>1637</v>
      </c>
      <c r="L509" t="s">
        <v>1638</v>
      </c>
      <c r="M509" t="s">
        <v>1639</v>
      </c>
    </row>
    <row r="510" spans="1:13" hidden="1" x14ac:dyDescent="0.25">
      <c r="A510" s="24">
        <f t="shared" si="60"/>
        <v>20</v>
      </c>
      <c r="B510" s="24">
        <v>12</v>
      </c>
      <c r="C510" s="24">
        <v>79</v>
      </c>
      <c r="E510" s="4">
        <v>118087</v>
      </c>
      <c r="F510" s="2" t="s">
        <v>2</v>
      </c>
      <c r="G510" s="2" t="str">
        <f t="shared" si="59"/>
        <v>https://www.oreht.ru/modules.php?name=orehtPriceLS&amp;op=Search&amp;page=1&amp;stext=118087</v>
      </c>
      <c r="I510">
        <v>118087</v>
      </c>
      <c r="J510" t="s">
        <v>2</v>
      </c>
      <c r="K510" t="s">
        <v>1640</v>
      </c>
      <c r="L510" t="s">
        <v>1641</v>
      </c>
      <c r="M510" t="s">
        <v>1642</v>
      </c>
    </row>
    <row r="511" spans="1:13" x14ac:dyDescent="0.25">
      <c r="A511" s="24">
        <f t="shared" si="60"/>
        <v>20</v>
      </c>
      <c r="B511" s="24">
        <v>12</v>
      </c>
      <c r="C511" s="24">
        <v>69</v>
      </c>
      <c r="E511" s="4">
        <v>371904</v>
      </c>
      <c r="F511" s="2" t="s">
        <v>2</v>
      </c>
      <c r="G511" s="2" t="str">
        <f t="shared" si="59"/>
        <v>https://www.oreht.ru/modules.php?name=orehtPriceLS&amp;op=Search&amp;page=1&amp;stext=371904</v>
      </c>
      <c r="I511">
        <v>371904</v>
      </c>
      <c r="J511" t="s">
        <v>2</v>
      </c>
      <c r="K511" t="s">
        <v>1643</v>
      </c>
      <c r="L511" t="s">
        <v>1644</v>
      </c>
      <c r="M511" t="s">
        <v>649</v>
      </c>
    </row>
    <row r="512" spans="1:13" hidden="1" x14ac:dyDescent="0.25">
      <c r="A512" s="24">
        <f t="shared" si="60"/>
        <v>20</v>
      </c>
      <c r="B512" s="24">
        <v>12</v>
      </c>
      <c r="C512" s="24">
        <v>52.25</v>
      </c>
      <c r="E512" s="4">
        <v>377144</v>
      </c>
      <c r="F512" s="2" t="s">
        <v>2</v>
      </c>
      <c r="G512" s="2" t="str">
        <f t="shared" si="59"/>
        <v>https://www.oreht.ru/modules.php?name=orehtPriceLS&amp;op=Search&amp;page=1&amp;stext=377144</v>
      </c>
      <c r="I512">
        <v>377144</v>
      </c>
      <c r="J512" t="s">
        <v>2</v>
      </c>
      <c r="K512" t="s">
        <v>1645</v>
      </c>
      <c r="L512" t="s">
        <v>1646</v>
      </c>
      <c r="M512" t="s">
        <v>1647</v>
      </c>
    </row>
    <row r="513" spans="1:13" hidden="1" x14ac:dyDescent="0.25">
      <c r="A513" s="24">
        <f t="shared" si="60"/>
        <v>20</v>
      </c>
      <c r="B513" s="24">
        <v>12</v>
      </c>
      <c r="C513" s="24">
        <v>52</v>
      </c>
      <c r="E513" s="4">
        <v>272685</v>
      </c>
      <c r="F513" s="2" t="s">
        <v>2</v>
      </c>
      <c r="G513" s="2" t="str">
        <f t="shared" si="59"/>
        <v>https://www.oreht.ru/modules.php?name=orehtPriceLS&amp;op=Search&amp;page=1&amp;stext=272685</v>
      </c>
      <c r="I513">
        <v>272685</v>
      </c>
      <c r="J513" t="s">
        <v>2</v>
      </c>
      <c r="K513" t="s">
        <v>1648</v>
      </c>
      <c r="L513" t="s">
        <v>1649</v>
      </c>
      <c r="M513" t="s">
        <v>1650</v>
      </c>
    </row>
    <row r="514" spans="1:13" hidden="1" x14ac:dyDescent="0.25">
      <c r="A514" s="24">
        <f t="shared" si="60"/>
        <v>20</v>
      </c>
      <c r="B514" s="24">
        <v>12</v>
      </c>
      <c r="C514" s="24">
        <v>65.400000000000006</v>
      </c>
      <c r="E514" s="4">
        <v>258535</v>
      </c>
      <c r="F514" s="2" t="s">
        <v>2</v>
      </c>
      <c r="G514" s="2" t="str">
        <f t="shared" ref="G514:G577" si="61">HYPERLINK(F514&amp;E514)</f>
        <v>https://www.oreht.ru/modules.php?name=orehtPriceLS&amp;op=Search&amp;page=1&amp;stext=258535</v>
      </c>
      <c r="I514">
        <v>258535</v>
      </c>
      <c r="J514" t="s">
        <v>2</v>
      </c>
      <c r="K514" t="s">
        <v>1651</v>
      </c>
      <c r="L514" t="s">
        <v>1652</v>
      </c>
      <c r="M514" t="s">
        <v>1653</v>
      </c>
    </row>
    <row r="515" spans="1:13" x14ac:dyDescent="0.25">
      <c r="A515" s="24">
        <f t="shared" si="60"/>
        <v>20</v>
      </c>
      <c r="B515" s="24">
        <v>12</v>
      </c>
      <c r="C515" s="24">
        <v>69.12</v>
      </c>
      <c r="E515" s="4">
        <v>379360</v>
      </c>
      <c r="F515" s="2" t="s">
        <v>2</v>
      </c>
      <c r="G515" s="2" t="str">
        <f t="shared" si="61"/>
        <v>https://www.oreht.ru/modules.php?name=orehtPriceLS&amp;op=Search&amp;page=1&amp;stext=379360</v>
      </c>
      <c r="I515">
        <v>379360</v>
      </c>
      <c r="J515" t="s">
        <v>2</v>
      </c>
      <c r="K515" t="s">
        <v>1654</v>
      </c>
      <c r="L515" t="s">
        <v>1655</v>
      </c>
      <c r="M515" t="s">
        <v>649</v>
      </c>
    </row>
    <row r="516" spans="1:13" x14ac:dyDescent="0.25">
      <c r="A516" s="24">
        <f t="shared" si="60"/>
        <v>20</v>
      </c>
      <c r="B516" s="24">
        <v>10</v>
      </c>
      <c r="C516" s="24">
        <v>79</v>
      </c>
      <c r="E516" s="4">
        <v>294933</v>
      </c>
      <c r="F516" s="2" t="s">
        <v>2</v>
      </c>
      <c r="G516" s="2" t="str">
        <f t="shared" si="61"/>
        <v>https://www.oreht.ru/modules.php?name=orehtPriceLS&amp;op=Search&amp;page=1&amp;stext=294933</v>
      </c>
      <c r="I516">
        <v>294933</v>
      </c>
      <c r="J516" t="s">
        <v>2</v>
      </c>
      <c r="K516" t="s">
        <v>1656</v>
      </c>
      <c r="L516" t="s">
        <v>1657</v>
      </c>
      <c r="M516" t="s">
        <v>649</v>
      </c>
    </row>
    <row r="517" spans="1:13" hidden="1" x14ac:dyDescent="0.25">
      <c r="A517" s="24">
        <f t="shared" ref="A517:A580" si="62">IF(W517*0.05&gt;=250,250,IF(W517*0.05&gt;=20,IF(W517*0.05&lt;20,20,W517*0.05),20))</f>
        <v>20</v>
      </c>
      <c r="B517" s="24">
        <v>12</v>
      </c>
      <c r="C517" s="24">
        <v>63.78</v>
      </c>
      <c r="E517" s="4">
        <v>409103</v>
      </c>
      <c r="F517" s="2" t="s">
        <v>2</v>
      </c>
      <c r="G517" s="2" t="str">
        <f t="shared" si="61"/>
        <v>https://www.oreht.ru/modules.php?name=orehtPriceLS&amp;op=Search&amp;page=1&amp;stext=409103</v>
      </c>
      <c r="I517">
        <v>409103</v>
      </c>
      <c r="J517" t="s">
        <v>2</v>
      </c>
      <c r="K517" t="s">
        <v>1658</v>
      </c>
      <c r="L517" t="s">
        <v>1659</v>
      </c>
      <c r="M517" t="s">
        <v>1660</v>
      </c>
    </row>
    <row r="518" spans="1:13" x14ac:dyDescent="0.25">
      <c r="A518" s="24">
        <f t="shared" si="62"/>
        <v>20</v>
      </c>
      <c r="B518" s="24">
        <v>12</v>
      </c>
      <c r="C518" s="24">
        <v>160</v>
      </c>
      <c r="E518" s="4">
        <v>293158</v>
      </c>
      <c r="F518" s="2" t="s">
        <v>2</v>
      </c>
      <c r="G518" s="2" t="str">
        <f t="shared" si="61"/>
        <v>https://www.oreht.ru/modules.php?name=orehtPriceLS&amp;op=Search&amp;page=1&amp;stext=293158</v>
      </c>
      <c r="I518">
        <v>293158</v>
      </c>
      <c r="J518" t="s">
        <v>2</v>
      </c>
      <c r="K518" t="s">
        <v>1661</v>
      </c>
      <c r="L518" t="s">
        <v>1662</v>
      </c>
      <c r="M518" t="s">
        <v>649</v>
      </c>
    </row>
    <row r="519" spans="1:13" hidden="1" x14ac:dyDescent="0.25">
      <c r="A519" s="24">
        <f t="shared" si="62"/>
        <v>20</v>
      </c>
      <c r="B519" s="24">
        <v>12</v>
      </c>
      <c r="C519" s="24">
        <v>100</v>
      </c>
      <c r="E519" s="4">
        <v>105388</v>
      </c>
      <c r="F519" s="2" t="s">
        <v>2</v>
      </c>
      <c r="G519" s="2" t="str">
        <f t="shared" si="61"/>
        <v>https://www.oreht.ru/modules.php?name=orehtPriceLS&amp;op=Search&amp;page=1&amp;stext=105388</v>
      </c>
      <c r="I519">
        <v>105388</v>
      </c>
      <c r="J519" t="s">
        <v>2</v>
      </c>
      <c r="K519" t="s">
        <v>1663</v>
      </c>
      <c r="L519" t="s">
        <v>1664</v>
      </c>
      <c r="M519" t="s">
        <v>1665</v>
      </c>
    </row>
    <row r="520" spans="1:13" hidden="1" x14ac:dyDescent="0.25">
      <c r="A520" s="24">
        <f t="shared" si="62"/>
        <v>20</v>
      </c>
      <c r="B520" s="24">
        <v>12</v>
      </c>
      <c r="C520" s="24">
        <v>69</v>
      </c>
      <c r="E520" s="4">
        <v>434818</v>
      </c>
      <c r="F520" s="2" t="s">
        <v>2</v>
      </c>
      <c r="G520" s="2" t="str">
        <f t="shared" si="61"/>
        <v>https://www.oreht.ru/modules.php?name=orehtPriceLS&amp;op=Search&amp;page=1&amp;stext=434818</v>
      </c>
      <c r="I520">
        <v>434818</v>
      </c>
      <c r="J520" t="s">
        <v>2</v>
      </c>
      <c r="K520" t="s">
        <v>1666</v>
      </c>
      <c r="L520" t="s">
        <v>1667</v>
      </c>
      <c r="M520" t="s">
        <v>1668</v>
      </c>
    </row>
    <row r="521" spans="1:13" hidden="1" x14ac:dyDescent="0.25">
      <c r="A521" s="24">
        <f t="shared" si="62"/>
        <v>20</v>
      </c>
      <c r="B521" s="24">
        <v>12</v>
      </c>
      <c r="C521" s="24">
        <v>52.7</v>
      </c>
      <c r="E521" s="4">
        <v>428587</v>
      </c>
      <c r="F521" s="2" t="s">
        <v>2</v>
      </c>
      <c r="G521" s="2" t="str">
        <f t="shared" si="61"/>
        <v>https://www.oreht.ru/modules.php?name=orehtPriceLS&amp;op=Search&amp;page=1&amp;stext=428587</v>
      </c>
      <c r="I521">
        <v>428587</v>
      </c>
      <c r="J521" t="s">
        <v>2</v>
      </c>
      <c r="K521" t="s">
        <v>1669</v>
      </c>
      <c r="L521" t="s">
        <v>1670</v>
      </c>
      <c r="M521" t="s">
        <v>1671</v>
      </c>
    </row>
    <row r="522" spans="1:13" hidden="1" x14ac:dyDescent="0.25">
      <c r="A522" s="24">
        <f t="shared" si="62"/>
        <v>20</v>
      </c>
      <c r="B522" s="24">
        <v>12</v>
      </c>
      <c r="C522" s="24">
        <v>52.15</v>
      </c>
      <c r="E522" s="4">
        <v>421409</v>
      </c>
      <c r="F522" s="2" t="s">
        <v>2</v>
      </c>
      <c r="G522" s="2" t="str">
        <f t="shared" si="61"/>
        <v>https://www.oreht.ru/modules.php?name=orehtPriceLS&amp;op=Search&amp;page=1&amp;stext=421409</v>
      </c>
      <c r="I522">
        <v>421409</v>
      </c>
      <c r="J522" t="s">
        <v>2</v>
      </c>
      <c r="K522" t="s">
        <v>1672</v>
      </c>
      <c r="L522" t="s">
        <v>1673</v>
      </c>
      <c r="M522" t="s">
        <v>1671</v>
      </c>
    </row>
    <row r="523" spans="1:13" hidden="1" x14ac:dyDescent="0.25">
      <c r="A523" s="24">
        <f t="shared" si="62"/>
        <v>20</v>
      </c>
      <c r="B523" s="24">
        <v>12</v>
      </c>
      <c r="C523" s="24">
        <v>54.5</v>
      </c>
      <c r="E523" s="4">
        <v>402790</v>
      </c>
      <c r="F523" s="2" t="s">
        <v>2</v>
      </c>
      <c r="G523" s="2" t="str">
        <f t="shared" si="61"/>
        <v>https://www.oreht.ru/modules.php?name=orehtPriceLS&amp;op=Search&amp;page=1&amp;stext=402790</v>
      </c>
      <c r="I523">
        <v>402790</v>
      </c>
      <c r="J523" t="s">
        <v>2</v>
      </c>
      <c r="K523" t="s">
        <v>1674</v>
      </c>
      <c r="L523" t="s">
        <v>1675</v>
      </c>
      <c r="M523" t="s">
        <v>1671</v>
      </c>
    </row>
    <row r="524" spans="1:13" hidden="1" x14ac:dyDescent="0.25">
      <c r="A524" s="24">
        <f t="shared" si="62"/>
        <v>20</v>
      </c>
      <c r="B524" s="24">
        <v>11</v>
      </c>
      <c r="C524" s="24">
        <v>79</v>
      </c>
      <c r="E524" s="4">
        <v>410541</v>
      </c>
      <c r="F524" s="2" t="s">
        <v>2</v>
      </c>
      <c r="G524" s="2" t="str">
        <f t="shared" si="61"/>
        <v>https://www.oreht.ru/modules.php?name=orehtPriceLS&amp;op=Search&amp;page=1&amp;stext=410541</v>
      </c>
      <c r="I524">
        <v>410541</v>
      </c>
      <c r="J524" t="s">
        <v>2</v>
      </c>
      <c r="K524" t="s">
        <v>1676</v>
      </c>
      <c r="L524" t="s">
        <v>1677</v>
      </c>
      <c r="M524" t="s">
        <v>1678</v>
      </c>
    </row>
    <row r="525" spans="1:13" hidden="1" x14ac:dyDescent="0.25">
      <c r="A525" s="24">
        <f t="shared" si="62"/>
        <v>20</v>
      </c>
      <c r="B525" s="24">
        <v>12</v>
      </c>
      <c r="C525" s="24">
        <v>53.65</v>
      </c>
      <c r="E525" s="4">
        <v>278207</v>
      </c>
      <c r="F525" s="2" t="s">
        <v>2</v>
      </c>
      <c r="G525" s="2" t="str">
        <f t="shared" si="61"/>
        <v>https://www.oreht.ru/modules.php?name=orehtPriceLS&amp;op=Search&amp;page=1&amp;stext=278207</v>
      </c>
      <c r="I525">
        <v>278207</v>
      </c>
      <c r="J525" t="s">
        <v>2</v>
      </c>
      <c r="K525" t="s">
        <v>1679</v>
      </c>
      <c r="L525" t="s">
        <v>1680</v>
      </c>
      <c r="M525" t="s">
        <v>1681</v>
      </c>
    </row>
    <row r="526" spans="1:13" hidden="1" x14ac:dyDescent="0.25">
      <c r="A526" s="24">
        <f t="shared" si="62"/>
        <v>20</v>
      </c>
      <c r="B526" s="24">
        <v>12</v>
      </c>
      <c r="C526" s="24">
        <v>51.85</v>
      </c>
      <c r="E526" s="4">
        <v>306224</v>
      </c>
      <c r="F526" s="2" t="s">
        <v>2</v>
      </c>
      <c r="G526" s="2" t="str">
        <f t="shared" si="61"/>
        <v>https://www.oreht.ru/modules.php?name=orehtPriceLS&amp;op=Search&amp;page=1&amp;stext=306224</v>
      </c>
      <c r="I526">
        <v>306224</v>
      </c>
      <c r="J526" t="s">
        <v>2</v>
      </c>
      <c r="K526" t="s">
        <v>1682</v>
      </c>
      <c r="L526" t="s">
        <v>1683</v>
      </c>
      <c r="M526" t="s">
        <v>1684</v>
      </c>
    </row>
    <row r="527" spans="1:13" hidden="1" x14ac:dyDescent="0.25">
      <c r="A527" s="24">
        <f t="shared" si="62"/>
        <v>20</v>
      </c>
      <c r="B527" s="24">
        <v>12</v>
      </c>
      <c r="C527" s="24">
        <v>52.85</v>
      </c>
      <c r="E527" s="4">
        <v>395513</v>
      </c>
      <c r="F527" s="2" t="s">
        <v>2</v>
      </c>
      <c r="G527" s="2" t="str">
        <f t="shared" si="61"/>
        <v>https://www.oreht.ru/modules.php?name=orehtPriceLS&amp;op=Search&amp;page=1&amp;stext=395513</v>
      </c>
      <c r="I527">
        <v>395513</v>
      </c>
      <c r="J527" t="s">
        <v>2</v>
      </c>
      <c r="K527" t="s">
        <v>1685</v>
      </c>
      <c r="L527" t="s">
        <v>1686</v>
      </c>
      <c r="M527" t="s">
        <v>1687</v>
      </c>
    </row>
    <row r="528" spans="1:13" x14ac:dyDescent="0.25">
      <c r="A528" s="24">
        <f t="shared" si="62"/>
        <v>20</v>
      </c>
      <c r="B528" s="24">
        <v>12</v>
      </c>
      <c r="C528" s="24">
        <v>62.34</v>
      </c>
      <c r="E528" s="4">
        <v>424043</v>
      </c>
      <c r="F528" s="2" t="s">
        <v>2</v>
      </c>
      <c r="G528" s="2" t="str">
        <f t="shared" si="61"/>
        <v>https://www.oreht.ru/modules.php?name=orehtPriceLS&amp;op=Search&amp;page=1&amp;stext=424043</v>
      </c>
      <c r="I528">
        <v>424043</v>
      </c>
      <c r="J528" t="s">
        <v>2</v>
      </c>
      <c r="K528" t="s">
        <v>1688</v>
      </c>
      <c r="L528" t="s">
        <v>1689</v>
      </c>
      <c r="M528" t="s">
        <v>649</v>
      </c>
    </row>
    <row r="529" spans="1:13" hidden="1" x14ac:dyDescent="0.25">
      <c r="A529" s="24">
        <f t="shared" si="62"/>
        <v>20</v>
      </c>
      <c r="B529" s="24">
        <v>12</v>
      </c>
      <c r="C529" s="24">
        <v>65</v>
      </c>
      <c r="E529" s="4">
        <v>349824</v>
      </c>
      <c r="F529" s="2" t="s">
        <v>2</v>
      </c>
      <c r="G529" s="2" t="str">
        <f t="shared" si="61"/>
        <v>https://www.oreht.ru/modules.php?name=orehtPriceLS&amp;op=Search&amp;page=1&amp;stext=349824</v>
      </c>
      <c r="I529">
        <v>349824</v>
      </c>
      <c r="J529" t="s">
        <v>2</v>
      </c>
      <c r="K529" t="s">
        <v>1690</v>
      </c>
      <c r="L529" t="s">
        <v>1691</v>
      </c>
      <c r="M529" t="s">
        <v>1692</v>
      </c>
    </row>
    <row r="530" spans="1:13" hidden="1" x14ac:dyDescent="0.25">
      <c r="A530" s="24">
        <f t="shared" si="62"/>
        <v>20</v>
      </c>
      <c r="B530" s="24">
        <v>12</v>
      </c>
      <c r="C530" s="24">
        <v>70</v>
      </c>
      <c r="E530" s="4">
        <v>234222</v>
      </c>
      <c r="F530" s="2" t="s">
        <v>2</v>
      </c>
      <c r="G530" s="2" t="str">
        <f t="shared" si="61"/>
        <v>https://www.oreht.ru/modules.php?name=orehtPriceLS&amp;op=Search&amp;page=1&amp;stext=234222</v>
      </c>
      <c r="I530">
        <v>234222</v>
      </c>
      <c r="J530" t="s">
        <v>2</v>
      </c>
      <c r="K530" t="s">
        <v>1693</v>
      </c>
      <c r="L530" t="s">
        <v>1694</v>
      </c>
      <c r="M530" t="s">
        <v>1695</v>
      </c>
    </row>
    <row r="531" spans="1:13" x14ac:dyDescent="0.25">
      <c r="A531" s="24">
        <f t="shared" si="62"/>
        <v>20</v>
      </c>
      <c r="B531" s="24">
        <v>12</v>
      </c>
      <c r="C531" s="24">
        <v>56.35</v>
      </c>
      <c r="E531" s="4">
        <v>423435</v>
      </c>
      <c r="F531" s="2" t="s">
        <v>2</v>
      </c>
      <c r="G531" s="2" t="str">
        <f t="shared" si="61"/>
        <v>https://www.oreht.ru/modules.php?name=orehtPriceLS&amp;op=Search&amp;page=1&amp;stext=423435</v>
      </c>
      <c r="I531">
        <v>423435</v>
      </c>
      <c r="J531" t="s">
        <v>2</v>
      </c>
      <c r="K531" t="s">
        <v>1696</v>
      </c>
      <c r="L531" t="s">
        <v>1697</v>
      </c>
      <c r="M531" t="s">
        <v>649</v>
      </c>
    </row>
    <row r="532" spans="1:13" x14ac:dyDescent="0.25">
      <c r="A532" s="24">
        <f t="shared" si="62"/>
        <v>20</v>
      </c>
      <c r="B532" s="24">
        <v>12</v>
      </c>
      <c r="C532" s="24">
        <v>57.45</v>
      </c>
      <c r="E532" s="4">
        <v>430864</v>
      </c>
      <c r="F532" s="2" t="s">
        <v>2</v>
      </c>
      <c r="G532" s="2" t="str">
        <f t="shared" si="61"/>
        <v>https://www.oreht.ru/modules.php?name=orehtPriceLS&amp;op=Search&amp;page=1&amp;stext=430864</v>
      </c>
      <c r="I532">
        <v>430864</v>
      </c>
      <c r="J532" t="s">
        <v>2</v>
      </c>
      <c r="K532" t="s">
        <v>1698</v>
      </c>
      <c r="L532" t="s">
        <v>1699</v>
      </c>
      <c r="M532" t="s">
        <v>649</v>
      </c>
    </row>
    <row r="533" spans="1:13" hidden="1" x14ac:dyDescent="0.25">
      <c r="A533" s="24">
        <f t="shared" si="62"/>
        <v>20</v>
      </c>
      <c r="B533" s="24">
        <v>12</v>
      </c>
      <c r="C533" s="24">
        <v>52.8</v>
      </c>
      <c r="E533" s="4">
        <v>296547</v>
      </c>
      <c r="F533" s="2" t="s">
        <v>2</v>
      </c>
      <c r="G533" s="2" t="str">
        <f t="shared" si="61"/>
        <v>https://www.oreht.ru/modules.php?name=orehtPriceLS&amp;op=Search&amp;page=1&amp;stext=296547</v>
      </c>
      <c r="I533">
        <v>296547</v>
      </c>
      <c r="J533" t="s">
        <v>2</v>
      </c>
      <c r="K533" t="s">
        <v>1700</v>
      </c>
      <c r="L533" t="s">
        <v>1701</v>
      </c>
      <c r="M533" t="s">
        <v>1702</v>
      </c>
    </row>
    <row r="534" spans="1:13" x14ac:dyDescent="0.25">
      <c r="A534" s="24">
        <f t="shared" si="62"/>
        <v>20</v>
      </c>
      <c r="B534" s="24">
        <v>12</v>
      </c>
      <c r="C534" s="24">
        <v>57.65</v>
      </c>
      <c r="E534" s="4">
        <v>430550</v>
      </c>
      <c r="F534" s="2" t="s">
        <v>2</v>
      </c>
      <c r="G534" s="2" t="str">
        <f t="shared" si="61"/>
        <v>https://www.oreht.ru/modules.php?name=orehtPriceLS&amp;op=Search&amp;page=1&amp;stext=430550</v>
      </c>
      <c r="I534">
        <v>430550</v>
      </c>
      <c r="J534" t="s">
        <v>2</v>
      </c>
      <c r="K534" t="s">
        <v>1703</v>
      </c>
      <c r="L534" t="s">
        <v>1704</v>
      </c>
      <c r="M534" t="s">
        <v>649</v>
      </c>
    </row>
    <row r="535" spans="1:13" x14ac:dyDescent="0.25">
      <c r="A535" s="24">
        <f t="shared" si="62"/>
        <v>20</v>
      </c>
      <c r="B535" s="24">
        <v>12</v>
      </c>
      <c r="C535" s="24">
        <v>120</v>
      </c>
      <c r="E535" s="4">
        <v>421999</v>
      </c>
      <c r="F535" s="2" t="s">
        <v>2</v>
      </c>
      <c r="G535" s="2" t="str">
        <f t="shared" si="61"/>
        <v>https://www.oreht.ru/modules.php?name=orehtPriceLS&amp;op=Search&amp;page=1&amp;stext=421999</v>
      </c>
      <c r="I535">
        <v>421999</v>
      </c>
      <c r="J535" t="s">
        <v>2</v>
      </c>
      <c r="K535" t="s">
        <v>1705</v>
      </c>
      <c r="L535" t="s">
        <v>1706</v>
      </c>
      <c r="M535" t="s">
        <v>649</v>
      </c>
    </row>
    <row r="536" spans="1:13" x14ac:dyDescent="0.25">
      <c r="A536" s="24">
        <f t="shared" si="62"/>
        <v>20</v>
      </c>
      <c r="B536" s="24">
        <v>12</v>
      </c>
      <c r="C536" s="24">
        <v>70.319999999999993</v>
      </c>
      <c r="E536" s="4">
        <v>111865</v>
      </c>
      <c r="F536" s="2" t="s">
        <v>2</v>
      </c>
      <c r="G536" s="2" t="str">
        <f t="shared" si="61"/>
        <v>https://www.oreht.ru/modules.php?name=orehtPriceLS&amp;op=Search&amp;page=1&amp;stext=111865</v>
      </c>
      <c r="I536">
        <v>111865</v>
      </c>
      <c r="J536" t="s">
        <v>2</v>
      </c>
      <c r="K536" t="s">
        <v>1707</v>
      </c>
      <c r="L536" t="s">
        <v>1708</v>
      </c>
      <c r="M536" t="s">
        <v>649</v>
      </c>
    </row>
    <row r="537" spans="1:13" hidden="1" x14ac:dyDescent="0.25">
      <c r="A537" s="24">
        <f t="shared" si="62"/>
        <v>20</v>
      </c>
      <c r="B537" s="24">
        <v>10</v>
      </c>
      <c r="C537" s="24">
        <v>79</v>
      </c>
      <c r="E537" s="4">
        <v>315525</v>
      </c>
      <c r="F537" s="2" t="s">
        <v>2</v>
      </c>
      <c r="G537" s="2" t="str">
        <f t="shared" si="61"/>
        <v>https://www.oreht.ru/modules.php?name=orehtPriceLS&amp;op=Search&amp;page=1&amp;stext=315525</v>
      </c>
      <c r="I537">
        <v>315525</v>
      </c>
      <c r="J537" t="s">
        <v>2</v>
      </c>
      <c r="K537" t="s">
        <v>1709</v>
      </c>
      <c r="L537" t="s">
        <v>1710</v>
      </c>
      <c r="M537" t="s">
        <v>1711</v>
      </c>
    </row>
    <row r="538" spans="1:13" hidden="1" x14ac:dyDescent="0.25">
      <c r="A538" s="24">
        <f t="shared" si="62"/>
        <v>20</v>
      </c>
      <c r="B538" s="24">
        <v>12</v>
      </c>
      <c r="C538" s="24">
        <v>70.5</v>
      </c>
      <c r="E538" s="4">
        <v>399972</v>
      </c>
      <c r="F538" s="2" t="s">
        <v>2</v>
      </c>
      <c r="G538" s="2" t="str">
        <f t="shared" si="61"/>
        <v>https://www.oreht.ru/modules.php?name=orehtPriceLS&amp;op=Search&amp;page=1&amp;stext=399972</v>
      </c>
      <c r="I538">
        <v>399972</v>
      </c>
      <c r="J538" t="s">
        <v>2</v>
      </c>
      <c r="K538" t="s">
        <v>1712</v>
      </c>
      <c r="L538" t="s">
        <v>1713</v>
      </c>
      <c r="M538" t="s">
        <v>1714</v>
      </c>
    </row>
    <row r="539" spans="1:13" x14ac:dyDescent="0.25">
      <c r="A539" s="24">
        <f t="shared" si="62"/>
        <v>20</v>
      </c>
      <c r="B539" s="24">
        <v>12</v>
      </c>
      <c r="C539" s="24">
        <v>57.9</v>
      </c>
      <c r="E539" s="4">
        <v>434685</v>
      </c>
      <c r="F539" s="2" t="s">
        <v>2</v>
      </c>
      <c r="G539" s="2" t="str">
        <f t="shared" si="61"/>
        <v>https://www.oreht.ru/modules.php?name=orehtPriceLS&amp;op=Search&amp;page=1&amp;stext=434685</v>
      </c>
      <c r="I539">
        <v>434685</v>
      </c>
      <c r="J539" t="s">
        <v>2</v>
      </c>
      <c r="K539" t="s">
        <v>1715</v>
      </c>
      <c r="L539" t="s">
        <v>1716</v>
      </c>
      <c r="M539" t="s">
        <v>649</v>
      </c>
    </row>
    <row r="540" spans="1:13" hidden="1" x14ac:dyDescent="0.25">
      <c r="A540" s="24">
        <f t="shared" si="62"/>
        <v>20</v>
      </c>
      <c r="B540" s="24">
        <v>12</v>
      </c>
      <c r="C540" s="24">
        <v>210</v>
      </c>
      <c r="E540" s="4">
        <v>408044</v>
      </c>
      <c r="F540" s="2" t="s">
        <v>2</v>
      </c>
      <c r="G540" s="2" t="str">
        <f t="shared" si="61"/>
        <v>https://www.oreht.ru/modules.php?name=orehtPriceLS&amp;op=Search&amp;page=1&amp;stext=408044</v>
      </c>
      <c r="I540">
        <v>408044</v>
      </c>
      <c r="J540" t="s">
        <v>2</v>
      </c>
      <c r="K540" t="s">
        <v>1717</v>
      </c>
      <c r="L540" t="s">
        <v>1718</v>
      </c>
      <c r="M540" t="s">
        <v>1702</v>
      </c>
    </row>
    <row r="541" spans="1:13" hidden="1" x14ac:dyDescent="0.25">
      <c r="A541" s="24">
        <f t="shared" si="62"/>
        <v>20</v>
      </c>
      <c r="B541" s="24">
        <v>12</v>
      </c>
      <c r="C541" s="24">
        <v>53.5</v>
      </c>
      <c r="E541" s="4">
        <v>402809</v>
      </c>
      <c r="F541" s="2" t="s">
        <v>2</v>
      </c>
      <c r="G541" s="2" t="str">
        <f t="shared" si="61"/>
        <v>https://www.oreht.ru/modules.php?name=orehtPriceLS&amp;op=Search&amp;page=1&amp;stext=402809</v>
      </c>
      <c r="I541">
        <v>402809</v>
      </c>
      <c r="J541" t="s">
        <v>2</v>
      </c>
      <c r="K541" t="s">
        <v>1719</v>
      </c>
      <c r="L541" t="s">
        <v>1720</v>
      </c>
      <c r="M541" t="s">
        <v>1721</v>
      </c>
    </row>
    <row r="542" spans="1:13" hidden="1" x14ac:dyDescent="0.25">
      <c r="A542" s="24">
        <f t="shared" si="62"/>
        <v>20</v>
      </c>
      <c r="B542" s="24">
        <v>12</v>
      </c>
      <c r="C542" s="24">
        <v>64.02</v>
      </c>
      <c r="E542" s="4">
        <v>306220</v>
      </c>
      <c r="F542" s="2" t="s">
        <v>2</v>
      </c>
      <c r="G542" s="2" t="str">
        <f t="shared" si="61"/>
        <v>https://www.oreht.ru/modules.php?name=orehtPriceLS&amp;op=Search&amp;page=1&amp;stext=306220</v>
      </c>
      <c r="I542">
        <v>306220</v>
      </c>
      <c r="J542" t="s">
        <v>2</v>
      </c>
      <c r="K542" t="s">
        <v>1722</v>
      </c>
      <c r="L542" t="s">
        <v>1723</v>
      </c>
      <c r="M542" t="s">
        <v>1724</v>
      </c>
    </row>
    <row r="543" spans="1:13" hidden="1" x14ac:dyDescent="0.25">
      <c r="A543" s="24">
        <f t="shared" si="62"/>
        <v>20</v>
      </c>
      <c r="B543" s="24">
        <v>12</v>
      </c>
      <c r="C543" s="24">
        <v>71</v>
      </c>
      <c r="E543" s="4">
        <v>338093</v>
      </c>
      <c r="F543" s="2" t="s">
        <v>2</v>
      </c>
      <c r="G543" s="2" t="str">
        <f t="shared" si="61"/>
        <v>https://www.oreht.ru/modules.php?name=orehtPriceLS&amp;op=Search&amp;page=1&amp;stext=338093</v>
      </c>
      <c r="I543">
        <v>338093</v>
      </c>
      <c r="J543" t="s">
        <v>2</v>
      </c>
      <c r="K543" t="s">
        <v>1725</v>
      </c>
      <c r="L543" t="s">
        <v>1726</v>
      </c>
      <c r="M543" t="s">
        <v>1727</v>
      </c>
    </row>
    <row r="544" spans="1:13" x14ac:dyDescent="0.25">
      <c r="A544" s="24">
        <f t="shared" si="62"/>
        <v>20</v>
      </c>
      <c r="B544" s="24">
        <v>12</v>
      </c>
      <c r="C544" s="24">
        <v>67.14</v>
      </c>
      <c r="E544" s="4">
        <v>349821</v>
      </c>
      <c r="F544" s="2" t="s">
        <v>2</v>
      </c>
      <c r="G544" s="2" t="str">
        <f t="shared" si="61"/>
        <v>https://www.oreht.ru/modules.php?name=orehtPriceLS&amp;op=Search&amp;page=1&amp;stext=349821</v>
      </c>
      <c r="I544">
        <v>349821</v>
      </c>
      <c r="J544" t="s">
        <v>2</v>
      </c>
      <c r="K544" t="s">
        <v>1728</v>
      </c>
      <c r="L544" t="s">
        <v>1729</v>
      </c>
      <c r="M544" t="s">
        <v>649</v>
      </c>
    </row>
    <row r="545" spans="1:13" hidden="1" x14ac:dyDescent="0.25">
      <c r="A545" s="24">
        <f t="shared" si="62"/>
        <v>20</v>
      </c>
      <c r="B545" s="24">
        <v>10</v>
      </c>
      <c r="C545" s="24">
        <v>55.45</v>
      </c>
      <c r="E545" s="4">
        <v>94470</v>
      </c>
      <c r="F545" s="2" t="s">
        <v>2</v>
      </c>
      <c r="G545" s="2" t="str">
        <f t="shared" si="61"/>
        <v>https://www.oreht.ru/modules.php?name=orehtPriceLS&amp;op=Search&amp;page=1&amp;stext=94470</v>
      </c>
      <c r="I545">
        <v>94470</v>
      </c>
      <c r="J545" t="s">
        <v>2</v>
      </c>
      <c r="K545" t="s">
        <v>1730</v>
      </c>
      <c r="L545" t="s">
        <v>1731</v>
      </c>
      <c r="M545" t="s">
        <v>1732</v>
      </c>
    </row>
    <row r="546" spans="1:13" hidden="1" x14ac:dyDescent="0.25">
      <c r="A546" s="24">
        <f t="shared" si="62"/>
        <v>20</v>
      </c>
      <c r="B546" s="24">
        <v>12</v>
      </c>
      <c r="C546" s="24">
        <v>56.75</v>
      </c>
      <c r="E546" s="4">
        <v>109340</v>
      </c>
      <c r="F546" s="2" t="s">
        <v>2</v>
      </c>
      <c r="G546" s="2" t="str">
        <f t="shared" si="61"/>
        <v>https://www.oreht.ru/modules.php?name=orehtPriceLS&amp;op=Search&amp;page=1&amp;stext=109340</v>
      </c>
      <c r="I546">
        <v>109340</v>
      </c>
      <c r="J546" t="s">
        <v>2</v>
      </c>
      <c r="K546" t="s">
        <v>1733</v>
      </c>
      <c r="L546" t="s">
        <v>1734</v>
      </c>
      <c r="M546" t="s">
        <v>1735</v>
      </c>
    </row>
    <row r="547" spans="1:13" hidden="1" x14ac:dyDescent="0.25">
      <c r="A547" s="24">
        <f t="shared" si="62"/>
        <v>20</v>
      </c>
      <c r="B547" s="24">
        <v>12</v>
      </c>
      <c r="C547" s="24">
        <v>71</v>
      </c>
      <c r="E547" s="4">
        <v>434804</v>
      </c>
      <c r="F547" s="2" t="s">
        <v>2</v>
      </c>
      <c r="G547" s="2" t="str">
        <f t="shared" si="61"/>
        <v>https://www.oreht.ru/modules.php?name=orehtPriceLS&amp;op=Search&amp;page=1&amp;stext=434804</v>
      </c>
      <c r="I547">
        <v>434804</v>
      </c>
      <c r="J547" t="s">
        <v>2</v>
      </c>
      <c r="K547" t="s">
        <v>1736</v>
      </c>
      <c r="L547" t="s">
        <v>1737</v>
      </c>
      <c r="M547" t="s">
        <v>1738</v>
      </c>
    </row>
    <row r="548" spans="1:13" x14ac:dyDescent="0.25">
      <c r="A548" s="24">
        <f t="shared" si="62"/>
        <v>20</v>
      </c>
      <c r="B548" s="24">
        <v>12</v>
      </c>
      <c r="C548" s="24">
        <v>58.4</v>
      </c>
      <c r="E548" s="4">
        <v>402487</v>
      </c>
      <c r="F548" s="2" t="s">
        <v>2</v>
      </c>
      <c r="G548" s="2" t="str">
        <f t="shared" si="61"/>
        <v>https://www.oreht.ru/modules.php?name=orehtPriceLS&amp;op=Search&amp;page=1&amp;stext=402487</v>
      </c>
      <c r="I548">
        <v>402487</v>
      </c>
      <c r="J548" t="s">
        <v>2</v>
      </c>
      <c r="K548" t="s">
        <v>1739</v>
      </c>
      <c r="L548" t="s">
        <v>1740</v>
      </c>
      <c r="M548" t="s">
        <v>649</v>
      </c>
    </row>
    <row r="549" spans="1:13" x14ac:dyDescent="0.25">
      <c r="A549" s="24">
        <f t="shared" si="62"/>
        <v>20</v>
      </c>
      <c r="B549" s="24">
        <v>12</v>
      </c>
      <c r="C549" s="24">
        <v>71.22</v>
      </c>
      <c r="E549" s="4">
        <v>426233</v>
      </c>
      <c r="F549" s="2" t="s">
        <v>2</v>
      </c>
      <c r="G549" s="2" t="str">
        <f t="shared" si="61"/>
        <v>https://www.oreht.ru/modules.php?name=orehtPriceLS&amp;op=Search&amp;page=1&amp;stext=426233</v>
      </c>
      <c r="I549">
        <v>426233</v>
      </c>
      <c r="J549" t="s">
        <v>2</v>
      </c>
      <c r="K549" t="s">
        <v>1741</v>
      </c>
      <c r="L549" t="s">
        <v>1742</v>
      </c>
      <c r="M549" t="s">
        <v>649</v>
      </c>
    </row>
    <row r="550" spans="1:13" x14ac:dyDescent="0.25">
      <c r="A550" s="24">
        <f t="shared" si="62"/>
        <v>20</v>
      </c>
      <c r="B550" s="24">
        <v>12</v>
      </c>
      <c r="C550" s="24">
        <v>71.34</v>
      </c>
      <c r="E550" s="4">
        <v>426576</v>
      </c>
      <c r="F550" s="2" t="s">
        <v>2</v>
      </c>
      <c r="G550" s="2" t="str">
        <f t="shared" si="61"/>
        <v>https://www.oreht.ru/modules.php?name=orehtPriceLS&amp;op=Search&amp;page=1&amp;stext=426576</v>
      </c>
      <c r="I550">
        <v>426576</v>
      </c>
      <c r="J550" t="s">
        <v>2</v>
      </c>
      <c r="K550" t="s">
        <v>1743</v>
      </c>
      <c r="L550" t="s">
        <v>1744</v>
      </c>
      <c r="M550" t="s">
        <v>649</v>
      </c>
    </row>
    <row r="551" spans="1:13" hidden="1" x14ac:dyDescent="0.25">
      <c r="A551" s="24">
        <f t="shared" si="62"/>
        <v>20</v>
      </c>
      <c r="B551" s="24">
        <v>12</v>
      </c>
      <c r="C551" s="24">
        <v>54.5</v>
      </c>
      <c r="E551" s="4">
        <v>399968</v>
      </c>
      <c r="F551" s="2" t="s">
        <v>2</v>
      </c>
      <c r="G551" s="2" t="str">
        <f t="shared" si="61"/>
        <v>https://www.oreht.ru/modules.php?name=orehtPriceLS&amp;op=Search&amp;page=1&amp;stext=399968</v>
      </c>
      <c r="I551">
        <v>399968</v>
      </c>
      <c r="J551" t="s">
        <v>2</v>
      </c>
      <c r="K551" t="s">
        <v>1745</v>
      </c>
      <c r="L551" t="s">
        <v>1746</v>
      </c>
      <c r="M551" t="s">
        <v>1747</v>
      </c>
    </row>
    <row r="552" spans="1:13" x14ac:dyDescent="0.25">
      <c r="A552" s="24">
        <f t="shared" si="62"/>
        <v>20</v>
      </c>
      <c r="B552" s="24">
        <v>12</v>
      </c>
      <c r="C552" s="24">
        <v>79</v>
      </c>
      <c r="E552" s="4">
        <v>402265</v>
      </c>
      <c r="F552" s="2" t="s">
        <v>2</v>
      </c>
      <c r="G552" s="2" t="str">
        <f t="shared" si="61"/>
        <v>https://www.oreht.ru/modules.php?name=orehtPriceLS&amp;op=Search&amp;page=1&amp;stext=402265</v>
      </c>
      <c r="I552">
        <v>402265</v>
      </c>
      <c r="J552" t="s">
        <v>2</v>
      </c>
      <c r="K552" t="s">
        <v>1748</v>
      </c>
      <c r="L552" t="s">
        <v>1749</v>
      </c>
      <c r="M552" t="s">
        <v>649</v>
      </c>
    </row>
    <row r="553" spans="1:13" hidden="1" x14ac:dyDescent="0.25">
      <c r="A553" s="24">
        <f t="shared" si="62"/>
        <v>20</v>
      </c>
      <c r="B553" s="24">
        <v>12</v>
      </c>
      <c r="C553" s="24">
        <v>160</v>
      </c>
      <c r="E553" s="4">
        <v>424315</v>
      </c>
      <c r="F553" s="2" t="s">
        <v>2</v>
      </c>
      <c r="G553" s="2" t="str">
        <f t="shared" si="61"/>
        <v>https://www.oreht.ru/modules.php?name=orehtPriceLS&amp;op=Search&amp;page=1&amp;stext=424315</v>
      </c>
      <c r="I553">
        <v>424315</v>
      </c>
      <c r="J553" t="s">
        <v>2</v>
      </c>
      <c r="K553" t="s">
        <v>1750</v>
      </c>
      <c r="L553" t="s">
        <v>1751</v>
      </c>
      <c r="M553" t="s">
        <v>1752</v>
      </c>
    </row>
    <row r="554" spans="1:13" hidden="1" x14ac:dyDescent="0.25">
      <c r="A554" s="24">
        <f t="shared" si="62"/>
        <v>20</v>
      </c>
      <c r="B554" s="24">
        <v>10</v>
      </c>
      <c r="C554" s="24">
        <v>79</v>
      </c>
      <c r="E554" s="4">
        <v>124617</v>
      </c>
      <c r="F554" s="2" t="s">
        <v>2</v>
      </c>
      <c r="G554" s="2" t="str">
        <f t="shared" si="61"/>
        <v>https://www.oreht.ru/modules.php?name=orehtPriceLS&amp;op=Search&amp;page=1&amp;stext=124617</v>
      </c>
      <c r="I554">
        <v>124617</v>
      </c>
      <c r="J554" t="s">
        <v>2</v>
      </c>
      <c r="K554" t="s">
        <v>1753</v>
      </c>
      <c r="L554" t="s">
        <v>1754</v>
      </c>
      <c r="M554" t="s">
        <v>1755</v>
      </c>
    </row>
    <row r="555" spans="1:13" hidden="1" x14ac:dyDescent="0.25">
      <c r="A555" s="24">
        <f t="shared" si="62"/>
        <v>20</v>
      </c>
      <c r="B555" s="24">
        <v>12</v>
      </c>
      <c r="C555" s="24">
        <v>54.4</v>
      </c>
      <c r="E555" s="4">
        <v>371221</v>
      </c>
      <c r="F555" s="2" t="s">
        <v>2</v>
      </c>
      <c r="G555" s="2" t="str">
        <f t="shared" si="61"/>
        <v>https://www.oreht.ru/modules.php?name=orehtPriceLS&amp;op=Search&amp;page=1&amp;stext=371221</v>
      </c>
      <c r="I555">
        <v>371221</v>
      </c>
      <c r="J555" t="s">
        <v>2</v>
      </c>
      <c r="K555" t="s">
        <v>1756</v>
      </c>
      <c r="L555" t="s">
        <v>1757</v>
      </c>
      <c r="M555" t="s">
        <v>1758</v>
      </c>
    </row>
    <row r="556" spans="1:13" x14ac:dyDescent="0.25">
      <c r="A556" s="24">
        <f t="shared" si="62"/>
        <v>20</v>
      </c>
      <c r="B556" s="24">
        <v>12</v>
      </c>
      <c r="C556" s="24">
        <v>58.9</v>
      </c>
      <c r="E556" s="4">
        <v>292969</v>
      </c>
      <c r="F556" s="2" t="s">
        <v>2</v>
      </c>
      <c r="G556" s="2" t="str">
        <f t="shared" si="61"/>
        <v>https://www.oreht.ru/modules.php?name=orehtPriceLS&amp;op=Search&amp;page=1&amp;stext=292969</v>
      </c>
      <c r="I556">
        <v>292969</v>
      </c>
      <c r="J556" t="s">
        <v>2</v>
      </c>
      <c r="K556" t="s">
        <v>1759</v>
      </c>
      <c r="L556" t="s">
        <v>1760</v>
      </c>
      <c r="M556" t="s">
        <v>649</v>
      </c>
    </row>
    <row r="557" spans="1:13" hidden="1" x14ac:dyDescent="0.25">
      <c r="A557" s="24">
        <f t="shared" si="62"/>
        <v>20</v>
      </c>
      <c r="B557" s="24">
        <v>12</v>
      </c>
      <c r="C557" s="24">
        <v>57</v>
      </c>
      <c r="E557" s="4">
        <v>421386</v>
      </c>
      <c r="F557" s="2" t="s">
        <v>2</v>
      </c>
      <c r="G557" s="2" t="str">
        <f t="shared" si="61"/>
        <v>https://www.oreht.ru/modules.php?name=orehtPriceLS&amp;op=Search&amp;page=1&amp;stext=421386</v>
      </c>
      <c r="I557">
        <v>421386</v>
      </c>
      <c r="J557" t="s">
        <v>2</v>
      </c>
      <c r="K557" t="s">
        <v>1761</v>
      </c>
      <c r="L557" t="s">
        <v>1762</v>
      </c>
      <c r="M557" t="s">
        <v>1763</v>
      </c>
    </row>
    <row r="558" spans="1:13" hidden="1" x14ac:dyDescent="0.25">
      <c r="A558" s="24">
        <f t="shared" si="62"/>
        <v>20</v>
      </c>
      <c r="B558" s="24">
        <v>12</v>
      </c>
      <c r="C558" s="24">
        <v>52.45</v>
      </c>
      <c r="E558" s="4">
        <v>421463</v>
      </c>
      <c r="F558" s="2" t="s">
        <v>2</v>
      </c>
      <c r="G558" s="2" t="str">
        <f t="shared" si="61"/>
        <v>https://www.oreht.ru/modules.php?name=orehtPriceLS&amp;op=Search&amp;page=1&amp;stext=421463</v>
      </c>
      <c r="I558">
        <v>421463</v>
      </c>
      <c r="J558" t="s">
        <v>2</v>
      </c>
      <c r="K558" t="s">
        <v>1764</v>
      </c>
      <c r="L558" t="s">
        <v>1765</v>
      </c>
      <c r="M558" t="s">
        <v>1766</v>
      </c>
    </row>
    <row r="559" spans="1:13" x14ac:dyDescent="0.25">
      <c r="A559" s="24">
        <f t="shared" si="62"/>
        <v>20</v>
      </c>
      <c r="B559" s="24">
        <v>12</v>
      </c>
      <c r="C559" s="24">
        <v>52.45</v>
      </c>
      <c r="E559" s="4">
        <v>421360</v>
      </c>
      <c r="F559" s="2" t="s">
        <v>2</v>
      </c>
      <c r="G559" s="2" t="str">
        <f t="shared" si="61"/>
        <v>https://www.oreht.ru/modules.php?name=orehtPriceLS&amp;op=Search&amp;page=1&amp;stext=421360</v>
      </c>
      <c r="I559">
        <v>421360</v>
      </c>
      <c r="J559" t="s">
        <v>2</v>
      </c>
      <c r="K559" t="s">
        <v>1767</v>
      </c>
      <c r="L559" t="s">
        <v>1768</v>
      </c>
      <c r="M559" t="s">
        <v>649</v>
      </c>
    </row>
    <row r="560" spans="1:13" hidden="1" x14ac:dyDescent="0.25">
      <c r="A560" s="24">
        <f t="shared" si="62"/>
        <v>20</v>
      </c>
      <c r="B560" s="24">
        <v>12</v>
      </c>
      <c r="C560" s="24">
        <v>135</v>
      </c>
      <c r="E560" s="4">
        <v>107531</v>
      </c>
      <c r="F560" s="2" t="s">
        <v>2</v>
      </c>
      <c r="G560" s="2" t="str">
        <f t="shared" si="61"/>
        <v>https://www.oreht.ru/modules.php?name=orehtPriceLS&amp;op=Search&amp;page=1&amp;stext=107531</v>
      </c>
      <c r="I560">
        <v>107531</v>
      </c>
      <c r="J560" t="s">
        <v>2</v>
      </c>
      <c r="K560" t="s">
        <v>1769</v>
      </c>
      <c r="L560" t="s">
        <v>1770</v>
      </c>
      <c r="M560" t="s">
        <v>1771</v>
      </c>
    </row>
    <row r="561" spans="1:13" hidden="1" x14ac:dyDescent="0.25">
      <c r="A561" s="24">
        <f t="shared" si="62"/>
        <v>20</v>
      </c>
      <c r="B561" s="24">
        <v>12</v>
      </c>
      <c r="C561" s="24">
        <v>68.52</v>
      </c>
      <c r="E561" s="4">
        <v>382777</v>
      </c>
      <c r="F561" s="2" t="s">
        <v>2</v>
      </c>
      <c r="G561" s="2" t="str">
        <f t="shared" si="61"/>
        <v>https://www.oreht.ru/modules.php?name=orehtPriceLS&amp;op=Search&amp;page=1&amp;stext=382777</v>
      </c>
      <c r="I561">
        <v>382777</v>
      </c>
      <c r="J561" t="s">
        <v>2</v>
      </c>
      <c r="K561" t="s">
        <v>1772</v>
      </c>
      <c r="L561" t="s">
        <v>1773</v>
      </c>
      <c r="M561" t="s">
        <v>1774</v>
      </c>
    </row>
    <row r="562" spans="1:13" hidden="1" x14ac:dyDescent="0.25">
      <c r="A562" s="24">
        <f t="shared" si="62"/>
        <v>20</v>
      </c>
      <c r="B562" s="24">
        <v>12</v>
      </c>
      <c r="C562" s="24">
        <v>135</v>
      </c>
      <c r="E562" s="4">
        <v>107538</v>
      </c>
      <c r="F562" s="2" t="s">
        <v>2</v>
      </c>
      <c r="G562" s="2" t="str">
        <f t="shared" si="61"/>
        <v>https://www.oreht.ru/modules.php?name=orehtPriceLS&amp;op=Search&amp;page=1&amp;stext=107538</v>
      </c>
      <c r="I562">
        <v>107538</v>
      </c>
      <c r="J562" t="s">
        <v>2</v>
      </c>
      <c r="K562" t="s">
        <v>1775</v>
      </c>
      <c r="L562" t="s">
        <v>1776</v>
      </c>
      <c r="M562" t="s">
        <v>1777</v>
      </c>
    </row>
    <row r="563" spans="1:13" hidden="1" x14ac:dyDescent="0.25">
      <c r="A563" s="24">
        <f t="shared" si="62"/>
        <v>20</v>
      </c>
      <c r="B563" s="24">
        <v>12</v>
      </c>
      <c r="C563" s="24">
        <v>57.55</v>
      </c>
      <c r="E563" s="4">
        <v>379755</v>
      </c>
      <c r="F563" s="2" t="s">
        <v>2</v>
      </c>
      <c r="G563" s="2" t="str">
        <f t="shared" si="61"/>
        <v>https://www.oreht.ru/modules.php?name=orehtPriceLS&amp;op=Search&amp;page=1&amp;stext=379755</v>
      </c>
      <c r="I563">
        <v>379755</v>
      </c>
      <c r="J563" t="s">
        <v>2</v>
      </c>
      <c r="K563" t="s">
        <v>1778</v>
      </c>
      <c r="L563" t="s">
        <v>1779</v>
      </c>
      <c r="M563" t="s">
        <v>1780</v>
      </c>
    </row>
    <row r="564" spans="1:13" hidden="1" x14ac:dyDescent="0.25">
      <c r="A564" s="24">
        <f t="shared" si="62"/>
        <v>20</v>
      </c>
      <c r="B564" s="24">
        <v>12</v>
      </c>
      <c r="C564" s="24">
        <v>160</v>
      </c>
      <c r="E564" s="4">
        <v>279817</v>
      </c>
      <c r="F564" s="2" t="s">
        <v>2</v>
      </c>
      <c r="G564" s="2" t="str">
        <f t="shared" si="61"/>
        <v>https://www.oreht.ru/modules.php?name=orehtPriceLS&amp;op=Search&amp;page=1&amp;stext=279817</v>
      </c>
      <c r="I564">
        <v>279817</v>
      </c>
      <c r="J564" t="s">
        <v>2</v>
      </c>
      <c r="K564" t="s">
        <v>1781</v>
      </c>
      <c r="L564" t="s">
        <v>1782</v>
      </c>
      <c r="M564" t="s">
        <v>1783</v>
      </c>
    </row>
    <row r="565" spans="1:13" hidden="1" x14ac:dyDescent="0.25">
      <c r="A565" s="24">
        <f t="shared" si="62"/>
        <v>20</v>
      </c>
      <c r="B565" s="24">
        <v>12</v>
      </c>
      <c r="C565" s="24">
        <v>59.04</v>
      </c>
      <c r="E565" s="4">
        <v>339128</v>
      </c>
      <c r="F565" s="2" t="s">
        <v>2</v>
      </c>
      <c r="G565" s="2" t="str">
        <f t="shared" si="61"/>
        <v>https://www.oreht.ru/modules.php?name=orehtPriceLS&amp;op=Search&amp;page=1&amp;stext=339128</v>
      </c>
      <c r="I565">
        <v>339128</v>
      </c>
      <c r="J565" t="s">
        <v>2</v>
      </c>
      <c r="K565" t="s">
        <v>1784</v>
      </c>
      <c r="L565" t="s">
        <v>1785</v>
      </c>
      <c r="M565" t="s">
        <v>1786</v>
      </c>
    </row>
    <row r="566" spans="1:13" x14ac:dyDescent="0.25">
      <c r="A566" s="24">
        <f t="shared" si="62"/>
        <v>20</v>
      </c>
      <c r="B566" s="24">
        <v>12</v>
      </c>
      <c r="C566" s="24">
        <v>72.239999999999995</v>
      </c>
      <c r="E566" s="4">
        <v>412186</v>
      </c>
      <c r="F566" s="2" t="s">
        <v>2</v>
      </c>
      <c r="G566" s="2" t="str">
        <f t="shared" si="61"/>
        <v>https://www.oreht.ru/modules.php?name=orehtPriceLS&amp;op=Search&amp;page=1&amp;stext=412186</v>
      </c>
      <c r="I566">
        <v>412186</v>
      </c>
      <c r="J566" t="s">
        <v>2</v>
      </c>
      <c r="K566" t="s">
        <v>1787</v>
      </c>
      <c r="L566" t="s">
        <v>1788</v>
      </c>
      <c r="M566" t="s">
        <v>649</v>
      </c>
    </row>
    <row r="567" spans="1:13" x14ac:dyDescent="0.25">
      <c r="A567" s="24">
        <f t="shared" si="62"/>
        <v>20</v>
      </c>
      <c r="B567" s="24">
        <v>12</v>
      </c>
      <c r="C567" s="24">
        <v>67</v>
      </c>
      <c r="E567" s="4">
        <v>432619</v>
      </c>
      <c r="F567" s="2" t="s">
        <v>2</v>
      </c>
      <c r="G567" s="2" t="str">
        <f t="shared" si="61"/>
        <v>https://www.oreht.ru/modules.php?name=orehtPriceLS&amp;op=Search&amp;page=1&amp;stext=432619</v>
      </c>
      <c r="I567">
        <v>432619</v>
      </c>
      <c r="J567" t="s">
        <v>2</v>
      </c>
      <c r="K567" t="s">
        <v>1789</v>
      </c>
      <c r="L567" t="s">
        <v>1790</v>
      </c>
      <c r="M567" t="s">
        <v>649</v>
      </c>
    </row>
    <row r="568" spans="1:13" hidden="1" x14ac:dyDescent="0.25">
      <c r="A568" s="24">
        <f t="shared" si="62"/>
        <v>20</v>
      </c>
      <c r="B568" s="24">
        <v>11</v>
      </c>
      <c r="C568" s="24">
        <v>54</v>
      </c>
      <c r="E568" s="4">
        <v>429738</v>
      </c>
      <c r="F568" s="2" t="s">
        <v>2</v>
      </c>
      <c r="G568" s="2" t="str">
        <f t="shared" si="61"/>
        <v>https://www.oreht.ru/modules.php?name=orehtPriceLS&amp;op=Search&amp;page=1&amp;stext=429738</v>
      </c>
      <c r="I568">
        <v>429738</v>
      </c>
      <c r="J568" t="s">
        <v>2</v>
      </c>
      <c r="K568" t="s">
        <v>1791</v>
      </c>
      <c r="L568" t="s">
        <v>1792</v>
      </c>
      <c r="M568" t="s">
        <v>1793</v>
      </c>
    </row>
    <row r="569" spans="1:13" hidden="1" x14ac:dyDescent="0.25">
      <c r="A569" s="24">
        <f t="shared" si="62"/>
        <v>20</v>
      </c>
      <c r="B569" s="24">
        <v>10</v>
      </c>
      <c r="C569" s="24">
        <v>56.65</v>
      </c>
      <c r="E569" s="4">
        <v>362144</v>
      </c>
      <c r="F569" s="2" t="s">
        <v>2</v>
      </c>
      <c r="G569" s="2" t="str">
        <f t="shared" si="61"/>
        <v>https://www.oreht.ru/modules.php?name=orehtPriceLS&amp;op=Search&amp;page=1&amp;stext=362144</v>
      </c>
      <c r="I569">
        <v>362144</v>
      </c>
      <c r="J569" t="s">
        <v>2</v>
      </c>
      <c r="K569" t="s">
        <v>1794</v>
      </c>
      <c r="L569" t="s">
        <v>1795</v>
      </c>
      <c r="M569" t="s">
        <v>1796</v>
      </c>
    </row>
    <row r="570" spans="1:13" x14ac:dyDescent="0.25">
      <c r="A570" s="24">
        <f t="shared" si="62"/>
        <v>20</v>
      </c>
      <c r="B570" s="24">
        <v>10</v>
      </c>
      <c r="C570" s="24">
        <v>63.84</v>
      </c>
      <c r="E570" s="4">
        <v>424118</v>
      </c>
      <c r="F570" s="2" t="s">
        <v>2</v>
      </c>
      <c r="G570" s="2" t="str">
        <f t="shared" si="61"/>
        <v>https://www.oreht.ru/modules.php?name=orehtPriceLS&amp;op=Search&amp;page=1&amp;stext=424118</v>
      </c>
      <c r="I570">
        <v>424118</v>
      </c>
      <c r="J570" t="s">
        <v>2</v>
      </c>
      <c r="K570" t="s">
        <v>1797</v>
      </c>
      <c r="L570" t="s">
        <v>1798</v>
      </c>
      <c r="M570" t="s">
        <v>649</v>
      </c>
    </row>
    <row r="571" spans="1:13" hidden="1" x14ac:dyDescent="0.25">
      <c r="A571" s="24">
        <f t="shared" si="62"/>
        <v>20</v>
      </c>
      <c r="B571" s="24">
        <v>12</v>
      </c>
      <c r="C571" s="24">
        <v>66.12</v>
      </c>
      <c r="E571" s="4">
        <v>438219</v>
      </c>
      <c r="F571" s="2" t="s">
        <v>2</v>
      </c>
      <c r="G571" s="2" t="str">
        <f t="shared" si="61"/>
        <v>https://www.oreht.ru/modules.php?name=orehtPriceLS&amp;op=Search&amp;page=1&amp;stext=438219</v>
      </c>
      <c r="I571">
        <v>438219</v>
      </c>
      <c r="J571" t="s">
        <v>2</v>
      </c>
      <c r="K571" t="s">
        <v>1799</v>
      </c>
      <c r="L571" t="s">
        <v>1800</v>
      </c>
      <c r="M571" t="s">
        <v>1801</v>
      </c>
    </row>
    <row r="572" spans="1:13" x14ac:dyDescent="0.25">
      <c r="A572" s="24">
        <f t="shared" si="62"/>
        <v>20</v>
      </c>
      <c r="B572" s="24">
        <v>12</v>
      </c>
      <c r="C572" s="24">
        <v>72.599999999999994</v>
      </c>
      <c r="E572" s="4">
        <v>373349</v>
      </c>
      <c r="F572" s="2" t="s">
        <v>2</v>
      </c>
      <c r="G572" s="2" t="str">
        <f t="shared" si="61"/>
        <v>https://www.oreht.ru/modules.php?name=orehtPriceLS&amp;op=Search&amp;page=1&amp;stext=373349</v>
      </c>
      <c r="I572">
        <v>373349</v>
      </c>
      <c r="J572" t="s">
        <v>2</v>
      </c>
      <c r="K572" t="s">
        <v>1802</v>
      </c>
      <c r="L572" t="s">
        <v>1803</v>
      </c>
      <c r="M572" t="s">
        <v>649</v>
      </c>
    </row>
    <row r="573" spans="1:13" hidden="1" x14ac:dyDescent="0.25">
      <c r="A573" s="24">
        <f t="shared" si="62"/>
        <v>20</v>
      </c>
      <c r="B573" s="24">
        <v>12</v>
      </c>
      <c r="C573" s="24">
        <v>55.15</v>
      </c>
      <c r="E573" s="4">
        <v>430862</v>
      </c>
      <c r="F573" s="2" t="s">
        <v>2</v>
      </c>
      <c r="G573" s="2" t="str">
        <f t="shared" si="61"/>
        <v>https://www.oreht.ru/modules.php?name=orehtPriceLS&amp;op=Search&amp;page=1&amp;stext=430862</v>
      </c>
      <c r="I573">
        <v>430862</v>
      </c>
      <c r="J573" t="s">
        <v>2</v>
      </c>
      <c r="K573" t="s">
        <v>1804</v>
      </c>
      <c r="L573" t="s">
        <v>1805</v>
      </c>
      <c r="M573" t="s">
        <v>1806</v>
      </c>
    </row>
    <row r="574" spans="1:13" hidden="1" x14ac:dyDescent="0.25">
      <c r="A574" s="24">
        <f t="shared" si="62"/>
        <v>20</v>
      </c>
      <c r="B574" s="24">
        <v>10</v>
      </c>
      <c r="C574" s="24">
        <v>58.25</v>
      </c>
      <c r="E574" s="4">
        <v>204779</v>
      </c>
      <c r="F574" s="2" t="s">
        <v>2</v>
      </c>
      <c r="G574" s="2" t="str">
        <f t="shared" si="61"/>
        <v>https://www.oreht.ru/modules.php?name=orehtPriceLS&amp;op=Search&amp;page=1&amp;stext=204779</v>
      </c>
      <c r="I574">
        <v>204779</v>
      </c>
      <c r="J574" t="s">
        <v>2</v>
      </c>
      <c r="K574" t="s">
        <v>1807</v>
      </c>
      <c r="L574" t="s">
        <v>1808</v>
      </c>
      <c r="M574" t="s">
        <v>1809</v>
      </c>
    </row>
    <row r="575" spans="1:13" hidden="1" x14ac:dyDescent="0.25">
      <c r="A575" s="24">
        <f t="shared" si="62"/>
        <v>20</v>
      </c>
      <c r="B575" s="24">
        <v>12</v>
      </c>
      <c r="C575" s="24">
        <v>58.15</v>
      </c>
      <c r="E575" s="4">
        <v>272686</v>
      </c>
      <c r="F575" s="2" t="s">
        <v>2</v>
      </c>
      <c r="G575" s="2" t="str">
        <f t="shared" si="61"/>
        <v>https://www.oreht.ru/modules.php?name=orehtPriceLS&amp;op=Search&amp;page=1&amp;stext=272686</v>
      </c>
      <c r="I575">
        <v>272686</v>
      </c>
      <c r="J575" t="s">
        <v>2</v>
      </c>
      <c r="K575" t="s">
        <v>1810</v>
      </c>
      <c r="L575" t="s">
        <v>1811</v>
      </c>
      <c r="M575" t="s">
        <v>1812</v>
      </c>
    </row>
    <row r="576" spans="1:13" x14ac:dyDescent="0.25">
      <c r="A576" s="24">
        <f t="shared" si="62"/>
        <v>20</v>
      </c>
      <c r="B576" s="24">
        <v>12</v>
      </c>
      <c r="C576" s="24">
        <v>79</v>
      </c>
      <c r="E576" s="4">
        <v>374398</v>
      </c>
      <c r="F576" s="2" t="s">
        <v>2</v>
      </c>
      <c r="G576" s="2" t="str">
        <f t="shared" si="61"/>
        <v>https://www.oreht.ru/modules.php?name=orehtPriceLS&amp;op=Search&amp;page=1&amp;stext=374398</v>
      </c>
      <c r="I576">
        <v>374398</v>
      </c>
      <c r="J576" t="s">
        <v>2</v>
      </c>
      <c r="K576" t="s">
        <v>1813</v>
      </c>
      <c r="L576" t="s">
        <v>1814</v>
      </c>
      <c r="M576" t="s">
        <v>649</v>
      </c>
    </row>
    <row r="577" spans="1:13" x14ac:dyDescent="0.25">
      <c r="A577" s="24">
        <f t="shared" si="62"/>
        <v>20</v>
      </c>
      <c r="B577" s="24">
        <v>12</v>
      </c>
      <c r="C577" s="24">
        <v>54.4</v>
      </c>
      <c r="E577" s="4">
        <v>403281</v>
      </c>
      <c r="F577" s="2" t="s">
        <v>2</v>
      </c>
      <c r="G577" s="2" t="str">
        <f t="shared" si="61"/>
        <v>https://www.oreht.ru/modules.php?name=orehtPriceLS&amp;op=Search&amp;page=1&amp;stext=403281</v>
      </c>
      <c r="I577">
        <v>403281</v>
      </c>
      <c r="J577" t="s">
        <v>2</v>
      </c>
      <c r="K577" t="s">
        <v>1815</v>
      </c>
      <c r="L577" t="s">
        <v>1816</v>
      </c>
      <c r="M577" t="s">
        <v>649</v>
      </c>
    </row>
    <row r="578" spans="1:13" hidden="1" x14ac:dyDescent="0.25">
      <c r="A578" s="24">
        <f t="shared" si="62"/>
        <v>20</v>
      </c>
      <c r="B578" s="24">
        <v>12</v>
      </c>
      <c r="C578" s="24">
        <v>67.98</v>
      </c>
      <c r="E578" s="4">
        <v>364527</v>
      </c>
      <c r="F578" s="2" t="s">
        <v>2</v>
      </c>
      <c r="G578" s="2" t="str">
        <f t="shared" ref="G578:G641" si="63">HYPERLINK(F578&amp;E578)</f>
        <v>https://www.oreht.ru/modules.php?name=orehtPriceLS&amp;op=Search&amp;page=1&amp;stext=364527</v>
      </c>
      <c r="I578">
        <v>364527</v>
      </c>
      <c r="J578" t="s">
        <v>2</v>
      </c>
      <c r="K578" t="s">
        <v>1817</v>
      </c>
      <c r="L578" t="s">
        <v>1818</v>
      </c>
      <c r="M578" t="s">
        <v>1819</v>
      </c>
    </row>
    <row r="579" spans="1:13" x14ac:dyDescent="0.25">
      <c r="A579" s="24">
        <f t="shared" si="62"/>
        <v>20</v>
      </c>
      <c r="B579" s="24">
        <v>12</v>
      </c>
      <c r="C579" s="24">
        <v>60.3</v>
      </c>
      <c r="E579" s="4">
        <v>421431</v>
      </c>
      <c r="F579" s="2" t="s">
        <v>2</v>
      </c>
      <c r="G579" s="2" t="str">
        <f t="shared" si="63"/>
        <v>https://www.oreht.ru/modules.php?name=orehtPriceLS&amp;op=Search&amp;page=1&amp;stext=421431</v>
      </c>
      <c r="I579">
        <v>421431</v>
      </c>
      <c r="J579" t="s">
        <v>2</v>
      </c>
      <c r="K579" t="s">
        <v>1820</v>
      </c>
      <c r="L579" t="s">
        <v>1821</v>
      </c>
      <c r="M579" t="s">
        <v>649</v>
      </c>
    </row>
    <row r="580" spans="1:13" x14ac:dyDescent="0.25">
      <c r="A580" s="24">
        <f t="shared" si="62"/>
        <v>20</v>
      </c>
      <c r="B580" s="24">
        <v>12</v>
      </c>
      <c r="C580" s="24">
        <v>73.38</v>
      </c>
      <c r="E580" s="4">
        <v>347055</v>
      </c>
      <c r="F580" s="2" t="s">
        <v>2</v>
      </c>
      <c r="G580" s="2" t="str">
        <f t="shared" si="63"/>
        <v>https://www.oreht.ru/modules.php?name=orehtPriceLS&amp;op=Search&amp;page=1&amp;stext=347055</v>
      </c>
      <c r="I580">
        <v>347055</v>
      </c>
      <c r="J580" t="s">
        <v>2</v>
      </c>
      <c r="K580" t="s">
        <v>1822</v>
      </c>
      <c r="L580" t="s">
        <v>1823</v>
      </c>
      <c r="M580" t="s">
        <v>649</v>
      </c>
    </row>
    <row r="581" spans="1:13" x14ac:dyDescent="0.25">
      <c r="A581" s="24">
        <f t="shared" ref="A581:A644" si="64">IF(W581*0.05&gt;=250,250,IF(W581*0.05&gt;=20,IF(W581*0.05&lt;20,20,W581*0.05),20))</f>
        <v>20</v>
      </c>
      <c r="B581" s="24">
        <v>12</v>
      </c>
      <c r="C581" s="24">
        <v>73.38</v>
      </c>
      <c r="E581" s="4">
        <v>347048</v>
      </c>
      <c r="F581" s="2" t="s">
        <v>2</v>
      </c>
      <c r="G581" s="2" t="str">
        <f t="shared" si="63"/>
        <v>https://www.oreht.ru/modules.php?name=orehtPriceLS&amp;op=Search&amp;page=1&amp;stext=347048</v>
      </c>
      <c r="I581">
        <v>347048</v>
      </c>
      <c r="J581" t="s">
        <v>2</v>
      </c>
      <c r="K581" t="s">
        <v>1824</v>
      </c>
      <c r="L581" t="s">
        <v>1825</v>
      </c>
      <c r="M581" t="s">
        <v>649</v>
      </c>
    </row>
    <row r="582" spans="1:13" x14ac:dyDescent="0.25">
      <c r="A582" s="24">
        <f t="shared" si="64"/>
        <v>20</v>
      </c>
      <c r="B582" s="24">
        <v>12</v>
      </c>
      <c r="C582" s="24">
        <v>60.3</v>
      </c>
      <c r="E582" s="4">
        <v>347062</v>
      </c>
      <c r="F582" s="2" t="s">
        <v>2</v>
      </c>
      <c r="G582" s="2" t="str">
        <f t="shared" si="63"/>
        <v>https://www.oreht.ru/modules.php?name=orehtPriceLS&amp;op=Search&amp;page=1&amp;stext=347062</v>
      </c>
      <c r="I582">
        <v>347062</v>
      </c>
      <c r="J582" t="s">
        <v>2</v>
      </c>
      <c r="K582" t="s">
        <v>1826</v>
      </c>
      <c r="L582" t="s">
        <v>1827</v>
      </c>
      <c r="M582" t="s">
        <v>649</v>
      </c>
    </row>
    <row r="583" spans="1:13" hidden="1" x14ac:dyDescent="0.25">
      <c r="A583" s="24">
        <f t="shared" si="64"/>
        <v>20</v>
      </c>
      <c r="B583" s="24">
        <v>12</v>
      </c>
      <c r="C583" s="24">
        <v>55.75</v>
      </c>
      <c r="E583" s="4">
        <v>384429</v>
      </c>
      <c r="F583" s="2" t="s">
        <v>2</v>
      </c>
      <c r="G583" s="2" t="str">
        <f t="shared" si="63"/>
        <v>https://www.oreht.ru/modules.php?name=orehtPriceLS&amp;op=Search&amp;page=1&amp;stext=384429</v>
      </c>
      <c r="I583">
        <v>384429</v>
      </c>
      <c r="J583" t="s">
        <v>2</v>
      </c>
      <c r="K583" t="s">
        <v>1828</v>
      </c>
      <c r="L583" t="s">
        <v>1829</v>
      </c>
      <c r="M583" t="s">
        <v>1830</v>
      </c>
    </row>
    <row r="584" spans="1:13" hidden="1" x14ac:dyDescent="0.25">
      <c r="A584" s="24">
        <f t="shared" si="64"/>
        <v>20</v>
      </c>
      <c r="B584" s="24">
        <v>12</v>
      </c>
      <c r="C584" s="24">
        <v>60.3</v>
      </c>
      <c r="E584" s="4">
        <v>384452</v>
      </c>
      <c r="F584" s="2" t="s">
        <v>2</v>
      </c>
      <c r="G584" s="2" t="str">
        <f t="shared" si="63"/>
        <v>https://www.oreht.ru/modules.php?name=orehtPriceLS&amp;op=Search&amp;page=1&amp;stext=384452</v>
      </c>
      <c r="I584">
        <v>384452</v>
      </c>
      <c r="J584" t="s">
        <v>2</v>
      </c>
      <c r="K584" t="s">
        <v>1831</v>
      </c>
      <c r="L584" t="s">
        <v>1832</v>
      </c>
      <c r="M584" t="s">
        <v>1830</v>
      </c>
    </row>
    <row r="585" spans="1:13" hidden="1" x14ac:dyDescent="0.25">
      <c r="A585" s="24">
        <f t="shared" si="64"/>
        <v>20</v>
      </c>
      <c r="B585" s="24">
        <v>12</v>
      </c>
      <c r="C585" s="24">
        <v>60</v>
      </c>
      <c r="E585" s="4">
        <v>198957</v>
      </c>
      <c r="F585" s="2" t="s">
        <v>2</v>
      </c>
      <c r="G585" s="2" t="str">
        <f t="shared" si="63"/>
        <v>https://www.oreht.ru/modules.php?name=orehtPriceLS&amp;op=Search&amp;page=1&amp;stext=198957</v>
      </c>
      <c r="I585">
        <v>198957</v>
      </c>
      <c r="J585" t="s">
        <v>2</v>
      </c>
      <c r="K585" t="s">
        <v>1833</v>
      </c>
      <c r="L585" t="s">
        <v>1834</v>
      </c>
      <c r="M585" t="s">
        <v>1835</v>
      </c>
    </row>
    <row r="586" spans="1:13" hidden="1" x14ac:dyDescent="0.25">
      <c r="A586" s="24">
        <f t="shared" si="64"/>
        <v>20</v>
      </c>
      <c r="B586" s="24">
        <v>12</v>
      </c>
      <c r="C586" s="24">
        <v>100</v>
      </c>
      <c r="E586" s="4">
        <v>322830</v>
      </c>
      <c r="F586" s="2" t="s">
        <v>2</v>
      </c>
      <c r="G586" s="2" t="str">
        <f t="shared" si="63"/>
        <v>https://www.oreht.ru/modules.php?name=orehtPriceLS&amp;op=Search&amp;page=1&amp;stext=322830</v>
      </c>
      <c r="I586">
        <v>322830</v>
      </c>
      <c r="J586" t="s">
        <v>2</v>
      </c>
      <c r="K586" t="s">
        <v>1836</v>
      </c>
      <c r="L586" t="s">
        <v>1837</v>
      </c>
      <c r="M586" t="s">
        <v>1838</v>
      </c>
    </row>
    <row r="587" spans="1:13" x14ac:dyDescent="0.25">
      <c r="A587" s="24">
        <f t="shared" si="64"/>
        <v>20</v>
      </c>
      <c r="B587" s="24">
        <v>12</v>
      </c>
      <c r="C587" s="24">
        <v>60.4</v>
      </c>
      <c r="E587" s="4">
        <v>284345</v>
      </c>
      <c r="F587" s="2" t="s">
        <v>2</v>
      </c>
      <c r="G587" s="2" t="str">
        <f t="shared" si="63"/>
        <v>https://www.oreht.ru/modules.php?name=orehtPriceLS&amp;op=Search&amp;page=1&amp;stext=284345</v>
      </c>
      <c r="I587">
        <v>284345</v>
      </c>
      <c r="J587" t="s">
        <v>2</v>
      </c>
      <c r="K587" t="s">
        <v>1839</v>
      </c>
      <c r="L587" t="s">
        <v>1840</v>
      </c>
      <c r="M587" t="s">
        <v>649</v>
      </c>
    </row>
    <row r="588" spans="1:13" x14ac:dyDescent="0.25">
      <c r="A588" s="24">
        <f t="shared" si="64"/>
        <v>20</v>
      </c>
      <c r="B588" s="24">
        <v>12</v>
      </c>
      <c r="C588" s="24">
        <v>100</v>
      </c>
      <c r="E588" s="4">
        <v>323796</v>
      </c>
      <c r="F588" s="2" t="s">
        <v>2</v>
      </c>
      <c r="G588" s="2" t="str">
        <f t="shared" si="63"/>
        <v>https://www.oreht.ru/modules.php?name=orehtPriceLS&amp;op=Search&amp;page=1&amp;stext=323796</v>
      </c>
      <c r="I588">
        <v>323796</v>
      </c>
      <c r="J588" t="s">
        <v>2</v>
      </c>
      <c r="K588" t="s">
        <v>1841</v>
      </c>
      <c r="L588" t="s">
        <v>1842</v>
      </c>
      <c r="M588" t="s">
        <v>649</v>
      </c>
    </row>
    <row r="589" spans="1:13" hidden="1" x14ac:dyDescent="0.25">
      <c r="A589" s="24">
        <f t="shared" si="64"/>
        <v>20</v>
      </c>
      <c r="B589" s="24">
        <v>12</v>
      </c>
      <c r="C589" s="24">
        <v>60.65</v>
      </c>
      <c r="E589" s="4">
        <v>319318</v>
      </c>
      <c r="F589" s="2" t="s">
        <v>2</v>
      </c>
      <c r="G589" s="2" t="str">
        <f t="shared" si="63"/>
        <v>https://www.oreht.ru/modules.php?name=orehtPriceLS&amp;op=Search&amp;page=1&amp;stext=319318</v>
      </c>
      <c r="I589">
        <v>319318</v>
      </c>
      <c r="J589" t="s">
        <v>2</v>
      </c>
      <c r="K589" t="s">
        <v>1843</v>
      </c>
      <c r="L589" t="s">
        <v>1844</v>
      </c>
      <c r="M589" t="s">
        <v>1845</v>
      </c>
    </row>
    <row r="590" spans="1:13" x14ac:dyDescent="0.25">
      <c r="A590" s="24">
        <f t="shared" si="64"/>
        <v>20</v>
      </c>
      <c r="B590" s="24">
        <v>12</v>
      </c>
      <c r="C590" s="24">
        <v>100</v>
      </c>
      <c r="E590" s="4">
        <v>105393</v>
      </c>
      <c r="F590" s="2" t="s">
        <v>2</v>
      </c>
      <c r="G590" s="2" t="str">
        <f t="shared" si="63"/>
        <v>https://www.oreht.ru/modules.php?name=orehtPriceLS&amp;op=Search&amp;page=1&amp;stext=105393</v>
      </c>
      <c r="I590">
        <v>105393</v>
      </c>
      <c r="J590" t="s">
        <v>2</v>
      </c>
      <c r="K590" t="s">
        <v>1846</v>
      </c>
      <c r="L590" t="s">
        <v>1847</v>
      </c>
      <c r="M590" t="s">
        <v>649</v>
      </c>
    </row>
    <row r="591" spans="1:13" x14ac:dyDescent="0.25">
      <c r="A591" s="24">
        <f t="shared" si="64"/>
        <v>20</v>
      </c>
      <c r="B591" s="24">
        <v>11</v>
      </c>
      <c r="C591" s="24">
        <v>60.05</v>
      </c>
      <c r="E591" s="4">
        <v>380758</v>
      </c>
      <c r="F591" s="2" t="s">
        <v>2</v>
      </c>
      <c r="G591" s="2" t="str">
        <f t="shared" si="63"/>
        <v>https://www.oreht.ru/modules.php?name=orehtPriceLS&amp;op=Search&amp;page=1&amp;stext=380758</v>
      </c>
      <c r="I591">
        <v>380758</v>
      </c>
      <c r="J591" t="s">
        <v>2</v>
      </c>
      <c r="K591" t="s">
        <v>1848</v>
      </c>
      <c r="L591" t="s">
        <v>1849</v>
      </c>
      <c r="M591" t="s">
        <v>649</v>
      </c>
    </row>
    <row r="592" spans="1:13" hidden="1" x14ac:dyDescent="0.25">
      <c r="A592" s="24">
        <f t="shared" si="64"/>
        <v>20</v>
      </c>
      <c r="B592" s="24">
        <v>12</v>
      </c>
      <c r="C592" s="24">
        <v>54.55</v>
      </c>
      <c r="E592" s="4">
        <v>294881</v>
      </c>
      <c r="F592" s="2" t="s">
        <v>2</v>
      </c>
      <c r="G592" s="2" t="str">
        <f t="shared" si="63"/>
        <v>https://www.oreht.ru/modules.php?name=orehtPriceLS&amp;op=Search&amp;page=1&amp;stext=294881</v>
      </c>
      <c r="I592">
        <v>294881</v>
      </c>
      <c r="J592" t="s">
        <v>2</v>
      </c>
      <c r="K592" t="s">
        <v>1850</v>
      </c>
      <c r="L592" t="s">
        <v>1851</v>
      </c>
      <c r="M592" t="s">
        <v>1852</v>
      </c>
    </row>
    <row r="593" spans="1:13" hidden="1" x14ac:dyDescent="0.25">
      <c r="A593" s="24">
        <f t="shared" si="64"/>
        <v>20</v>
      </c>
      <c r="B593" s="24">
        <v>12</v>
      </c>
      <c r="C593" s="24">
        <v>61.15</v>
      </c>
      <c r="E593" s="4">
        <v>432889</v>
      </c>
      <c r="F593" s="2" t="s">
        <v>2</v>
      </c>
      <c r="G593" s="2" t="str">
        <f t="shared" si="63"/>
        <v>https://www.oreht.ru/modules.php?name=orehtPriceLS&amp;op=Search&amp;page=1&amp;stext=432889</v>
      </c>
      <c r="I593">
        <v>432889</v>
      </c>
      <c r="J593" t="s">
        <v>2</v>
      </c>
      <c r="K593" t="s">
        <v>1853</v>
      </c>
      <c r="L593" t="s">
        <v>1854</v>
      </c>
      <c r="M593" t="s">
        <v>1855</v>
      </c>
    </row>
    <row r="594" spans="1:13" x14ac:dyDescent="0.25">
      <c r="A594" s="24">
        <f t="shared" si="64"/>
        <v>20</v>
      </c>
      <c r="B594" s="24">
        <v>12</v>
      </c>
      <c r="C594" s="24">
        <v>61.15</v>
      </c>
      <c r="E594" s="4">
        <v>421451</v>
      </c>
      <c r="F594" s="2" t="s">
        <v>2</v>
      </c>
      <c r="G594" s="2" t="str">
        <f t="shared" si="63"/>
        <v>https://www.oreht.ru/modules.php?name=orehtPriceLS&amp;op=Search&amp;page=1&amp;stext=421451</v>
      </c>
      <c r="I594">
        <v>421451</v>
      </c>
      <c r="J594" t="s">
        <v>2</v>
      </c>
      <c r="K594" t="s">
        <v>1856</v>
      </c>
      <c r="L594" t="s">
        <v>1857</v>
      </c>
      <c r="M594" t="s">
        <v>649</v>
      </c>
    </row>
    <row r="595" spans="1:13" x14ac:dyDescent="0.25">
      <c r="A595" s="24">
        <f t="shared" si="64"/>
        <v>20</v>
      </c>
      <c r="B595" s="24">
        <v>12</v>
      </c>
      <c r="C595" s="24">
        <v>56.5</v>
      </c>
      <c r="E595" s="4">
        <v>421448</v>
      </c>
      <c r="F595" s="2" t="s">
        <v>2</v>
      </c>
      <c r="G595" s="2" t="str">
        <f t="shared" si="63"/>
        <v>https://www.oreht.ru/modules.php?name=orehtPriceLS&amp;op=Search&amp;page=1&amp;stext=421448</v>
      </c>
      <c r="I595">
        <v>421448</v>
      </c>
      <c r="J595" t="s">
        <v>2</v>
      </c>
      <c r="K595" t="s">
        <v>1858</v>
      </c>
      <c r="L595" t="s">
        <v>1859</v>
      </c>
      <c r="M595" t="s">
        <v>649</v>
      </c>
    </row>
    <row r="596" spans="1:13" hidden="1" x14ac:dyDescent="0.25">
      <c r="A596" s="24">
        <f t="shared" si="64"/>
        <v>20</v>
      </c>
      <c r="B596" s="24">
        <v>10</v>
      </c>
      <c r="C596" s="24">
        <v>79</v>
      </c>
      <c r="E596" s="4">
        <v>104932</v>
      </c>
      <c r="F596" s="2" t="s">
        <v>2</v>
      </c>
      <c r="G596" s="2" t="str">
        <f t="shared" si="63"/>
        <v>https://www.oreht.ru/modules.php?name=orehtPriceLS&amp;op=Search&amp;page=1&amp;stext=104932</v>
      </c>
      <c r="I596">
        <v>104932</v>
      </c>
      <c r="J596" t="s">
        <v>2</v>
      </c>
      <c r="K596" t="s">
        <v>1860</v>
      </c>
      <c r="L596" t="s">
        <v>1861</v>
      </c>
      <c r="M596" t="s">
        <v>1862</v>
      </c>
    </row>
    <row r="597" spans="1:13" hidden="1" x14ac:dyDescent="0.25">
      <c r="A597" s="24">
        <f t="shared" si="64"/>
        <v>20</v>
      </c>
      <c r="B597" s="24">
        <v>12</v>
      </c>
      <c r="C597" s="24">
        <v>62.7</v>
      </c>
      <c r="E597" s="4">
        <v>156546</v>
      </c>
      <c r="F597" s="2" t="s">
        <v>2</v>
      </c>
      <c r="G597" s="2" t="str">
        <f t="shared" si="63"/>
        <v>https://www.oreht.ru/modules.php?name=orehtPriceLS&amp;op=Search&amp;page=1&amp;stext=156546</v>
      </c>
      <c r="I597">
        <v>156546</v>
      </c>
      <c r="J597" t="s">
        <v>2</v>
      </c>
      <c r="K597" t="s">
        <v>1863</v>
      </c>
      <c r="L597" t="s">
        <v>1864</v>
      </c>
      <c r="M597" t="s">
        <v>1865</v>
      </c>
    </row>
    <row r="598" spans="1:13" x14ac:dyDescent="0.25">
      <c r="A598" s="24">
        <f t="shared" si="64"/>
        <v>20</v>
      </c>
      <c r="B598" s="24">
        <v>12</v>
      </c>
      <c r="C598" s="24">
        <v>61.45</v>
      </c>
      <c r="E598" s="4">
        <v>238836</v>
      </c>
      <c r="F598" s="2" t="s">
        <v>2</v>
      </c>
      <c r="G598" s="2" t="str">
        <f t="shared" si="63"/>
        <v>https://www.oreht.ru/modules.php?name=orehtPriceLS&amp;op=Search&amp;page=1&amp;stext=238836</v>
      </c>
      <c r="I598">
        <v>238836</v>
      </c>
      <c r="J598" t="s">
        <v>2</v>
      </c>
      <c r="K598" t="s">
        <v>1866</v>
      </c>
      <c r="L598" t="s">
        <v>1867</v>
      </c>
      <c r="M598" t="s">
        <v>649</v>
      </c>
    </row>
    <row r="599" spans="1:13" x14ac:dyDescent="0.25">
      <c r="A599" s="24">
        <f t="shared" si="64"/>
        <v>20</v>
      </c>
      <c r="B599" s="24">
        <v>12</v>
      </c>
      <c r="C599" s="24">
        <v>120</v>
      </c>
      <c r="E599" s="4">
        <v>401365</v>
      </c>
      <c r="F599" s="2" t="s">
        <v>2</v>
      </c>
      <c r="G599" s="2" t="str">
        <f t="shared" si="63"/>
        <v>https://www.oreht.ru/modules.php?name=orehtPriceLS&amp;op=Search&amp;page=1&amp;stext=401365</v>
      </c>
      <c r="I599">
        <v>401365</v>
      </c>
      <c r="J599" t="s">
        <v>2</v>
      </c>
      <c r="K599" t="s">
        <v>1868</v>
      </c>
      <c r="L599" t="s">
        <v>1869</v>
      </c>
      <c r="M599" t="s">
        <v>649</v>
      </c>
    </row>
    <row r="600" spans="1:13" hidden="1" x14ac:dyDescent="0.25">
      <c r="A600" s="24">
        <f t="shared" si="64"/>
        <v>20</v>
      </c>
      <c r="B600" s="24">
        <v>12</v>
      </c>
      <c r="C600" s="24">
        <v>50.15</v>
      </c>
      <c r="E600" s="4">
        <v>337043</v>
      </c>
      <c r="F600" s="2" t="s">
        <v>2</v>
      </c>
      <c r="G600" s="2" t="str">
        <f t="shared" si="63"/>
        <v>https://www.oreht.ru/modules.php?name=orehtPriceLS&amp;op=Search&amp;page=1&amp;stext=337043</v>
      </c>
      <c r="I600">
        <v>337043</v>
      </c>
      <c r="J600" t="s">
        <v>2</v>
      </c>
      <c r="K600" t="s">
        <v>1870</v>
      </c>
      <c r="L600" t="s">
        <v>1871</v>
      </c>
      <c r="M600" t="s">
        <v>1872</v>
      </c>
    </row>
    <row r="601" spans="1:13" x14ac:dyDescent="0.25">
      <c r="A601" s="24">
        <f t="shared" si="64"/>
        <v>20</v>
      </c>
      <c r="B601" s="24">
        <v>12</v>
      </c>
      <c r="C601" s="24">
        <v>74.94</v>
      </c>
      <c r="E601" s="4">
        <v>341384</v>
      </c>
      <c r="F601" s="2" t="s">
        <v>2</v>
      </c>
      <c r="G601" s="2" t="str">
        <f t="shared" si="63"/>
        <v>https://www.oreht.ru/modules.php?name=orehtPriceLS&amp;op=Search&amp;page=1&amp;stext=341384</v>
      </c>
      <c r="I601">
        <v>341384</v>
      </c>
      <c r="J601" t="s">
        <v>2</v>
      </c>
      <c r="K601" t="s">
        <v>1873</v>
      </c>
      <c r="L601" t="s">
        <v>1874</v>
      </c>
      <c r="M601" t="s">
        <v>649</v>
      </c>
    </row>
    <row r="602" spans="1:13" x14ac:dyDescent="0.25">
      <c r="A602" s="24">
        <f t="shared" si="64"/>
        <v>20</v>
      </c>
      <c r="B602" s="24">
        <v>12</v>
      </c>
      <c r="C602" s="24">
        <v>79</v>
      </c>
      <c r="E602" s="4">
        <v>422240</v>
      </c>
      <c r="F602" s="2" t="s">
        <v>2</v>
      </c>
      <c r="G602" s="2" t="str">
        <f t="shared" si="63"/>
        <v>https://www.oreht.ru/modules.php?name=orehtPriceLS&amp;op=Search&amp;page=1&amp;stext=422240</v>
      </c>
      <c r="I602">
        <v>422240</v>
      </c>
      <c r="J602" t="s">
        <v>2</v>
      </c>
      <c r="K602" t="s">
        <v>1875</v>
      </c>
      <c r="L602" t="s">
        <v>1876</v>
      </c>
      <c r="M602" t="s">
        <v>649</v>
      </c>
    </row>
    <row r="603" spans="1:13" hidden="1" x14ac:dyDescent="0.25">
      <c r="A603" s="24">
        <f t="shared" si="64"/>
        <v>20</v>
      </c>
      <c r="B603" s="24">
        <v>12</v>
      </c>
      <c r="C603" s="24">
        <v>74.64</v>
      </c>
      <c r="E603" s="4">
        <v>311683</v>
      </c>
      <c r="F603" s="2" t="s">
        <v>2</v>
      </c>
      <c r="G603" s="2" t="str">
        <f t="shared" si="63"/>
        <v>https://www.oreht.ru/modules.php?name=orehtPriceLS&amp;op=Search&amp;page=1&amp;stext=311683</v>
      </c>
      <c r="I603">
        <v>311683</v>
      </c>
      <c r="J603" t="s">
        <v>2</v>
      </c>
      <c r="K603" t="s">
        <v>1877</v>
      </c>
      <c r="L603" t="s">
        <v>1878</v>
      </c>
      <c r="M603" t="s">
        <v>1879</v>
      </c>
    </row>
    <row r="604" spans="1:13" hidden="1" x14ac:dyDescent="0.25">
      <c r="A604" s="24">
        <f t="shared" si="64"/>
        <v>20</v>
      </c>
      <c r="B604" s="24">
        <v>12</v>
      </c>
      <c r="C604" s="24">
        <v>61.7</v>
      </c>
      <c r="E604" s="4">
        <v>306222</v>
      </c>
      <c r="F604" s="2" t="s">
        <v>2</v>
      </c>
      <c r="G604" s="2" t="str">
        <f t="shared" si="63"/>
        <v>https://www.oreht.ru/modules.php?name=orehtPriceLS&amp;op=Search&amp;page=1&amp;stext=306222</v>
      </c>
      <c r="I604">
        <v>306222</v>
      </c>
      <c r="J604" t="s">
        <v>2</v>
      </c>
      <c r="K604" t="s">
        <v>1880</v>
      </c>
      <c r="L604" t="s">
        <v>1881</v>
      </c>
      <c r="M604" t="s">
        <v>1882</v>
      </c>
    </row>
    <row r="605" spans="1:13" x14ac:dyDescent="0.25">
      <c r="A605" s="24">
        <f t="shared" si="64"/>
        <v>20</v>
      </c>
      <c r="B605" s="24">
        <v>12</v>
      </c>
      <c r="C605" s="24">
        <v>70.260000000000005</v>
      </c>
      <c r="E605" s="4">
        <v>285330</v>
      </c>
      <c r="F605" s="2" t="s">
        <v>2</v>
      </c>
      <c r="G605" s="2" t="str">
        <f t="shared" si="63"/>
        <v>https://www.oreht.ru/modules.php?name=orehtPriceLS&amp;op=Search&amp;page=1&amp;stext=285330</v>
      </c>
      <c r="I605">
        <v>285330</v>
      </c>
      <c r="J605" t="s">
        <v>2</v>
      </c>
      <c r="K605" t="s">
        <v>1883</v>
      </c>
      <c r="L605" t="s">
        <v>1884</v>
      </c>
      <c r="M605" t="s">
        <v>649</v>
      </c>
    </row>
    <row r="606" spans="1:13" hidden="1" x14ac:dyDescent="0.25">
      <c r="A606" s="24">
        <f t="shared" si="64"/>
        <v>20</v>
      </c>
      <c r="B606" s="24">
        <v>12</v>
      </c>
      <c r="C606" s="24">
        <v>69.12</v>
      </c>
      <c r="E606" s="4">
        <v>360020</v>
      </c>
      <c r="F606" s="2" t="s">
        <v>2</v>
      </c>
      <c r="G606" s="2" t="str">
        <f t="shared" si="63"/>
        <v>https://www.oreht.ru/modules.php?name=orehtPriceLS&amp;op=Search&amp;page=1&amp;stext=360020</v>
      </c>
      <c r="I606">
        <v>360020</v>
      </c>
      <c r="J606" t="s">
        <v>2</v>
      </c>
      <c r="K606" t="s">
        <v>1885</v>
      </c>
      <c r="L606" t="s">
        <v>1886</v>
      </c>
      <c r="M606" t="s">
        <v>1887</v>
      </c>
    </row>
    <row r="607" spans="1:13" x14ac:dyDescent="0.25">
      <c r="A607" s="24">
        <f t="shared" si="64"/>
        <v>20</v>
      </c>
      <c r="B607" s="24">
        <v>12</v>
      </c>
      <c r="C607" s="24">
        <v>75.3</v>
      </c>
      <c r="E607" s="4">
        <v>402844</v>
      </c>
      <c r="F607" s="2" t="s">
        <v>2</v>
      </c>
      <c r="G607" s="2" t="str">
        <f t="shared" si="63"/>
        <v>https://www.oreht.ru/modules.php?name=orehtPriceLS&amp;op=Search&amp;page=1&amp;stext=402844</v>
      </c>
      <c r="I607">
        <v>402844</v>
      </c>
      <c r="J607" t="s">
        <v>2</v>
      </c>
      <c r="K607" t="s">
        <v>1888</v>
      </c>
      <c r="L607" t="s">
        <v>1889</v>
      </c>
      <c r="M607" t="s">
        <v>649</v>
      </c>
    </row>
    <row r="608" spans="1:13" x14ac:dyDescent="0.25">
      <c r="A608" s="24">
        <f t="shared" si="64"/>
        <v>20</v>
      </c>
      <c r="B608" s="24">
        <v>12</v>
      </c>
      <c r="C608" s="24">
        <v>75.3</v>
      </c>
      <c r="E608" s="4">
        <v>428630</v>
      </c>
      <c r="F608" s="2" t="s">
        <v>2</v>
      </c>
      <c r="G608" s="2" t="str">
        <f t="shared" si="63"/>
        <v>https://www.oreht.ru/modules.php?name=orehtPriceLS&amp;op=Search&amp;page=1&amp;stext=428630</v>
      </c>
      <c r="I608">
        <v>428630</v>
      </c>
      <c r="J608" t="s">
        <v>2</v>
      </c>
      <c r="K608" t="s">
        <v>1890</v>
      </c>
      <c r="L608" t="s">
        <v>1891</v>
      </c>
      <c r="M608" t="s">
        <v>649</v>
      </c>
    </row>
    <row r="609" spans="1:13" x14ac:dyDescent="0.25">
      <c r="A609" s="24">
        <f t="shared" si="64"/>
        <v>20</v>
      </c>
      <c r="B609" s="24">
        <v>12</v>
      </c>
      <c r="C609" s="24">
        <v>79</v>
      </c>
      <c r="E609" s="4">
        <v>341394</v>
      </c>
      <c r="F609" s="2" t="s">
        <v>2</v>
      </c>
      <c r="G609" s="2" t="str">
        <f t="shared" si="63"/>
        <v>https://www.oreht.ru/modules.php?name=orehtPriceLS&amp;op=Search&amp;page=1&amp;stext=341394</v>
      </c>
      <c r="I609">
        <v>341394</v>
      </c>
      <c r="J609" t="s">
        <v>2</v>
      </c>
      <c r="K609" t="s">
        <v>1892</v>
      </c>
    </row>
    <row r="610" spans="1:13" x14ac:dyDescent="0.25">
      <c r="A610" s="24">
        <f t="shared" si="64"/>
        <v>20</v>
      </c>
      <c r="B610" s="24">
        <v>12</v>
      </c>
      <c r="C610" s="24">
        <v>62.1</v>
      </c>
      <c r="E610" s="4">
        <v>393851</v>
      </c>
      <c r="F610" s="2" t="s">
        <v>2</v>
      </c>
      <c r="G610" s="2" t="str">
        <f t="shared" si="63"/>
        <v>https://www.oreht.ru/modules.php?name=orehtPriceLS&amp;op=Search&amp;page=1&amp;stext=393851</v>
      </c>
      <c r="I610">
        <v>393851</v>
      </c>
      <c r="J610" t="s">
        <v>2</v>
      </c>
      <c r="K610" t="s">
        <v>1893</v>
      </c>
      <c r="L610" t="s">
        <v>1894</v>
      </c>
      <c r="M610" t="s">
        <v>649</v>
      </c>
    </row>
    <row r="611" spans="1:13" hidden="1" x14ac:dyDescent="0.25">
      <c r="A611" s="24">
        <f t="shared" si="64"/>
        <v>20</v>
      </c>
      <c r="B611" s="24">
        <v>12</v>
      </c>
      <c r="C611" s="24">
        <v>52.2</v>
      </c>
      <c r="E611" s="4">
        <v>337092</v>
      </c>
      <c r="F611" s="2" t="s">
        <v>2</v>
      </c>
      <c r="G611" s="2" t="str">
        <f t="shared" si="63"/>
        <v>https://www.oreht.ru/modules.php?name=orehtPriceLS&amp;op=Search&amp;page=1&amp;stext=337092</v>
      </c>
      <c r="I611">
        <v>337092</v>
      </c>
      <c r="J611" t="s">
        <v>2</v>
      </c>
      <c r="K611" t="s">
        <v>1895</v>
      </c>
      <c r="L611" t="s">
        <v>1896</v>
      </c>
      <c r="M611" t="s">
        <v>1897</v>
      </c>
    </row>
    <row r="612" spans="1:13" hidden="1" x14ac:dyDescent="0.25">
      <c r="A612" s="24">
        <f t="shared" si="64"/>
        <v>20</v>
      </c>
      <c r="B612" s="24">
        <v>12</v>
      </c>
      <c r="C612" s="24">
        <v>79</v>
      </c>
      <c r="E612" s="4">
        <v>350357</v>
      </c>
      <c r="F612" s="2" t="s">
        <v>2</v>
      </c>
      <c r="G612" s="2" t="str">
        <f t="shared" si="63"/>
        <v>https://www.oreht.ru/modules.php?name=orehtPriceLS&amp;op=Search&amp;page=1&amp;stext=350357</v>
      </c>
      <c r="I612">
        <v>350357</v>
      </c>
      <c r="J612" t="s">
        <v>2</v>
      </c>
      <c r="K612" t="s">
        <v>1898</v>
      </c>
      <c r="L612" t="s">
        <v>1899</v>
      </c>
      <c r="M612" t="s">
        <v>1900</v>
      </c>
    </row>
    <row r="613" spans="1:13" hidden="1" x14ac:dyDescent="0.25">
      <c r="A613" s="24">
        <f t="shared" si="64"/>
        <v>20</v>
      </c>
      <c r="B613" s="24">
        <v>12</v>
      </c>
      <c r="C613" s="24">
        <v>71</v>
      </c>
      <c r="E613" s="4">
        <v>338094</v>
      </c>
      <c r="F613" s="2" t="s">
        <v>2</v>
      </c>
      <c r="G613" s="2" t="str">
        <f t="shared" si="63"/>
        <v>https://www.oreht.ru/modules.php?name=orehtPriceLS&amp;op=Search&amp;page=1&amp;stext=338094</v>
      </c>
      <c r="I613">
        <v>338094</v>
      </c>
      <c r="J613" t="s">
        <v>2</v>
      </c>
      <c r="K613" t="s">
        <v>1901</v>
      </c>
      <c r="L613" t="s">
        <v>1902</v>
      </c>
      <c r="M613" t="s">
        <v>1903</v>
      </c>
    </row>
    <row r="614" spans="1:13" x14ac:dyDescent="0.25">
      <c r="A614" s="24">
        <f t="shared" si="64"/>
        <v>20</v>
      </c>
      <c r="B614" s="24">
        <v>12</v>
      </c>
      <c r="C614" s="24">
        <v>160</v>
      </c>
      <c r="E614" s="4">
        <v>399005</v>
      </c>
      <c r="F614" s="2" t="s">
        <v>2</v>
      </c>
      <c r="G614" s="2" t="str">
        <f t="shared" si="63"/>
        <v>https://www.oreht.ru/modules.php?name=orehtPriceLS&amp;op=Search&amp;page=1&amp;stext=399005</v>
      </c>
      <c r="I614">
        <v>399005</v>
      </c>
      <c r="J614" t="s">
        <v>2</v>
      </c>
      <c r="K614" t="s">
        <v>1904</v>
      </c>
      <c r="L614" t="s">
        <v>1905</v>
      </c>
      <c r="M614" t="s">
        <v>649</v>
      </c>
    </row>
    <row r="615" spans="1:13" hidden="1" x14ac:dyDescent="0.25">
      <c r="A615" s="24">
        <f t="shared" si="64"/>
        <v>20</v>
      </c>
      <c r="B615" s="24">
        <v>12</v>
      </c>
      <c r="C615" s="24">
        <v>69</v>
      </c>
      <c r="E615" s="4">
        <v>255232</v>
      </c>
      <c r="F615" s="2" t="s">
        <v>2</v>
      </c>
      <c r="G615" s="2" t="str">
        <f t="shared" si="63"/>
        <v>https://www.oreht.ru/modules.php?name=orehtPriceLS&amp;op=Search&amp;page=1&amp;stext=255232</v>
      </c>
      <c r="I615">
        <v>255232</v>
      </c>
      <c r="J615" t="s">
        <v>2</v>
      </c>
      <c r="K615" t="s">
        <v>1906</v>
      </c>
      <c r="L615" t="s">
        <v>1907</v>
      </c>
      <c r="M615" t="s">
        <v>1908</v>
      </c>
    </row>
    <row r="616" spans="1:13" x14ac:dyDescent="0.25">
      <c r="A616" s="24">
        <f t="shared" si="64"/>
        <v>20</v>
      </c>
      <c r="B616" s="24">
        <v>10</v>
      </c>
      <c r="C616" s="24">
        <v>73.92</v>
      </c>
      <c r="E616" s="4">
        <v>330011</v>
      </c>
      <c r="F616" s="2" t="s">
        <v>2</v>
      </c>
      <c r="G616" s="2" t="str">
        <f t="shared" si="63"/>
        <v>https://www.oreht.ru/modules.php?name=orehtPriceLS&amp;op=Search&amp;page=1&amp;stext=330011</v>
      </c>
      <c r="I616">
        <v>330011</v>
      </c>
      <c r="J616" t="s">
        <v>2</v>
      </c>
      <c r="K616" t="s">
        <v>1909</v>
      </c>
      <c r="L616" t="s">
        <v>1910</v>
      </c>
      <c r="M616" t="s">
        <v>649</v>
      </c>
    </row>
    <row r="617" spans="1:13" hidden="1" x14ac:dyDescent="0.25">
      <c r="A617" s="24">
        <f t="shared" si="64"/>
        <v>20</v>
      </c>
      <c r="B617" s="24">
        <v>12</v>
      </c>
      <c r="C617" s="24">
        <v>60.25</v>
      </c>
      <c r="E617" s="4">
        <v>342598</v>
      </c>
      <c r="F617" s="2" t="s">
        <v>2</v>
      </c>
      <c r="G617" s="2" t="str">
        <f t="shared" si="63"/>
        <v>https://www.oreht.ru/modules.php?name=orehtPriceLS&amp;op=Search&amp;page=1&amp;stext=342598</v>
      </c>
      <c r="I617">
        <v>342598</v>
      </c>
      <c r="J617" t="s">
        <v>2</v>
      </c>
      <c r="K617" t="s">
        <v>1911</v>
      </c>
      <c r="L617" t="s">
        <v>1912</v>
      </c>
      <c r="M617" t="s">
        <v>1913</v>
      </c>
    </row>
    <row r="618" spans="1:13" x14ac:dyDescent="0.25">
      <c r="A618" s="24">
        <f t="shared" si="64"/>
        <v>20</v>
      </c>
      <c r="B618" s="24">
        <v>12</v>
      </c>
      <c r="C618" s="24">
        <v>62.55</v>
      </c>
      <c r="E618" s="4">
        <v>379864</v>
      </c>
      <c r="F618" s="2" t="s">
        <v>2</v>
      </c>
      <c r="G618" s="2" t="str">
        <f t="shared" si="63"/>
        <v>https://www.oreht.ru/modules.php?name=orehtPriceLS&amp;op=Search&amp;page=1&amp;stext=379864</v>
      </c>
      <c r="I618">
        <v>379864</v>
      </c>
      <c r="J618" t="s">
        <v>2</v>
      </c>
      <c r="K618" t="s">
        <v>1914</v>
      </c>
      <c r="L618" t="s">
        <v>1915</v>
      </c>
      <c r="M618" t="s">
        <v>649</v>
      </c>
    </row>
    <row r="619" spans="1:13" hidden="1" x14ac:dyDescent="0.25">
      <c r="A619" s="24">
        <f t="shared" si="64"/>
        <v>20</v>
      </c>
      <c r="B619" s="24">
        <v>12</v>
      </c>
      <c r="C619" s="24">
        <v>56</v>
      </c>
      <c r="E619" s="4">
        <v>88670</v>
      </c>
      <c r="F619" s="2" t="s">
        <v>2</v>
      </c>
      <c r="G619" s="2" t="str">
        <f t="shared" si="63"/>
        <v>https://www.oreht.ru/modules.php?name=orehtPriceLS&amp;op=Search&amp;page=1&amp;stext=88670</v>
      </c>
      <c r="I619">
        <v>88670</v>
      </c>
      <c r="J619" t="s">
        <v>2</v>
      </c>
      <c r="K619" t="s">
        <v>1916</v>
      </c>
      <c r="L619" t="s">
        <v>1917</v>
      </c>
      <c r="M619" t="s">
        <v>1918</v>
      </c>
    </row>
    <row r="620" spans="1:13" x14ac:dyDescent="0.25">
      <c r="A620" s="24">
        <f t="shared" si="64"/>
        <v>20</v>
      </c>
      <c r="B620" s="24">
        <v>12</v>
      </c>
      <c r="C620" s="24">
        <v>57.35</v>
      </c>
      <c r="E620" s="4">
        <v>431543</v>
      </c>
      <c r="F620" s="2" t="s">
        <v>2</v>
      </c>
      <c r="G620" s="2" t="str">
        <f t="shared" si="63"/>
        <v>https://www.oreht.ru/modules.php?name=orehtPriceLS&amp;op=Search&amp;page=1&amp;stext=431543</v>
      </c>
      <c r="I620">
        <v>431543</v>
      </c>
      <c r="J620" t="s">
        <v>2</v>
      </c>
      <c r="K620" t="s">
        <v>1919</v>
      </c>
      <c r="L620" t="s">
        <v>1920</v>
      </c>
      <c r="M620" t="s">
        <v>649</v>
      </c>
    </row>
    <row r="621" spans="1:13" x14ac:dyDescent="0.25">
      <c r="A621" s="24">
        <f t="shared" si="64"/>
        <v>20</v>
      </c>
      <c r="B621" s="24">
        <v>12</v>
      </c>
      <c r="C621" s="24">
        <v>62.75</v>
      </c>
      <c r="E621" s="4">
        <v>370283</v>
      </c>
      <c r="F621" s="2" t="s">
        <v>2</v>
      </c>
      <c r="G621" s="2" t="str">
        <f t="shared" si="63"/>
        <v>https://www.oreht.ru/modules.php?name=orehtPriceLS&amp;op=Search&amp;page=1&amp;stext=370283</v>
      </c>
      <c r="I621">
        <v>370283</v>
      </c>
      <c r="J621" t="s">
        <v>2</v>
      </c>
      <c r="K621" t="s">
        <v>1921</v>
      </c>
      <c r="L621" t="s">
        <v>1922</v>
      </c>
      <c r="M621" t="s">
        <v>649</v>
      </c>
    </row>
    <row r="622" spans="1:13" hidden="1" x14ac:dyDescent="0.25">
      <c r="A622" s="24">
        <f t="shared" si="64"/>
        <v>20</v>
      </c>
      <c r="B622" s="24">
        <v>12</v>
      </c>
      <c r="C622" s="24">
        <v>79</v>
      </c>
      <c r="E622" s="4">
        <v>142192</v>
      </c>
      <c r="F622" s="2" t="s">
        <v>2</v>
      </c>
      <c r="G622" s="2" t="str">
        <f t="shared" si="63"/>
        <v>https://www.oreht.ru/modules.php?name=orehtPriceLS&amp;op=Search&amp;page=1&amp;stext=142192</v>
      </c>
      <c r="I622">
        <v>142192</v>
      </c>
      <c r="J622" t="s">
        <v>2</v>
      </c>
      <c r="K622" t="s">
        <v>1923</v>
      </c>
      <c r="L622" t="s">
        <v>1924</v>
      </c>
      <c r="M622" t="s">
        <v>1925</v>
      </c>
    </row>
    <row r="623" spans="1:13" x14ac:dyDescent="0.25">
      <c r="A623" s="24">
        <f t="shared" si="64"/>
        <v>20</v>
      </c>
      <c r="B623" s="24">
        <v>10</v>
      </c>
      <c r="C623" s="24">
        <v>79</v>
      </c>
      <c r="E623" s="4">
        <v>363861</v>
      </c>
      <c r="F623" s="2" t="s">
        <v>2</v>
      </c>
      <c r="G623" s="2" t="str">
        <f t="shared" si="63"/>
        <v>https://www.oreht.ru/modules.php?name=orehtPriceLS&amp;op=Search&amp;page=1&amp;stext=363861</v>
      </c>
      <c r="I623">
        <v>363861</v>
      </c>
      <c r="J623" t="s">
        <v>2</v>
      </c>
      <c r="K623" t="s">
        <v>1926</v>
      </c>
      <c r="L623" t="s">
        <v>1927</v>
      </c>
      <c r="M623" t="s">
        <v>649</v>
      </c>
    </row>
    <row r="624" spans="1:13" x14ac:dyDescent="0.25">
      <c r="A624" s="24">
        <f t="shared" si="64"/>
        <v>20</v>
      </c>
      <c r="B624" s="24">
        <v>12</v>
      </c>
      <c r="C624" s="24">
        <v>62.85</v>
      </c>
      <c r="E624" s="4">
        <v>364693</v>
      </c>
      <c r="F624" s="2" t="s">
        <v>2</v>
      </c>
      <c r="G624" s="2" t="str">
        <f t="shared" si="63"/>
        <v>https://www.oreht.ru/modules.php?name=orehtPriceLS&amp;op=Search&amp;page=1&amp;stext=364693</v>
      </c>
      <c r="I624">
        <v>364693</v>
      </c>
      <c r="J624" t="s">
        <v>2</v>
      </c>
      <c r="K624" t="s">
        <v>1928</v>
      </c>
      <c r="L624" t="s">
        <v>1929</v>
      </c>
      <c r="M624" t="s">
        <v>649</v>
      </c>
    </row>
    <row r="625" spans="1:13" hidden="1" x14ac:dyDescent="0.25">
      <c r="A625" s="24">
        <f t="shared" si="64"/>
        <v>20</v>
      </c>
      <c r="B625" s="24">
        <v>12</v>
      </c>
      <c r="C625" s="24">
        <v>72.599999999999994</v>
      </c>
      <c r="E625" s="4">
        <v>409107</v>
      </c>
      <c r="F625" s="2" t="s">
        <v>2</v>
      </c>
      <c r="G625" s="2" t="str">
        <f t="shared" si="63"/>
        <v>https://www.oreht.ru/modules.php?name=orehtPriceLS&amp;op=Search&amp;page=1&amp;stext=409107</v>
      </c>
      <c r="I625">
        <v>409107</v>
      </c>
      <c r="J625" t="s">
        <v>2</v>
      </c>
      <c r="K625" t="s">
        <v>1930</v>
      </c>
      <c r="L625" t="s">
        <v>1931</v>
      </c>
      <c r="M625" t="s">
        <v>1932</v>
      </c>
    </row>
    <row r="626" spans="1:13" hidden="1" x14ac:dyDescent="0.25">
      <c r="A626" s="24">
        <f t="shared" si="64"/>
        <v>20</v>
      </c>
      <c r="B626" s="24">
        <v>12</v>
      </c>
      <c r="C626" s="24">
        <v>71.760000000000005</v>
      </c>
      <c r="E626" s="4">
        <v>428552</v>
      </c>
      <c r="F626" s="2" t="s">
        <v>2</v>
      </c>
      <c r="G626" s="2" t="str">
        <f t="shared" si="63"/>
        <v>https://www.oreht.ru/modules.php?name=orehtPriceLS&amp;op=Search&amp;page=1&amp;stext=428552</v>
      </c>
      <c r="I626">
        <v>428552</v>
      </c>
      <c r="J626" t="s">
        <v>2</v>
      </c>
      <c r="K626" t="s">
        <v>1933</v>
      </c>
      <c r="L626" t="s">
        <v>1934</v>
      </c>
      <c r="M626" t="s">
        <v>1935</v>
      </c>
    </row>
    <row r="627" spans="1:13" hidden="1" x14ac:dyDescent="0.25">
      <c r="A627" s="24">
        <f t="shared" si="64"/>
        <v>20</v>
      </c>
      <c r="B627" s="24">
        <v>10</v>
      </c>
      <c r="C627" s="24">
        <v>79</v>
      </c>
      <c r="E627" s="4">
        <v>428548</v>
      </c>
      <c r="F627" s="2" t="s">
        <v>2</v>
      </c>
      <c r="G627" s="2" t="str">
        <f t="shared" si="63"/>
        <v>https://www.oreht.ru/modules.php?name=orehtPriceLS&amp;op=Search&amp;page=1&amp;stext=428548</v>
      </c>
      <c r="I627">
        <v>428548</v>
      </c>
      <c r="J627" t="s">
        <v>2</v>
      </c>
      <c r="K627" t="s">
        <v>1936</v>
      </c>
      <c r="L627" t="s">
        <v>1937</v>
      </c>
      <c r="M627" t="s">
        <v>1935</v>
      </c>
    </row>
    <row r="628" spans="1:13" x14ac:dyDescent="0.25">
      <c r="A628" s="24">
        <f t="shared" si="64"/>
        <v>20</v>
      </c>
      <c r="B628" s="24">
        <v>12</v>
      </c>
      <c r="C628" s="24">
        <v>79</v>
      </c>
      <c r="E628" s="4">
        <v>407089</v>
      </c>
      <c r="F628" s="2" t="s">
        <v>2</v>
      </c>
      <c r="G628" s="2" t="str">
        <f t="shared" si="63"/>
        <v>https://www.oreht.ru/modules.php?name=orehtPriceLS&amp;op=Search&amp;page=1&amp;stext=407089</v>
      </c>
      <c r="I628">
        <v>407089</v>
      </c>
      <c r="J628" t="s">
        <v>2</v>
      </c>
      <c r="K628" t="s">
        <v>1938</v>
      </c>
      <c r="L628" t="s">
        <v>1939</v>
      </c>
      <c r="M628" t="s">
        <v>649</v>
      </c>
    </row>
    <row r="629" spans="1:13" hidden="1" x14ac:dyDescent="0.25">
      <c r="A629" s="24">
        <f t="shared" si="64"/>
        <v>20</v>
      </c>
      <c r="B629" s="24">
        <v>12</v>
      </c>
      <c r="C629" s="24">
        <v>55.15</v>
      </c>
      <c r="E629" s="4">
        <v>377141</v>
      </c>
      <c r="F629" s="2" t="s">
        <v>2</v>
      </c>
      <c r="G629" s="2" t="str">
        <f t="shared" si="63"/>
        <v>https://www.oreht.ru/modules.php?name=orehtPriceLS&amp;op=Search&amp;page=1&amp;stext=377141</v>
      </c>
      <c r="I629">
        <v>377141</v>
      </c>
      <c r="J629" t="s">
        <v>2</v>
      </c>
      <c r="K629" t="s">
        <v>1940</v>
      </c>
      <c r="L629" t="s">
        <v>1941</v>
      </c>
      <c r="M629" t="s">
        <v>1942</v>
      </c>
    </row>
    <row r="630" spans="1:13" x14ac:dyDescent="0.25">
      <c r="A630" s="24">
        <f t="shared" si="64"/>
        <v>20</v>
      </c>
      <c r="B630" s="24">
        <v>12</v>
      </c>
      <c r="C630" s="24">
        <v>100</v>
      </c>
      <c r="E630" s="4">
        <v>355678</v>
      </c>
      <c r="F630" s="2" t="s">
        <v>2</v>
      </c>
      <c r="G630" s="2" t="str">
        <f t="shared" si="63"/>
        <v>https://www.oreht.ru/modules.php?name=orehtPriceLS&amp;op=Search&amp;page=1&amp;stext=355678</v>
      </c>
      <c r="I630">
        <v>355678</v>
      </c>
      <c r="J630" t="s">
        <v>2</v>
      </c>
      <c r="K630" t="s">
        <v>1943</v>
      </c>
      <c r="L630" t="s">
        <v>1944</v>
      </c>
      <c r="M630" t="s">
        <v>649</v>
      </c>
    </row>
    <row r="631" spans="1:13" x14ac:dyDescent="0.25">
      <c r="A631" s="24">
        <f t="shared" si="64"/>
        <v>20</v>
      </c>
      <c r="B631" s="24">
        <v>12</v>
      </c>
      <c r="C631" s="24">
        <v>100</v>
      </c>
      <c r="E631" s="4">
        <v>421997</v>
      </c>
      <c r="F631" s="2" t="s">
        <v>2</v>
      </c>
      <c r="G631" s="2" t="str">
        <f t="shared" si="63"/>
        <v>https://www.oreht.ru/modules.php?name=orehtPriceLS&amp;op=Search&amp;page=1&amp;stext=421997</v>
      </c>
      <c r="I631">
        <v>421997</v>
      </c>
      <c r="J631" t="s">
        <v>2</v>
      </c>
      <c r="K631" t="s">
        <v>1945</v>
      </c>
      <c r="L631" t="s">
        <v>1946</v>
      </c>
      <c r="M631" t="s">
        <v>649</v>
      </c>
    </row>
    <row r="632" spans="1:13" x14ac:dyDescent="0.25">
      <c r="A632" s="24">
        <f t="shared" si="64"/>
        <v>20</v>
      </c>
      <c r="B632" s="24">
        <v>12</v>
      </c>
      <c r="C632" s="24">
        <v>76.98</v>
      </c>
      <c r="E632" s="4">
        <v>393844</v>
      </c>
      <c r="F632" s="2" t="s">
        <v>2</v>
      </c>
      <c r="G632" s="2" t="str">
        <f t="shared" si="63"/>
        <v>https://www.oreht.ru/modules.php?name=orehtPriceLS&amp;op=Search&amp;page=1&amp;stext=393844</v>
      </c>
      <c r="I632">
        <v>393844</v>
      </c>
      <c r="J632" t="s">
        <v>2</v>
      </c>
      <c r="K632" t="s">
        <v>1947</v>
      </c>
      <c r="L632" t="s">
        <v>1948</v>
      </c>
      <c r="M632" t="s">
        <v>649</v>
      </c>
    </row>
    <row r="633" spans="1:13" hidden="1" x14ac:dyDescent="0.25">
      <c r="A633" s="24">
        <f t="shared" si="64"/>
        <v>20</v>
      </c>
      <c r="B633" s="24">
        <v>12</v>
      </c>
      <c r="C633" s="24">
        <v>73.680000000000007</v>
      </c>
      <c r="E633" s="4">
        <v>254832</v>
      </c>
      <c r="F633" s="2" t="s">
        <v>2</v>
      </c>
      <c r="G633" s="2" t="str">
        <f t="shared" si="63"/>
        <v>https://www.oreht.ru/modules.php?name=orehtPriceLS&amp;op=Search&amp;page=1&amp;stext=254832</v>
      </c>
      <c r="I633">
        <v>254832</v>
      </c>
      <c r="J633" t="s">
        <v>2</v>
      </c>
      <c r="K633" t="s">
        <v>1949</v>
      </c>
      <c r="L633" t="s">
        <v>1950</v>
      </c>
      <c r="M633" t="s">
        <v>1951</v>
      </c>
    </row>
    <row r="634" spans="1:13" hidden="1" x14ac:dyDescent="0.25">
      <c r="A634" s="24">
        <f t="shared" si="64"/>
        <v>20</v>
      </c>
      <c r="B634" s="24">
        <v>12</v>
      </c>
      <c r="C634" s="24">
        <v>58.5</v>
      </c>
      <c r="E634" s="4">
        <v>421406</v>
      </c>
      <c r="F634" s="2" t="s">
        <v>2</v>
      </c>
      <c r="G634" s="2" t="str">
        <f t="shared" si="63"/>
        <v>https://www.oreht.ru/modules.php?name=orehtPriceLS&amp;op=Search&amp;page=1&amp;stext=421406</v>
      </c>
      <c r="I634">
        <v>421406</v>
      </c>
      <c r="J634" t="s">
        <v>2</v>
      </c>
      <c r="K634" t="s">
        <v>1952</v>
      </c>
      <c r="L634" t="s">
        <v>1953</v>
      </c>
      <c r="M634" t="s">
        <v>1954</v>
      </c>
    </row>
    <row r="635" spans="1:13" hidden="1" x14ac:dyDescent="0.25">
      <c r="A635" s="24">
        <f t="shared" si="64"/>
        <v>20</v>
      </c>
      <c r="B635" s="24">
        <v>12</v>
      </c>
      <c r="C635" s="24">
        <v>68.34</v>
      </c>
      <c r="E635" s="4">
        <v>421399</v>
      </c>
      <c r="F635" s="2" t="s">
        <v>2</v>
      </c>
      <c r="G635" s="2" t="str">
        <f t="shared" si="63"/>
        <v>https://www.oreht.ru/modules.php?name=orehtPriceLS&amp;op=Search&amp;page=1&amp;stext=421399</v>
      </c>
      <c r="I635">
        <v>421399</v>
      </c>
      <c r="J635" t="s">
        <v>2</v>
      </c>
      <c r="K635" t="s">
        <v>1955</v>
      </c>
      <c r="L635" t="s">
        <v>1956</v>
      </c>
      <c r="M635" t="s">
        <v>1957</v>
      </c>
    </row>
    <row r="636" spans="1:13" hidden="1" x14ac:dyDescent="0.25">
      <c r="A636" s="24">
        <f t="shared" si="64"/>
        <v>20</v>
      </c>
      <c r="B636" s="24">
        <v>12</v>
      </c>
      <c r="C636" s="24">
        <v>58.3</v>
      </c>
      <c r="E636" s="4">
        <v>402824</v>
      </c>
      <c r="F636" s="2" t="s">
        <v>2</v>
      </c>
      <c r="G636" s="2" t="str">
        <f t="shared" si="63"/>
        <v>https://www.oreht.ru/modules.php?name=orehtPriceLS&amp;op=Search&amp;page=1&amp;stext=402824</v>
      </c>
      <c r="I636">
        <v>402824</v>
      </c>
      <c r="J636" t="s">
        <v>2</v>
      </c>
      <c r="K636" t="s">
        <v>1958</v>
      </c>
      <c r="L636" t="s">
        <v>1959</v>
      </c>
      <c r="M636" t="s">
        <v>1954</v>
      </c>
    </row>
    <row r="637" spans="1:13" hidden="1" x14ac:dyDescent="0.25">
      <c r="A637" s="24">
        <f t="shared" si="64"/>
        <v>20</v>
      </c>
      <c r="B637" s="24">
        <v>12</v>
      </c>
      <c r="C637" s="24">
        <v>60.3</v>
      </c>
      <c r="E637" s="4">
        <v>402817</v>
      </c>
      <c r="F637" s="2" t="s">
        <v>2</v>
      </c>
      <c r="G637" s="2" t="str">
        <f t="shared" si="63"/>
        <v>https://www.oreht.ru/modules.php?name=orehtPriceLS&amp;op=Search&amp;page=1&amp;stext=402817</v>
      </c>
      <c r="I637">
        <v>402817</v>
      </c>
      <c r="J637" t="s">
        <v>2</v>
      </c>
      <c r="K637" t="s">
        <v>1960</v>
      </c>
      <c r="L637" t="s">
        <v>1961</v>
      </c>
      <c r="M637" t="s">
        <v>1954</v>
      </c>
    </row>
    <row r="638" spans="1:13" x14ac:dyDescent="0.25">
      <c r="A638" s="24">
        <f t="shared" si="64"/>
        <v>20</v>
      </c>
      <c r="B638" s="24">
        <v>12</v>
      </c>
      <c r="C638" s="24">
        <v>79</v>
      </c>
      <c r="E638" s="4">
        <v>424106</v>
      </c>
      <c r="F638" s="2" t="s">
        <v>2</v>
      </c>
      <c r="G638" s="2" t="str">
        <f t="shared" si="63"/>
        <v>https://www.oreht.ru/modules.php?name=orehtPriceLS&amp;op=Search&amp;page=1&amp;stext=424106</v>
      </c>
      <c r="I638">
        <v>424106</v>
      </c>
      <c r="J638" t="s">
        <v>2</v>
      </c>
      <c r="K638" t="s">
        <v>1962</v>
      </c>
      <c r="L638" t="s">
        <v>1963</v>
      </c>
      <c r="M638" t="s">
        <v>649</v>
      </c>
    </row>
    <row r="639" spans="1:13" x14ac:dyDescent="0.25">
      <c r="A639" s="24">
        <f t="shared" si="64"/>
        <v>20</v>
      </c>
      <c r="B639" s="24">
        <v>12</v>
      </c>
      <c r="C639" s="24">
        <v>73.38</v>
      </c>
      <c r="E639" s="4">
        <v>373758</v>
      </c>
      <c r="F639" s="2" t="s">
        <v>2</v>
      </c>
      <c r="G639" s="2" t="str">
        <f t="shared" si="63"/>
        <v>https://www.oreht.ru/modules.php?name=orehtPriceLS&amp;op=Search&amp;page=1&amp;stext=373758</v>
      </c>
      <c r="I639">
        <v>373758</v>
      </c>
      <c r="J639" t="s">
        <v>2</v>
      </c>
      <c r="K639" t="s">
        <v>1964</v>
      </c>
      <c r="L639" t="s">
        <v>1965</v>
      </c>
      <c r="M639" t="s">
        <v>649</v>
      </c>
    </row>
    <row r="640" spans="1:13" x14ac:dyDescent="0.25">
      <c r="A640" s="24">
        <f t="shared" si="64"/>
        <v>20</v>
      </c>
      <c r="B640" s="24">
        <v>12</v>
      </c>
      <c r="C640" s="24">
        <v>63.6</v>
      </c>
      <c r="E640" s="4">
        <v>424028</v>
      </c>
      <c r="F640" s="2" t="s">
        <v>2</v>
      </c>
      <c r="G640" s="2" t="str">
        <f t="shared" si="63"/>
        <v>https://www.oreht.ru/modules.php?name=orehtPriceLS&amp;op=Search&amp;page=1&amp;stext=424028</v>
      </c>
      <c r="I640">
        <v>424028</v>
      </c>
      <c r="J640" t="s">
        <v>2</v>
      </c>
      <c r="K640" t="s">
        <v>1966</v>
      </c>
      <c r="L640" t="s">
        <v>1967</v>
      </c>
      <c r="M640" t="s">
        <v>649</v>
      </c>
    </row>
    <row r="641" spans="1:13" x14ac:dyDescent="0.25">
      <c r="A641" s="24">
        <f t="shared" si="64"/>
        <v>20</v>
      </c>
      <c r="B641" s="24">
        <v>12</v>
      </c>
      <c r="C641" s="24">
        <v>120</v>
      </c>
      <c r="E641" s="4">
        <v>422000</v>
      </c>
      <c r="F641" s="2" t="s">
        <v>2</v>
      </c>
      <c r="G641" s="2" t="str">
        <f t="shared" si="63"/>
        <v>https://www.oreht.ru/modules.php?name=orehtPriceLS&amp;op=Search&amp;page=1&amp;stext=422000</v>
      </c>
      <c r="I641">
        <v>422000</v>
      </c>
      <c r="J641" t="s">
        <v>2</v>
      </c>
      <c r="K641" t="s">
        <v>1968</v>
      </c>
      <c r="L641" t="s">
        <v>1969</v>
      </c>
      <c r="M641" t="s">
        <v>649</v>
      </c>
    </row>
    <row r="642" spans="1:13" x14ac:dyDescent="0.25">
      <c r="A642" s="24">
        <f t="shared" si="64"/>
        <v>20</v>
      </c>
      <c r="B642" s="24">
        <v>12</v>
      </c>
      <c r="C642" s="24">
        <v>58.1</v>
      </c>
      <c r="E642" s="4">
        <v>303603</v>
      </c>
      <c r="F642" s="2" t="s">
        <v>2</v>
      </c>
      <c r="G642" s="2" t="str">
        <f t="shared" ref="G642:G705" si="65">HYPERLINK(F642&amp;E642)</f>
        <v>https://www.oreht.ru/modules.php?name=orehtPriceLS&amp;op=Search&amp;page=1&amp;stext=303603</v>
      </c>
      <c r="I642">
        <v>303603</v>
      </c>
      <c r="J642" t="s">
        <v>2</v>
      </c>
      <c r="K642" t="s">
        <v>1970</v>
      </c>
      <c r="L642" t="s">
        <v>1971</v>
      </c>
      <c r="M642" t="s">
        <v>649</v>
      </c>
    </row>
    <row r="643" spans="1:13" hidden="1" x14ac:dyDescent="0.25">
      <c r="A643" s="24">
        <f t="shared" si="64"/>
        <v>20</v>
      </c>
      <c r="B643" s="24">
        <v>12</v>
      </c>
      <c r="C643" s="24">
        <v>120</v>
      </c>
      <c r="E643" s="4">
        <v>273999</v>
      </c>
      <c r="F643" s="2" t="s">
        <v>2</v>
      </c>
      <c r="G643" s="2" t="str">
        <f t="shared" si="65"/>
        <v>https://www.oreht.ru/modules.php?name=orehtPriceLS&amp;op=Search&amp;page=1&amp;stext=273999</v>
      </c>
      <c r="I643">
        <v>273999</v>
      </c>
      <c r="J643" t="s">
        <v>2</v>
      </c>
      <c r="K643" t="s">
        <v>1972</v>
      </c>
      <c r="L643" t="s">
        <v>1973</v>
      </c>
      <c r="M643" t="s">
        <v>1974</v>
      </c>
    </row>
    <row r="644" spans="1:13" hidden="1" x14ac:dyDescent="0.25">
      <c r="A644" s="24">
        <f t="shared" si="64"/>
        <v>20</v>
      </c>
      <c r="B644" s="24">
        <v>12</v>
      </c>
      <c r="C644" s="24">
        <v>58.1</v>
      </c>
      <c r="E644" s="4">
        <v>384438</v>
      </c>
      <c r="F644" s="2" t="s">
        <v>2</v>
      </c>
      <c r="G644" s="2" t="str">
        <f t="shared" si="65"/>
        <v>https://www.oreht.ru/modules.php?name=orehtPriceLS&amp;op=Search&amp;page=1&amp;stext=384438</v>
      </c>
      <c r="I644">
        <v>384438</v>
      </c>
      <c r="J644" t="s">
        <v>2</v>
      </c>
      <c r="K644" t="s">
        <v>1975</v>
      </c>
      <c r="L644" t="s">
        <v>1976</v>
      </c>
      <c r="M644" t="s">
        <v>1977</v>
      </c>
    </row>
    <row r="645" spans="1:13" hidden="1" x14ac:dyDescent="0.25">
      <c r="A645" s="24">
        <f t="shared" ref="A645:A708" si="66">IF(W645*0.05&gt;=250,250,IF(W645*0.05&gt;=20,IF(W645*0.05&lt;20,20,W645*0.05),20))</f>
        <v>20</v>
      </c>
      <c r="B645" s="24">
        <v>12</v>
      </c>
      <c r="C645" s="24">
        <v>58.75</v>
      </c>
      <c r="E645" s="4">
        <v>384441</v>
      </c>
      <c r="F645" s="2" t="s">
        <v>2</v>
      </c>
      <c r="G645" s="2" t="str">
        <f t="shared" si="65"/>
        <v>https://www.oreht.ru/modules.php?name=orehtPriceLS&amp;op=Search&amp;page=1&amp;stext=384441</v>
      </c>
      <c r="I645">
        <v>384441</v>
      </c>
      <c r="J645" t="s">
        <v>2</v>
      </c>
      <c r="K645" t="s">
        <v>1978</v>
      </c>
      <c r="L645" t="s">
        <v>1979</v>
      </c>
      <c r="M645" t="s">
        <v>1977</v>
      </c>
    </row>
    <row r="646" spans="1:13" hidden="1" x14ac:dyDescent="0.25">
      <c r="A646" s="24">
        <f t="shared" si="66"/>
        <v>20</v>
      </c>
      <c r="B646" s="24">
        <v>10</v>
      </c>
      <c r="C646" s="24">
        <v>49</v>
      </c>
      <c r="E646" s="4">
        <v>400896</v>
      </c>
      <c r="F646" s="2" t="s">
        <v>2</v>
      </c>
      <c r="G646" s="2" t="str">
        <f t="shared" si="65"/>
        <v>https://www.oreht.ru/modules.php?name=orehtPriceLS&amp;op=Search&amp;page=1&amp;stext=400896</v>
      </c>
      <c r="I646">
        <v>400896</v>
      </c>
      <c r="J646" t="s">
        <v>2</v>
      </c>
      <c r="K646" t="s">
        <v>1980</v>
      </c>
      <c r="L646" t="s">
        <v>1981</v>
      </c>
      <c r="M646" t="s">
        <v>1982</v>
      </c>
    </row>
    <row r="647" spans="1:13" x14ac:dyDescent="0.25">
      <c r="A647" s="24">
        <f t="shared" si="66"/>
        <v>20</v>
      </c>
      <c r="B647" s="24">
        <v>12</v>
      </c>
      <c r="C647" s="24">
        <v>70.8</v>
      </c>
      <c r="E647" s="4">
        <v>437057</v>
      </c>
      <c r="F647" s="2" t="s">
        <v>2</v>
      </c>
      <c r="G647" s="2" t="str">
        <f t="shared" si="65"/>
        <v>https://www.oreht.ru/modules.php?name=orehtPriceLS&amp;op=Search&amp;page=1&amp;stext=437057</v>
      </c>
      <c r="I647">
        <v>437057</v>
      </c>
      <c r="J647" t="s">
        <v>2</v>
      </c>
      <c r="K647" t="s">
        <v>1983</v>
      </c>
      <c r="L647" t="s">
        <v>1984</v>
      </c>
      <c r="M647" t="s">
        <v>649</v>
      </c>
    </row>
    <row r="648" spans="1:13" x14ac:dyDescent="0.25">
      <c r="A648" s="24">
        <f t="shared" si="66"/>
        <v>20</v>
      </c>
      <c r="B648" s="24">
        <v>12</v>
      </c>
      <c r="C648" s="24">
        <v>79</v>
      </c>
      <c r="E648" s="4">
        <v>437058</v>
      </c>
      <c r="F648" s="2" t="s">
        <v>2</v>
      </c>
      <c r="G648" s="2" t="str">
        <f t="shared" si="65"/>
        <v>https://www.oreht.ru/modules.php?name=orehtPriceLS&amp;op=Search&amp;page=1&amp;stext=437058</v>
      </c>
      <c r="I648">
        <v>437058</v>
      </c>
      <c r="J648" t="s">
        <v>2</v>
      </c>
      <c r="K648" t="s">
        <v>1985</v>
      </c>
      <c r="L648" t="s">
        <v>1986</v>
      </c>
      <c r="M648" t="s">
        <v>649</v>
      </c>
    </row>
    <row r="649" spans="1:13" hidden="1" x14ac:dyDescent="0.25">
      <c r="A649" s="24">
        <f t="shared" si="66"/>
        <v>20</v>
      </c>
      <c r="B649" s="24">
        <v>12</v>
      </c>
      <c r="C649" s="24">
        <v>71.58</v>
      </c>
      <c r="E649" s="4">
        <v>426574</v>
      </c>
      <c r="F649" s="2" t="s">
        <v>2</v>
      </c>
      <c r="G649" s="2" t="str">
        <f t="shared" si="65"/>
        <v>https://www.oreht.ru/modules.php?name=orehtPriceLS&amp;op=Search&amp;page=1&amp;stext=426574</v>
      </c>
      <c r="I649">
        <v>426574</v>
      </c>
      <c r="J649" t="s">
        <v>2</v>
      </c>
      <c r="K649" t="s">
        <v>1987</v>
      </c>
      <c r="L649" t="s">
        <v>1988</v>
      </c>
      <c r="M649" t="s">
        <v>1989</v>
      </c>
    </row>
    <row r="650" spans="1:13" x14ac:dyDescent="0.25">
      <c r="A650" s="24">
        <f t="shared" si="66"/>
        <v>20</v>
      </c>
      <c r="B650" s="24">
        <v>12</v>
      </c>
      <c r="C650" s="24">
        <v>71</v>
      </c>
      <c r="E650" s="4">
        <v>426575</v>
      </c>
      <c r="F650" s="2" t="s">
        <v>2</v>
      </c>
      <c r="G650" s="2" t="str">
        <f t="shared" si="65"/>
        <v>https://www.oreht.ru/modules.php?name=orehtPriceLS&amp;op=Search&amp;page=1&amp;stext=426575</v>
      </c>
      <c r="I650">
        <v>426575</v>
      </c>
      <c r="J650" t="s">
        <v>2</v>
      </c>
      <c r="K650" t="s">
        <v>1990</v>
      </c>
      <c r="L650" t="s">
        <v>1991</v>
      </c>
      <c r="M650" t="s">
        <v>649</v>
      </c>
    </row>
    <row r="651" spans="1:13" hidden="1" x14ac:dyDescent="0.25">
      <c r="A651" s="24">
        <f t="shared" si="66"/>
        <v>20</v>
      </c>
      <c r="B651" s="24">
        <v>12</v>
      </c>
      <c r="C651" s="24">
        <v>79</v>
      </c>
      <c r="E651" s="4">
        <v>320430</v>
      </c>
      <c r="F651" s="2" t="s">
        <v>2</v>
      </c>
      <c r="G651" s="2" t="str">
        <f t="shared" si="65"/>
        <v>https://www.oreht.ru/modules.php?name=orehtPriceLS&amp;op=Search&amp;page=1&amp;stext=320430</v>
      </c>
      <c r="I651">
        <v>320430</v>
      </c>
      <c r="J651" t="s">
        <v>2</v>
      </c>
      <c r="K651" t="s">
        <v>1992</v>
      </c>
      <c r="L651" t="s">
        <v>1993</v>
      </c>
      <c r="M651" t="s">
        <v>1994</v>
      </c>
    </row>
    <row r="652" spans="1:13" hidden="1" x14ac:dyDescent="0.25">
      <c r="A652" s="24">
        <f t="shared" si="66"/>
        <v>20</v>
      </c>
      <c r="B652" s="24">
        <v>12</v>
      </c>
      <c r="C652" s="24">
        <v>59.75</v>
      </c>
      <c r="E652" s="4">
        <v>431548</v>
      </c>
      <c r="F652" s="2" t="s">
        <v>2</v>
      </c>
      <c r="G652" s="2" t="str">
        <f t="shared" si="65"/>
        <v>https://www.oreht.ru/modules.php?name=orehtPriceLS&amp;op=Search&amp;page=1&amp;stext=431548</v>
      </c>
      <c r="I652">
        <v>431548</v>
      </c>
      <c r="J652" t="s">
        <v>2</v>
      </c>
      <c r="K652" t="s">
        <v>1995</v>
      </c>
      <c r="L652" t="s">
        <v>1996</v>
      </c>
      <c r="M652" t="s">
        <v>1997</v>
      </c>
    </row>
    <row r="653" spans="1:13" x14ac:dyDescent="0.25">
      <c r="A653" s="24">
        <f t="shared" si="66"/>
        <v>20</v>
      </c>
      <c r="B653" s="24">
        <v>12</v>
      </c>
      <c r="C653" s="24">
        <v>100</v>
      </c>
      <c r="E653" s="4">
        <v>259176</v>
      </c>
      <c r="F653" s="2" t="s">
        <v>2</v>
      </c>
      <c r="G653" s="2" t="str">
        <f t="shared" si="65"/>
        <v>https://www.oreht.ru/modules.php?name=orehtPriceLS&amp;op=Search&amp;page=1&amp;stext=259176</v>
      </c>
      <c r="I653">
        <v>259176</v>
      </c>
      <c r="J653" t="s">
        <v>2</v>
      </c>
      <c r="K653" t="s">
        <v>1998</v>
      </c>
      <c r="L653" t="s">
        <v>1999</v>
      </c>
      <c r="M653" t="s">
        <v>649</v>
      </c>
    </row>
    <row r="654" spans="1:13" x14ac:dyDescent="0.25">
      <c r="A654" s="24">
        <f t="shared" si="66"/>
        <v>20</v>
      </c>
      <c r="B654" s="24">
        <v>12</v>
      </c>
      <c r="C654" s="24">
        <v>64.25</v>
      </c>
      <c r="E654" s="4">
        <v>432914</v>
      </c>
      <c r="F654" s="2" t="s">
        <v>2</v>
      </c>
      <c r="G654" s="2" t="str">
        <f t="shared" si="65"/>
        <v>https://www.oreht.ru/modules.php?name=orehtPriceLS&amp;op=Search&amp;page=1&amp;stext=432914</v>
      </c>
      <c r="I654">
        <v>432914</v>
      </c>
      <c r="J654" t="s">
        <v>2</v>
      </c>
      <c r="K654" t="s">
        <v>2000</v>
      </c>
      <c r="L654" t="s">
        <v>2001</v>
      </c>
      <c r="M654" t="s">
        <v>649</v>
      </c>
    </row>
    <row r="655" spans="1:13" x14ac:dyDescent="0.25">
      <c r="A655" s="24">
        <f t="shared" si="66"/>
        <v>20</v>
      </c>
      <c r="B655" s="24">
        <v>12</v>
      </c>
      <c r="C655" s="24">
        <v>78.12</v>
      </c>
      <c r="E655" s="4">
        <v>406590</v>
      </c>
      <c r="F655" s="2" t="s">
        <v>2</v>
      </c>
      <c r="G655" s="2" t="str">
        <f t="shared" si="65"/>
        <v>https://www.oreht.ru/modules.php?name=orehtPriceLS&amp;op=Search&amp;page=1&amp;stext=406590</v>
      </c>
      <c r="I655">
        <v>406590</v>
      </c>
      <c r="J655" t="s">
        <v>2</v>
      </c>
      <c r="K655" t="s">
        <v>2002</v>
      </c>
      <c r="L655" t="s">
        <v>2003</v>
      </c>
      <c r="M655" t="s">
        <v>649</v>
      </c>
    </row>
    <row r="656" spans="1:13" hidden="1" x14ac:dyDescent="0.25">
      <c r="A656" s="24">
        <f t="shared" si="66"/>
        <v>20</v>
      </c>
      <c r="B656" s="24">
        <v>12</v>
      </c>
      <c r="C656" s="24">
        <v>55.8</v>
      </c>
      <c r="E656" s="4">
        <v>432864</v>
      </c>
      <c r="F656" s="2" t="s">
        <v>2</v>
      </c>
      <c r="G656" s="2" t="str">
        <f t="shared" si="65"/>
        <v>https://www.oreht.ru/modules.php?name=orehtPriceLS&amp;op=Search&amp;page=1&amp;stext=432864</v>
      </c>
      <c r="I656">
        <v>432864</v>
      </c>
      <c r="J656" t="s">
        <v>2</v>
      </c>
      <c r="K656" t="s">
        <v>2004</v>
      </c>
      <c r="L656" t="s">
        <v>2005</v>
      </c>
      <c r="M656" t="s">
        <v>2006</v>
      </c>
    </row>
    <row r="657" spans="1:13" hidden="1" x14ac:dyDescent="0.25">
      <c r="A657" s="24">
        <f t="shared" si="66"/>
        <v>20</v>
      </c>
      <c r="B657" s="24">
        <v>12</v>
      </c>
      <c r="C657" s="24">
        <v>57.25</v>
      </c>
      <c r="E657" s="4">
        <v>432859</v>
      </c>
      <c r="F657" s="2" t="s">
        <v>2</v>
      </c>
      <c r="G657" s="2" t="str">
        <f t="shared" si="65"/>
        <v>https://www.oreht.ru/modules.php?name=orehtPriceLS&amp;op=Search&amp;page=1&amp;stext=432859</v>
      </c>
      <c r="I657">
        <v>432859</v>
      </c>
      <c r="J657" t="s">
        <v>2</v>
      </c>
      <c r="K657" t="s">
        <v>2007</v>
      </c>
      <c r="L657" t="s">
        <v>2008</v>
      </c>
      <c r="M657" t="s">
        <v>2009</v>
      </c>
    </row>
    <row r="658" spans="1:13" hidden="1" x14ac:dyDescent="0.25">
      <c r="A658" s="24">
        <f t="shared" si="66"/>
        <v>20</v>
      </c>
      <c r="B658" s="24">
        <v>12</v>
      </c>
      <c r="C658" s="24">
        <v>59.1</v>
      </c>
      <c r="E658" s="4">
        <v>397281</v>
      </c>
      <c r="F658" s="2" t="s">
        <v>2</v>
      </c>
      <c r="G658" s="2" t="str">
        <f t="shared" si="65"/>
        <v>https://www.oreht.ru/modules.php?name=orehtPriceLS&amp;op=Search&amp;page=1&amp;stext=397281</v>
      </c>
      <c r="I658">
        <v>397281</v>
      </c>
      <c r="J658" t="s">
        <v>2</v>
      </c>
      <c r="K658" t="s">
        <v>2010</v>
      </c>
      <c r="L658" t="s">
        <v>2011</v>
      </c>
      <c r="M658" t="s">
        <v>2012</v>
      </c>
    </row>
    <row r="659" spans="1:13" x14ac:dyDescent="0.25">
      <c r="A659" s="24">
        <f t="shared" si="66"/>
        <v>20</v>
      </c>
      <c r="B659" s="24">
        <v>12</v>
      </c>
      <c r="C659" s="24">
        <v>79</v>
      </c>
      <c r="E659" s="4">
        <v>400854</v>
      </c>
      <c r="F659" s="2" t="s">
        <v>2</v>
      </c>
      <c r="G659" s="2" t="str">
        <f t="shared" si="65"/>
        <v>https://www.oreht.ru/modules.php?name=orehtPriceLS&amp;op=Search&amp;page=1&amp;stext=400854</v>
      </c>
      <c r="I659">
        <v>400854</v>
      </c>
      <c r="J659" t="s">
        <v>2</v>
      </c>
      <c r="K659" t="s">
        <v>2013</v>
      </c>
      <c r="L659" t="s">
        <v>2014</v>
      </c>
      <c r="M659" t="s">
        <v>649</v>
      </c>
    </row>
    <row r="660" spans="1:13" x14ac:dyDescent="0.25">
      <c r="A660" s="24">
        <f t="shared" si="66"/>
        <v>20</v>
      </c>
      <c r="B660" s="24">
        <v>12</v>
      </c>
      <c r="C660" s="24">
        <v>78.540000000000006</v>
      </c>
      <c r="E660" s="4">
        <v>403645</v>
      </c>
      <c r="F660" s="2" t="s">
        <v>2</v>
      </c>
      <c r="G660" s="2" t="str">
        <f t="shared" si="65"/>
        <v>https://www.oreht.ru/modules.php?name=orehtPriceLS&amp;op=Search&amp;page=1&amp;stext=403645</v>
      </c>
      <c r="I660">
        <v>403645</v>
      </c>
      <c r="J660" t="s">
        <v>2</v>
      </c>
      <c r="K660" t="s">
        <v>2015</v>
      </c>
      <c r="L660" t="s">
        <v>2016</v>
      </c>
      <c r="M660" t="s">
        <v>649</v>
      </c>
    </row>
    <row r="661" spans="1:13" x14ac:dyDescent="0.25">
      <c r="A661" s="24">
        <f t="shared" si="66"/>
        <v>20</v>
      </c>
      <c r="B661" s="24">
        <v>12</v>
      </c>
      <c r="C661" s="24">
        <v>59.45</v>
      </c>
      <c r="E661" s="4">
        <v>202066</v>
      </c>
      <c r="F661" s="2" t="s">
        <v>2</v>
      </c>
      <c r="G661" s="2" t="str">
        <f t="shared" si="65"/>
        <v>https://www.oreht.ru/modules.php?name=orehtPriceLS&amp;op=Search&amp;page=1&amp;stext=202066</v>
      </c>
      <c r="I661">
        <v>202066</v>
      </c>
      <c r="J661" t="s">
        <v>2</v>
      </c>
      <c r="K661" t="s">
        <v>2017</v>
      </c>
    </row>
    <row r="662" spans="1:13" hidden="1" x14ac:dyDescent="0.25">
      <c r="A662" s="24">
        <f t="shared" si="66"/>
        <v>20</v>
      </c>
      <c r="B662" s="24">
        <v>12</v>
      </c>
      <c r="C662" s="24">
        <v>59.45</v>
      </c>
      <c r="E662" s="4">
        <v>339127</v>
      </c>
      <c r="F662" s="2" t="s">
        <v>2</v>
      </c>
      <c r="G662" s="2" t="str">
        <f t="shared" si="65"/>
        <v>https://www.oreht.ru/modules.php?name=orehtPriceLS&amp;op=Search&amp;page=1&amp;stext=339127</v>
      </c>
      <c r="I662">
        <v>339127</v>
      </c>
      <c r="J662" t="s">
        <v>2</v>
      </c>
      <c r="K662" t="s">
        <v>2018</v>
      </c>
      <c r="L662" t="s">
        <v>2019</v>
      </c>
      <c r="M662" t="s">
        <v>2020</v>
      </c>
    </row>
    <row r="663" spans="1:13" x14ac:dyDescent="0.25">
      <c r="A663" s="24">
        <f t="shared" si="66"/>
        <v>20</v>
      </c>
      <c r="B663" s="24">
        <v>12</v>
      </c>
      <c r="C663" s="24">
        <v>78.66</v>
      </c>
      <c r="E663" s="4">
        <v>434723</v>
      </c>
      <c r="F663" s="2" t="s">
        <v>2</v>
      </c>
      <c r="G663" s="2" t="str">
        <f t="shared" si="65"/>
        <v>https://www.oreht.ru/modules.php?name=orehtPriceLS&amp;op=Search&amp;page=1&amp;stext=434723</v>
      </c>
      <c r="I663">
        <v>434723</v>
      </c>
      <c r="J663" t="s">
        <v>2</v>
      </c>
      <c r="K663" t="s">
        <v>2021</v>
      </c>
      <c r="L663" t="s">
        <v>2022</v>
      </c>
      <c r="M663" t="s">
        <v>649</v>
      </c>
    </row>
    <row r="664" spans="1:13" hidden="1" x14ac:dyDescent="0.25">
      <c r="A664" s="24">
        <f t="shared" si="66"/>
        <v>20</v>
      </c>
      <c r="B664" s="24">
        <v>12</v>
      </c>
      <c r="C664" s="24">
        <v>79</v>
      </c>
      <c r="E664" s="4">
        <v>105423</v>
      </c>
      <c r="F664" s="2" t="s">
        <v>2</v>
      </c>
      <c r="G664" s="2" t="str">
        <f t="shared" si="65"/>
        <v>https://www.oreht.ru/modules.php?name=orehtPriceLS&amp;op=Search&amp;page=1&amp;stext=105423</v>
      </c>
      <c r="I664">
        <v>105423</v>
      </c>
      <c r="J664" t="s">
        <v>2</v>
      </c>
      <c r="K664" t="s">
        <v>2023</v>
      </c>
      <c r="L664" t="s">
        <v>2024</v>
      </c>
      <c r="M664" t="s">
        <v>2025</v>
      </c>
    </row>
    <row r="665" spans="1:13" hidden="1" x14ac:dyDescent="0.25">
      <c r="A665" s="24">
        <f t="shared" si="66"/>
        <v>20</v>
      </c>
      <c r="B665" s="24">
        <v>12</v>
      </c>
      <c r="C665" s="24">
        <v>100</v>
      </c>
      <c r="E665" s="4">
        <v>213912</v>
      </c>
      <c r="F665" s="2" t="s">
        <v>2</v>
      </c>
      <c r="G665" s="2" t="str">
        <f t="shared" si="65"/>
        <v>https://www.oreht.ru/modules.php?name=orehtPriceLS&amp;op=Search&amp;page=1&amp;stext=213912</v>
      </c>
      <c r="I665">
        <v>213912</v>
      </c>
      <c r="J665" t="s">
        <v>2</v>
      </c>
      <c r="K665" t="s">
        <v>2026</v>
      </c>
      <c r="L665" t="s">
        <v>2027</v>
      </c>
      <c r="M665" t="s">
        <v>2028</v>
      </c>
    </row>
    <row r="666" spans="1:13" x14ac:dyDescent="0.25">
      <c r="A666" s="24">
        <f t="shared" si="66"/>
        <v>20</v>
      </c>
      <c r="B666" s="24">
        <v>12</v>
      </c>
      <c r="C666" s="24">
        <v>120</v>
      </c>
      <c r="E666" s="4">
        <v>154857</v>
      </c>
      <c r="F666" s="2" t="s">
        <v>2</v>
      </c>
      <c r="G666" s="2" t="str">
        <f t="shared" si="65"/>
        <v>https://www.oreht.ru/modules.php?name=orehtPriceLS&amp;op=Search&amp;page=1&amp;stext=154857</v>
      </c>
      <c r="I666">
        <v>154857</v>
      </c>
      <c r="J666" t="s">
        <v>2</v>
      </c>
      <c r="K666" t="s">
        <v>2029</v>
      </c>
      <c r="L666" t="s">
        <v>2030</v>
      </c>
      <c r="M666" t="s">
        <v>649</v>
      </c>
    </row>
    <row r="667" spans="1:13" x14ac:dyDescent="0.25">
      <c r="A667" s="24">
        <f t="shared" si="66"/>
        <v>20</v>
      </c>
      <c r="B667" s="24">
        <v>12</v>
      </c>
      <c r="C667" s="24">
        <v>64.75</v>
      </c>
      <c r="E667" s="4">
        <v>362890</v>
      </c>
      <c r="F667" s="2" t="s">
        <v>2</v>
      </c>
      <c r="G667" s="2" t="str">
        <f t="shared" si="65"/>
        <v>https://www.oreht.ru/modules.php?name=orehtPriceLS&amp;op=Search&amp;page=1&amp;stext=362890</v>
      </c>
      <c r="I667">
        <v>362890</v>
      </c>
      <c r="J667" t="s">
        <v>2</v>
      </c>
      <c r="K667" t="s">
        <v>2031</v>
      </c>
      <c r="L667" t="s">
        <v>2032</v>
      </c>
      <c r="M667" t="s">
        <v>649</v>
      </c>
    </row>
    <row r="668" spans="1:13" hidden="1" x14ac:dyDescent="0.25">
      <c r="A668" s="24">
        <f t="shared" si="66"/>
        <v>20</v>
      </c>
      <c r="B668" s="24">
        <v>12</v>
      </c>
      <c r="C668" s="24">
        <v>57.5</v>
      </c>
      <c r="E668" s="4">
        <v>340519</v>
      </c>
      <c r="F668" s="2" t="s">
        <v>2</v>
      </c>
      <c r="G668" s="2" t="str">
        <f t="shared" si="65"/>
        <v>https://www.oreht.ru/modules.php?name=orehtPriceLS&amp;op=Search&amp;page=1&amp;stext=340519</v>
      </c>
      <c r="I668">
        <v>340519</v>
      </c>
      <c r="J668" t="s">
        <v>2</v>
      </c>
      <c r="K668" t="s">
        <v>2033</v>
      </c>
      <c r="L668" t="s">
        <v>2034</v>
      </c>
      <c r="M668" t="s">
        <v>2035</v>
      </c>
    </row>
    <row r="669" spans="1:13" x14ac:dyDescent="0.25">
      <c r="A669" s="24">
        <f t="shared" si="66"/>
        <v>20</v>
      </c>
      <c r="B669" s="24">
        <v>10</v>
      </c>
      <c r="C669" s="24">
        <v>79</v>
      </c>
      <c r="E669" s="4">
        <v>383470</v>
      </c>
      <c r="F669" s="2" t="s">
        <v>2</v>
      </c>
      <c r="G669" s="2" t="str">
        <f t="shared" si="65"/>
        <v>https://www.oreht.ru/modules.php?name=orehtPriceLS&amp;op=Search&amp;page=1&amp;stext=383470</v>
      </c>
      <c r="I669">
        <v>383470</v>
      </c>
      <c r="J669" t="s">
        <v>2</v>
      </c>
      <c r="K669" t="s">
        <v>2036</v>
      </c>
      <c r="L669" t="s">
        <v>2037</v>
      </c>
      <c r="M669" t="s">
        <v>649</v>
      </c>
    </row>
    <row r="670" spans="1:13" hidden="1" x14ac:dyDescent="0.25">
      <c r="A670" s="24">
        <f t="shared" si="66"/>
        <v>20</v>
      </c>
      <c r="B670" s="24">
        <v>12</v>
      </c>
      <c r="C670" s="24">
        <v>83.64</v>
      </c>
      <c r="E670" s="4">
        <v>343765</v>
      </c>
      <c r="F670" s="2" t="s">
        <v>2</v>
      </c>
      <c r="G670" s="2" t="str">
        <f t="shared" si="65"/>
        <v>https://www.oreht.ru/modules.php?name=orehtPriceLS&amp;op=Search&amp;page=1&amp;stext=343765</v>
      </c>
      <c r="I670">
        <v>343765</v>
      </c>
      <c r="J670" t="s">
        <v>2</v>
      </c>
      <c r="K670" t="s">
        <v>2038</v>
      </c>
      <c r="L670" t="s">
        <v>2039</v>
      </c>
      <c r="M670" t="s">
        <v>2040</v>
      </c>
    </row>
    <row r="671" spans="1:13" x14ac:dyDescent="0.25">
      <c r="A671" s="24">
        <f t="shared" si="66"/>
        <v>20</v>
      </c>
      <c r="B671" s="24">
        <v>12</v>
      </c>
      <c r="C671" s="24">
        <v>79.319999999999993</v>
      </c>
      <c r="E671" s="4">
        <v>423270</v>
      </c>
      <c r="F671" s="2" t="s">
        <v>2</v>
      </c>
      <c r="G671" s="2" t="str">
        <f t="shared" si="65"/>
        <v>https://www.oreht.ru/modules.php?name=orehtPriceLS&amp;op=Search&amp;page=1&amp;stext=423270</v>
      </c>
      <c r="I671">
        <v>423270</v>
      </c>
      <c r="J671" t="s">
        <v>2</v>
      </c>
      <c r="K671" t="s">
        <v>2041</v>
      </c>
      <c r="L671" t="s">
        <v>2042</v>
      </c>
      <c r="M671" t="s">
        <v>649</v>
      </c>
    </row>
    <row r="672" spans="1:13" hidden="1" x14ac:dyDescent="0.25">
      <c r="A672" s="24">
        <f t="shared" si="66"/>
        <v>20</v>
      </c>
      <c r="B672" s="24">
        <v>12</v>
      </c>
      <c r="C672" s="24">
        <v>51.9</v>
      </c>
      <c r="E672" s="4">
        <v>413565</v>
      </c>
      <c r="F672" s="2" t="s">
        <v>2</v>
      </c>
      <c r="G672" s="2" t="str">
        <f t="shared" si="65"/>
        <v>https://www.oreht.ru/modules.php?name=orehtPriceLS&amp;op=Search&amp;page=1&amp;stext=413565</v>
      </c>
      <c r="I672">
        <v>413565</v>
      </c>
      <c r="J672" t="s">
        <v>2</v>
      </c>
      <c r="K672" t="s">
        <v>2043</v>
      </c>
      <c r="L672" t="s">
        <v>2044</v>
      </c>
      <c r="M672" t="s">
        <v>1461</v>
      </c>
    </row>
    <row r="673" spans="1:13" hidden="1" x14ac:dyDescent="0.25">
      <c r="A673" s="24">
        <f t="shared" si="66"/>
        <v>20</v>
      </c>
      <c r="B673" s="24">
        <v>12</v>
      </c>
      <c r="C673" s="24">
        <v>59.8</v>
      </c>
      <c r="E673" s="4">
        <v>234698</v>
      </c>
      <c r="F673" s="2" t="s">
        <v>2</v>
      </c>
      <c r="G673" s="2" t="str">
        <f t="shared" si="65"/>
        <v>https://www.oreht.ru/modules.php?name=orehtPriceLS&amp;op=Search&amp;page=1&amp;stext=234698</v>
      </c>
      <c r="I673">
        <v>234698</v>
      </c>
      <c r="J673" t="s">
        <v>2</v>
      </c>
      <c r="K673" t="s">
        <v>2045</v>
      </c>
      <c r="L673" t="s">
        <v>2046</v>
      </c>
      <c r="M673" t="s">
        <v>2047</v>
      </c>
    </row>
    <row r="674" spans="1:13" x14ac:dyDescent="0.25">
      <c r="A674" s="24">
        <f t="shared" si="66"/>
        <v>20</v>
      </c>
      <c r="B674" s="24">
        <v>12</v>
      </c>
      <c r="C674" s="24">
        <v>79.86</v>
      </c>
      <c r="E674" s="4">
        <v>219059</v>
      </c>
      <c r="F674" s="2" t="s">
        <v>2</v>
      </c>
      <c r="G674" s="2" t="str">
        <f t="shared" si="65"/>
        <v>https://www.oreht.ru/modules.php?name=orehtPriceLS&amp;op=Search&amp;page=1&amp;stext=219059</v>
      </c>
      <c r="I674">
        <v>219059</v>
      </c>
      <c r="J674" t="s">
        <v>2</v>
      </c>
      <c r="K674" t="s">
        <v>2048</v>
      </c>
      <c r="L674" t="s">
        <v>2049</v>
      </c>
      <c r="M674" t="s">
        <v>649</v>
      </c>
    </row>
    <row r="675" spans="1:13" hidden="1" x14ac:dyDescent="0.25">
      <c r="A675" s="24">
        <f t="shared" si="66"/>
        <v>20</v>
      </c>
      <c r="B675" s="24">
        <v>12</v>
      </c>
      <c r="C675" s="24">
        <v>73.319999999999993</v>
      </c>
      <c r="E675" s="4">
        <v>116469</v>
      </c>
      <c r="F675" s="2" t="s">
        <v>2</v>
      </c>
      <c r="G675" s="2" t="str">
        <f t="shared" si="65"/>
        <v>https://www.oreht.ru/modules.php?name=orehtPriceLS&amp;op=Search&amp;page=1&amp;stext=116469</v>
      </c>
      <c r="I675">
        <v>116469</v>
      </c>
      <c r="J675" t="s">
        <v>2</v>
      </c>
      <c r="K675" t="s">
        <v>2050</v>
      </c>
      <c r="L675" t="s">
        <v>2051</v>
      </c>
      <c r="M675" t="s">
        <v>2052</v>
      </c>
    </row>
    <row r="676" spans="1:13" hidden="1" x14ac:dyDescent="0.25">
      <c r="A676" s="24">
        <f t="shared" si="66"/>
        <v>20</v>
      </c>
      <c r="B676" s="24">
        <v>12</v>
      </c>
      <c r="C676" s="24">
        <v>69.540000000000006</v>
      </c>
      <c r="E676" s="4">
        <v>421389</v>
      </c>
      <c r="F676" s="2" t="s">
        <v>2</v>
      </c>
      <c r="G676" s="2" t="str">
        <f t="shared" si="65"/>
        <v>https://www.oreht.ru/modules.php?name=orehtPriceLS&amp;op=Search&amp;page=1&amp;stext=421389</v>
      </c>
      <c r="I676">
        <v>421389</v>
      </c>
      <c r="J676" t="s">
        <v>2</v>
      </c>
      <c r="K676" t="s">
        <v>2053</v>
      </c>
      <c r="L676" t="s">
        <v>2054</v>
      </c>
      <c r="M676" t="s">
        <v>2055</v>
      </c>
    </row>
    <row r="677" spans="1:13" hidden="1" x14ac:dyDescent="0.25">
      <c r="A677" s="24">
        <f t="shared" si="66"/>
        <v>20</v>
      </c>
      <c r="B677" s="24">
        <v>12</v>
      </c>
      <c r="C677" s="24">
        <v>60.55</v>
      </c>
      <c r="E677" s="4">
        <v>421393</v>
      </c>
      <c r="F677" s="2" t="s">
        <v>2</v>
      </c>
      <c r="G677" s="2" t="str">
        <f t="shared" si="65"/>
        <v>https://www.oreht.ru/modules.php?name=orehtPriceLS&amp;op=Search&amp;page=1&amp;stext=421393</v>
      </c>
      <c r="I677">
        <v>421393</v>
      </c>
      <c r="J677" t="s">
        <v>2</v>
      </c>
      <c r="K677" t="s">
        <v>2056</v>
      </c>
      <c r="L677" t="s">
        <v>2057</v>
      </c>
      <c r="M677" t="s">
        <v>2058</v>
      </c>
    </row>
    <row r="678" spans="1:13" hidden="1" x14ac:dyDescent="0.25">
      <c r="A678" s="24">
        <f t="shared" si="66"/>
        <v>20</v>
      </c>
      <c r="B678" s="24">
        <v>10</v>
      </c>
      <c r="C678" s="24">
        <v>100</v>
      </c>
      <c r="E678" s="4">
        <v>104929</v>
      </c>
      <c r="F678" s="2" t="s">
        <v>2</v>
      </c>
      <c r="G678" s="2" t="str">
        <f t="shared" si="65"/>
        <v>https://www.oreht.ru/modules.php?name=orehtPriceLS&amp;op=Search&amp;page=1&amp;stext=104929</v>
      </c>
      <c r="I678">
        <v>104929</v>
      </c>
      <c r="J678" t="s">
        <v>2</v>
      </c>
      <c r="K678" t="s">
        <v>2059</v>
      </c>
      <c r="L678" t="s">
        <v>2060</v>
      </c>
      <c r="M678" t="s">
        <v>2061</v>
      </c>
    </row>
    <row r="679" spans="1:13" x14ac:dyDescent="0.25">
      <c r="A679" s="24">
        <f t="shared" si="66"/>
        <v>20</v>
      </c>
      <c r="B679" s="24">
        <v>12</v>
      </c>
      <c r="C679" s="24">
        <v>80.22</v>
      </c>
      <c r="E679" s="4">
        <v>426238</v>
      </c>
      <c r="F679" s="2" t="s">
        <v>2</v>
      </c>
      <c r="G679" s="2" t="str">
        <f t="shared" si="65"/>
        <v>https://www.oreht.ru/modules.php?name=orehtPriceLS&amp;op=Search&amp;page=1&amp;stext=426238</v>
      </c>
      <c r="I679">
        <v>426238</v>
      </c>
      <c r="J679" t="s">
        <v>2</v>
      </c>
      <c r="K679" t="s">
        <v>2062</v>
      </c>
      <c r="L679" t="s">
        <v>2063</v>
      </c>
      <c r="M679" t="s">
        <v>649</v>
      </c>
    </row>
    <row r="680" spans="1:13" hidden="1" x14ac:dyDescent="0.25">
      <c r="A680" s="24">
        <f t="shared" si="66"/>
        <v>20</v>
      </c>
      <c r="B680" s="24">
        <v>12</v>
      </c>
      <c r="C680" s="24">
        <v>58.6</v>
      </c>
      <c r="E680" s="4">
        <v>337088</v>
      </c>
      <c r="F680" s="2" t="s">
        <v>2</v>
      </c>
      <c r="G680" s="2" t="str">
        <f t="shared" si="65"/>
        <v>https://www.oreht.ru/modules.php?name=orehtPriceLS&amp;op=Search&amp;page=1&amp;stext=337088</v>
      </c>
      <c r="I680">
        <v>337088</v>
      </c>
      <c r="J680" t="s">
        <v>2</v>
      </c>
      <c r="K680" t="s">
        <v>2064</v>
      </c>
      <c r="L680" t="s">
        <v>2065</v>
      </c>
      <c r="M680" t="s">
        <v>2066</v>
      </c>
    </row>
    <row r="681" spans="1:13" x14ac:dyDescent="0.25">
      <c r="A681" s="24">
        <f t="shared" si="66"/>
        <v>20</v>
      </c>
      <c r="B681" s="24">
        <v>10</v>
      </c>
      <c r="C681" s="24">
        <v>100</v>
      </c>
      <c r="E681" s="4">
        <v>124611</v>
      </c>
      <c r="F681" s="2" t="s">
        <v>2</v>
      </c>
      <c r="G681" s="2" t="str">
        <f t="shared" si="65"/>
        <v>https://www.oreht.ru/modules.php?name=orehtPriceLS&amp;op=Search&amp;page=1&amp;stext=124611</v>
      </c>
      <c r="I681">
        <v>124611</v>
      </c>
      <c r="J681" t="s">
        <v>2</v>
      </c>
      <c r="K681" t="s">
        <v>2067</v>
      </c>
      <c r="L681" t="s">
        <v>2068</v>
      </c>
      <c r="M681" t="s">
        <v>649</v>
      </c>
    </row>
    <row r="682" spans="1:13" x14ac:dyDescent="0.25">
      <c r="A682" s="24">
        <f t="shared" si="66"/>
        <v>20</v>
      </c>
      <c r="B682" s="24">
        <v>12</v>
      </c>
      <c r="C682" s="24">
        <v>66.150000000000006</v>
      </c>
      <c r="E682" s="4">
        <v>364682</v>
      </c>
      <c r="F682" s="2" t="s">
        <v>2</v>
      </c>
      <c r="G682" s="2" t="str">
        <f t="shared" si="65"/>
        <v>https://www.oreht.ru/modules.php?name=orehtPriceLS&amp;op=Search&amp;page=1&amp;stext=364682</v>
      </c>
      <c r="I682">
        <v>364682</v>
      </c>
      <c r="J682" t="s">
        <v>2</v>
      </c>
      <c r="K682" t="s">
        <v>2069</v>
      </c>
      <c r="L682" t="s">
        <v>2070</v>
      </c>
      <c r="M682" t="s">
        <v>649</v>
      </c>
    </row>
    <row r="683" spans="1:13" hidden="1" x14ac:dyDescent="0.25">
      <c r="A683" s="24">
        <f t="shared" si="66"/>
        <v>20</v>
      </c>
      <c r="B683" s="24">
        <v>10</v>
      </c>
      <c r="C683" s="24">
        <v>79</v>
      </c>
      <c r="E683" s="4">
        <v>124615</v>
      </c>
      <c r="F683" s="2" t="s">
        <v>2</v>
      </c>
      <c r="G683" s="2" t="str">
        <f t="shared" si="65"/>
        <v>https://www.oreht.ru/modules.php?name=orehtPriceLS&amp;op=Search&amp;page=1&amp;stext=124615</v>
      </c>
      <c r="I683">
        <v>124615</v>
      </c>
      <c r="J683" t="s">
        <v>2</v>
      </c>
      <c r="K683" t="s">
        <v>2071</v>
      </c>
      <c r="L683" t="s">
        <v>2072</v>
      </c>
      <c r="M683" t="s">
        <v>2073</v>
      </c>
    </row>
    <row r="684" spans="1:13" x14ac:dyDescent="0.25">
      <c r="A684" s="24">
        <f t="shared" si="66"/>
        <v>20</v>
      </c>
      <c r="B684" s="24">
        <v>12</v>
      </c>
      <c r="C684" s="24">
        <v>210</v>
      </c>
      <c r="E684" s="4">
        <v>253584</v>
      </c>
      <c r="F684" s="2" t="s">
        <v>2</v>
      </c>
      <c r="G684" s="2" t="str">
        <f t="shared" si="65"/>
        <v>https://www.oreht.ru/modules.php?name=orehtPriceLS&amp;op=Search&amp;page=1&amp;stext=253584</v>
      </c>
      <c r="I684">
        <v>253584</v>
      </c>
      <c r="J684" t="s">
        <v>2</v>
      </c>
      <c r="K684" t="s">
        <v>2074</v>
      </c>
      <c r="L684" t="s">
        <v>2075</v>
      </c>
      <c r="M684" t="s">
        <v>649</v>
      </c>
    </row>
    <row r="685" spans="1:13" hidden="1" x14ac:dyDescent="0.25">
      <c r="A685" s="24">
        <f t="shared" si="66"/>
        <v>20</v>
      </c>
      <c r="B685" s="24">
        <v>12</v>
      </c>
      <c r="C685" s="24">
        <v>77.040000000000006</v>
      </c>
      <c r="E685" s="4">
        <v>339681</v>
      </c>
      <c r="F685" s="2" t="s">
        <v>2</v>
      </c>
      <c r="G685" s="2" t="str">
        <f t="shared" si="65"/>
        <v>https://www.oreht.ru/modules.php?name=orehtPriceLS&amp;op=Search&amp;page=1&amp;stext=339681</v>
      </c>
      <c r="I685">
        <v>339681</v>
      </c>
      <c r="J685" t="s">
        <v>2</v>
      </c>
      <c r="K685" t="s">
        <v>2076</v>
      </c>
      <c r="L685" t="s">
        <v>2077</v>
      </c>
      <c r="M685" t="s">
        <v>2078</v>
      </c>
    </row>
    <row r="686" spans="1:13" hidden="1" x14ac:dyDescent="0.25">
      <c r="A686" s="24">
        <f t="shared" si="66"/>
        <v>20</v>
      </c>
      <c r="B686" s="24">
        <v>12</v>
      </c>
      <c r="C686" s="24">
        <v>61.15</v>
      </c>
      <c r="E686" s="4">
        <v>432938</v>
      </c>
      <c r="F686" s="2" t="s">
        <v>2</v>
      </c>
      <c r="G686" s="2" t="str">
        <f t="shared" si="65"/>
        <v>https://www.oreht.ru/modules.php?name=orehtPriceLS&amp;op=Search&amp;page=1&amp;stext=432938</v>
      </c>
      <c r="I686">
        <v>432938</v>
      </c>
      <c r="J686" t="s">
        <v>2</v>
      </c>
      <c r="K686" t="s">
        <v>2079</v>
      </c>
      <c r="L686" t="s">
        <v>2080</v>
      </c>
      <c r="M686" t="s">
        <v>2081</v>
      </c>
    </row>
    <row r="687" spans="1:13" hidden="1" x14ac:dyDescent="0.25">
      <c r="A687" s="24">
        <f t="shared" si="66"/>
        <v>20</v>
      </c>
      <c r="B687" s="24">
        <v>10</v>
      </c>
      <c r="C687" s="24">
        <v>76.8</v>
      </c>
      <c r="E687" s="4">
        <v>362145</v>
      </c>
      <c r="F687" s="2" t="s">
        <v>2</v>
      </c>
      <c r="G687" s="2" t="str">
        <f t="shared" si="65"/>
        <v>https://www.oreht.ru/modules.php?name=orehtPriceLS&amp;op=Search&amp;page=1&amp;stext=362145</v>
      </c>
      <c r="I687">
        <v>362145</v>
      </c>
      <c r="J687" t="s">
        <v>2</v>
      </c>
      <c r="K687" t="s">
        <v>2082</v>
      </c>
      <c r="L687" t="s">
        <v>2083</v>
      </c>
      <c r="M687" t="s">
        <v>2084</v>
      </c>
    </row>
    <row r="688" spans="1:13" hidden="1" x14ac:dyDescent="0.25">
      <c r="A688" s="24">
        <f t="shared" si="66"/>
        <v>20</v>
      </c>
      <c r="B688" s="24">
        <v>10</v>
      </c>
      <c r="C688" s="24">
        <v>76.86</v>
      </c>
      <c r="E688" s="4">
        <v>204798</v>
      </c>
      <c r="F688" s="2" t="s">
        <v>2</v>
      </c>
      <c r="G688" s="2" t="str">
        <f t="shared" si="65"/>
        <v>https://www.oreht.ru/modules.php?name=orehtPriceLS&amp;op=Search&amp;page=1&amp;stext=204798</v>
      </c>
      <c r="I688">
        <v>204798</v>
      </c>
      <c r="J688" t="s">
        <v>2</v>
      </c>
      <c r="K688" t="s">
        <v>2085</v>
      </c>
      <c r="L688" t="s">
        <v>2086</v>
      </c>
      <c r="M688" t="s">
        <v>2087</v>
      </c>
    </row>
    <row r="689" spans="1:13" x14ac:dyDescent="0.25">
      <c r="A689" s="24">
        <f t="shared" si="66"/>
        <v>20</v>
      </c>
      <c r="B689" s="24">
        <v>12</v>
      </c>
      <c r="C689" s="24">
        <v>120</v>
      </c>
      <c r="E689" s="4">
        <v>159836</v>
      </c>
      <c r="F689" s="2" t="s">
        <v>2</v>
      </c>
      <c r="G689" s="2" t="str">
        <f t="shared" si="65"/>
        <v>https://www.oreht.ru/modules.php?name=orehtPriceLS&amp;op=Search&amp;page=1&amp;stext=159836</v>
      </c>
      <c r="I689">
        <v>159836</v>
      </c>
      <c r="J689" t="s">
        <v>2</v>
      </c>
      <c r="K689" t="s">
        <v>2088</v>
      </c>
      <c r="L689" t="s">
        <v>2089</v>
      </c>
      <c r="M689" t="s">
        <v>649</v>
      </c>
    </row>
    <row r="690" spans="1:13" x14ac:dyDescent="0.25">
      <c r="A690" s="24">
        <f t="shared" si="66"/>
        <v>20</v>
      </c>
      <c r="B690" s="24">
        <v>12</v>
      </c>
      <c r="C690" s="24">
        <v>120</v>
      </c>
      <c r="E690" s="4">
        <v>292205</v>
      </c>
      <c r="F690" s="2" t="s">
        <v>2</v>
      </c>
      <c r="G690" s="2" t="str">
        <f t="shared" si="65"/>
        <v>https://www.oreht.ru/modules.php?name=orehtPriceLS&amp;op=Search&amp;page=1&amp;stext=292205</v>
      </c>
      <c r="I690">
        <v>292205</v>
      </c>
      <c r="J690" t="s">
        <v>2</v>
      </c>
      <c r="K690" t="s">
        <v>2090</v>
      </c>
      <c r="L690" t="s">
        <v>2091</v>
      </c>
      <c r="M690" t="s">
        <v>649</v>
      </c>
    </row>
    <row r="691" spans="1:13" hidden="1" x14ac:dyDescent="0.25">
      <c r="A691" s="24">
        <f t="shared" si="66"/>
        <v>20</v>
      </c>
      <c r="B691" s="24">
        <v>12</v>
      </c>
      <c r="C691" s="24">
        <v>185</v>
      </c>
      <c r="E691" s="4">
        <v>403637</v>
      </c>
      <c r="F691" s="2" t="s">
        <v>2</v>
      </c>
      <c r="G691" s="2" t="str">
        <f t="shared" si="65"/>
        <v>https://www.oreht.ru/modules.php?name=orehtPriceLS&amp;op=Search&amp;page=1&amp;stext=403637</v>
      </c>
      <c r="I691">
        <v>403637</v>
      </c>
      <c r="J691" t="s">
        <v>2</v>
      </c>
      <c r="K691" t="s">
        <v>2092</v>
      </c>
      <c r="L691" t="s">
        <v>2093</v>
      </c>
      <c r="M691" t="s">
        <v>2094</v>
      </c>
    </row>
    <row r="692" spans="1:13" x14ac:dyDescent="0.25">
      <c r="A692" s="24">
        <f t="shared" si="66"/>
        <v>20</v>
      </c>
      <c r="B692" s="24">
        <v>12</v>
      </c>
      <c r="C692" s="24">
        <v>77.64</v>
      </c>
      <c r="E692" s="4">
        <v>392389</v>
      </c>
      <c r="F692" s="2" t="s">
        <v>2</v>
      </c>
      <c r="G692" s="2" t="str">
        <f t="shared" si="65"/>
        <v>https://www.oreht.ru/modules.php?name=orehtPriceLS&amp;op=Search&amp;page=1&amp;stext=392389</v>
      </c>
      <c r="I692">
        <v>392389</v>
      </c>
      <c r="J692" t="s">
        <v>2</v>
      </c>
      <c r="K692" t="s">
        <v>2095</v>
      </c>
      <c r="L692" t="s">
        <v>2096</v>
      </c>
      <c r="M692" t="s">
        <v>649</v>
      </c>
    </row>
    <row r="693" spans="1:13" hidden="1" x14ac:dyDescent="0.25">
      <c r="A693" s="24">
        <f t="shared" si="66"/>
        <v>20</v>
      </c>
      <c r="B693" s="24">
        <v>12</v>
      </c>
      <c r="C693" s="24">
        <v>88.62</v>
      </c>
      <c r="E693" s="4">
        <v>187077</v>
      </c>
      <c r="F693" s="2" t="s">
        <v>2</v>
      </c>
      <c r="G693" s="2" t="str">
        <f t="shared" si="65"/>
        <v>https://www.oreht.ru/modules.php?name=orehtPriceLS&amp;op=Search&amp;page=1&amp;stext=187077</v>
      </c>
      <c r="I693">
        <v>187077</v>
      </c>
      <c r="J693" t="s">
        <v>2</v>
      </c>
      <c r="K693" t="s">
        <v>2097</v>
      </c>
      <c r="L693" t="s">
        <v>2098</v>
      </c>
      <c r="M693" t="s">
        <v>2099</v>
      </c>
    </row>
    <row r="694" spans="1:13" x14ac:dyDescent="0.25">
      <c r="A694" s="24">
        <f t="shared" si="66"/>
        <v>20</v>
      </c>
      <c r="B694" s="24">
        <v>12</v>
      </c>
      <c r="C694" s="24">
        <v>82.5</v>
      </c>
      <c r="E694" s="4">
        <v>364702</v>
      </c>
      <c r="F694" s="2" t="s">
        <v>2</v>
      </c>
      <c r="G694" s="2" t="str">
        <f t="shared" si="65"/>
        <v>https://www.oreht.ru/modules.php?name=orehtPriceLS&amp;op=Search&amp;page=1&amp;stext=364702</v>
      </c>
      <c r="I694">
        <v>364702</v>
      </c>
      <c r="J694" t="s">
        <v>2</v>
      </c>
      <c r="K694" t="s">
        <v>2100</v>
      </c>
      <c r="L694" t="s">
        <v>2101</v>
      </c>
      <c r="M694" t="s">
        <v>649</v>
      </c>
    </row>
    <row r="695" spans="1:13" hidden="1" x14ac:dyDescent="0.25">
      <c r="A695" s="24">
        <f t="shared" si="66"/>
        <v>20</v>
      </c>
      <c r="B695" s="24">
        <v>12</v>
      </c>
      <c r="C695" s="24">
        <v>75.239999999999995</v>
      </c>
      <c r="E695" s="4">
        <v>413053</v>
      </c>
      <c r="F695" s="2" t="s">
        <v>2</v>
      </c>
      <c r="G695" s="2" t="str">
        <f t="shared" si="65"/>
        <v>https://www.oreht.ru/modules.php?name=orehtPriceLS&amp;op=Search&amp;page=1&amp;stext=413053</v>
      </c>
      <c r="I695">
        <v>413053</v>
      </c>
      <c r="J695" t="s">
        <v>2</v>
      </c>
      <c r="K695" t="s">
        <v>2102</v>
      </c>
      <c r="L695" t="s">
        <v>2103</v>
      </c>
      <c r="M695" t="s">
        <v>2104</v>
      </c>
    </row>
    <row r="696" spans="1:13" hidden="1" x14ac:dyDescent="0.25">
      <c r="A696" s="24">
        <f t="shared" si="66"/>
        <v>20</v>
      </c>
      <c r="B696" s="24">
        <v>12</v>
      </c>
      <c r="C696" s="24">
        <v>74.94</v>
      </c>
      <c r="E696" s="4">
        <v>353037</v>
      </c>
      <c r="F696" s="2" t="s">
        <v>2</v>
      </c>
      <c r="G696" s="2" t="str">
        <f t="shared" si="65"/>
        <v>https://www.oreht.ru/modules.php?name=orehtPriceLS&amp;op=Search&amp;page=1&amp;stext=353037</v>
      </c>
      <c r="I696">
        <v>353037</v>
      </c>
      <c r="J696" t="s">
        <v>2</v>
      </c>
      <c r="K696" t="s">
        <v>2105</v>
      </c>
      <c r="L696" t="s">
        <v>2106</v>
      </c>
      <c r="M696" t="s">
        <v>2104</v>
      </c>
    </row>
    <row r="697" spans="1:13" x14ac:dyDescent="0.25">
      <c r="A697" s="24">
        <f t="shared" si="66"/>
        <v>20</v>
      </c>
      <c r="B697" s="24">
        <v>12</v>
      </c>
      <c r="C697" s="24">
        <v>82.68</v>
      </c>
      <c r="E697" s="4">
        <v>421465</v>
      </c>
      <c r="F697" s="2" t="s">
        <v>2</v>
      </c>
      <c r="G697" s="2" t="str">
        <f t="shared" si="65"/>
        <v>https://www.oreht.ru/modules.php?name=orehtPriceLS&amp;op=Search&amp;page=1&amp;stext=421465</v>
      </c>
      <c r="I697">
        <v>421465</v>
      </c>
      <c r="J697" t="s">
        <v>2</v>
      </c>
      <c r="K697" t="s">
        <v>2107</v>
      </c>
      <c r="L697" t="s">
        <v>2108</v>
      </c>
      <c r="M697" t="s">
        <v>649</v>
      </c>
    </row>
    <row r="698" spans="1:13" x14ac:dyDescent="0.25">
      <c r="A698" s="24">
        <f t="shared" si="66"/>
        <v>20</v>
      </c>
      <c r="B698" s="24">
        <v>12</v>
      </c>
      <c r="C698" s="24">
        <v>82.68</v>
      </c>
      <c r="E698" s="4">
        <v>421427</v>
      </c>
      <c r="F698" s="2" t="s">
        <v>2</v>
      </c>
      <c r="G698" s="2" t="str">
        <f t="shared" si="65"/>
        <v>https://www.oreht.ru/modules.php?name=orehtPriceLS&amp;op=Search&amp;page=1&amp;stext=421427</v>
      </c>
      <c r="I698">
        <v>421427</v>
      </c>
      <c r="J698" t="s">
        <v>2</v>
      </c>
      <c r="K698" t="s">
        <v>2109</v>
      </c>
      <c r="L698" t="s">
        <v>2110</v>
      </c>
      <c r="M698" t="s">
        <v>649</v>
      </c>
    </row>
    <row r="699" spans="1:13" hidden="1" x14ac:dyDescent="0.25">
      <c r="A699" s="24">
        <f t="shared" si="66"/>
        <v>20</v>
      </c>
      <c r="B699" s="24">
        <v>10</v>
      </c>
      <c r="C699" s="24">
        <v>210</v>
      </c>
      <c r="E699" s="4">
        <v>299897</v>
      </c>
      <c r="F699" s="2" t="s">
        <v>2</v>
      </c>
      <c r="G699" s="2" t="str">
        <f t="shared" si="65"/>
        <v>https://www.oreht.ru/modules.php?name=orehtPriceLS&amp;op=Search&amp;page=1&amp;stext=299897</v>
      </c>
      <c r="I699">
        <v>299897</v>
      </c>
      <c r="J699" t="s">
        <v>2</v>
      </c>
      <c r="K699" t="s">
        <v>2111</v>
      </c>
      <c r="L699" t="s">
        <v>2112</v>
      </c>
      <c r="M699" t="s">
        <v>2113</v>
      </c>
    </row>
    <row r="700" spans="1:13" hidden="1" x14ac:dyDescent="0.25">
      <c r="A700" s="24">
        <f t="shared" si="66"/>
        <v>20</v>
      </c>
      <c r="B700" s="24">
        <v>12</v>
      </c>
      <c r="C700" s="24">
        <v>80</v>
      </c>
      <c r="E700" s="4">
        <v>299893</v>
      </c>
      <c r="F700" s="2" t="s">
        <v>2</v>
      </c>
      <c r="G700" s="2" t="str">
        <f t="shared" si="65"/>
        <v>https://www.oreht.ru/modules.php?name=orehtPriceLS&amp;op=Search&amp;page=1&amp;stext=299893</v>
      </c>
      <c r="I700">
        <v>299893</v>
      </c>
      <c r="J700" t="s">
        <v>2</v>
      </c>
      <c r="K700" t="s">
        <v>2114</v>
      </c>
      <c r="L700" t="s">
        <v>2115</v>
      </c>
      <c r="M700" t="s">
        <v>2116</v>
      </c>
    </row>
    <row r="701" spans="1:13" x14ac:dyDescent="0.25">
      <c r="A701" s="24">
        <f t="shared" si="66"/>
        <v>20</v>
      </c>
      <c r="B701" s="24">
        <v>12</v>
      </c>
      <c r="C701" s="24">
        <v>135</v>
      </c>
      <c r="E701" s="4">
        <v>422001</v>
      </c>
      <c r="F701" s="2" t="s">
        <v>2</v>
      </c>
      <c r="G701" s="2" t="str">
        <f t="shared" si="65"/>
        <v>https://www.oreht.ru/modules.php?name=orehtPriceLS&amp;op=Search&amp;page=1&amp;stext=422001</v>
      </c>
      <c r="I701">
        <v>422001</v>
      </c>
      <c r="J701" t="s">
        <v>2</v>
      </c>
      <c r="K701" t="s">
        <v>2117</v>
      </c>
      <c r="L701" t="s">
        <v>2118</v>
      </c>
      <c r="M701" t="s">
        <v>649</v>
      </c>
    </row>
    <row r="702" spans="1:13" hidden="1" x14ac:dyDescent="0.25">
      <c r="A702" s="24">
        <f t="shared" si="66"/>
        <v>20</v>
      </c>
      <c r="B702" s="24">
        <v>12</v>
      </c>
      <c r="C702" s="24">
        <v>79</v>
      </c>
      <c r="E702" s="4">
        <v>344701</v>
      </c>
      <c r="F702" s="2" t="s">
        <v>2</v>
      </c>
      <c r="G702" s="2" t="str">
        <f t="shared" si="65"/>
        <v>https://www.oreht.ru/modules.php?name=orehtPriceLS&amp;op=Search&amp;page=1&amp;stext=344701</v>
      </c>
      <c r="I702">
        <v>344701</v>
      </c>
      <c r="J702" t="s">
        <v>2</v>
      </c>
      <c r="K702" t="s">
        <v>2119</v>
      </c>
      <c r="L702" t="s">
        <v>2120</v>
      </c>
      <c r="M702" t="s">
        <v>2121</v>
      </c>
    </row>
    <row r="703" spans="1:13" x14ac:dyDescent="0.25">
      <c r="A703" s="24">
        <f t="shared" si="66"/>
        <v>20</v>
      </c>
      <c r="B703" s="24">
        <v>12</v>
      </c>
      <c r="C703" s="24">
        <v>82.92</v>
      </c>
      <c r="E703" s="4">
        <v>397270</v>
      </c>
      <c r="F703" s="2" t="s">
        <v>2</v>
      </c>
      <c r="G703" s="2" t="str">
        <f t="shared" si="65"/>
        <v>https://www.oreht.ru/modules.php?name=orehtPriceLS&amp;op=Search&amp;page=1&amp;stext=397270</v>
      </c>
      <c r="I703">
        <v>397270</v>
      </c>
      <c r="J703" t="s">
        <v>2</v>
      </c>
      <c r="K703" t="s">
        <v>2122</v>
      </c>
      <c r="L703" t="s">
        <v>2123</v>
      </c>
      <c r="M703" t="s">
        <v>649</v>
      </c>
    </row>
    <row r="704" spans="1:13" x14ac:dyDescent="0.25">
      <c r="A704" s="24">
        <f t="shared" si="66"/>
        <v>20</v>
      </c>
      <c r="B704" s="24">
        <v>12</v>
      </c>
      <c r="C704" s="24">
        <v>83.04</v>
      </c>
      <c r="E704" s="4">
        <v>269740</v>
      </c>
      <c r="F704" s="2" t="s">
        <v>2</v>
      </c>
      <c r="G704" s="2" t="str">
        <f t="shared" si="65"/>
        <v>https://www.oreht.ru/modules.php?name=orehtPriceLS&amp;op=Search&amp;page=1&amp;stext=269740</v>
      </c>
      <c r="I704">
        <v>269740</v>
      </c>
      <c r="J704" t="s">
        <v>2</v>
      </c>
      <c r="K704" t="s">
        <v>2124</v>
      </c>
      <c r="L704" t="s">
        <v>2125</v>
      </c>
      <c r="M704" t="s">
        <v>649</v>
      </c>
    </row>
    <row r="705" spans="1:13" x14ac:dyDescent="0.25">
      <c r="A705" s="24">
        <f t="shared" si="66"/>
        <v>20</v>
      </c>
      <c r="B705" s="24">
        <v>12</v>
      </c>
      <c r="C705" s="24">
        <v>78.66</v>
      </c>
      <c r="E705" s="4">
        <v>424404</v>
      </c>
      <c r="F705" s="2" t="s">
        <v>2</v>
      </c>
      <c r="G705" s="2" t="str">
        <f t="shared" si="65"/>
        <v>https://www.oreht.ru/modules.php?name=orehtPriceLS&amp;op=Search&amp;page=1&amp;stext=424404</v>
      </c>
      <c r="I705">
        <v>424404</v>
      </c>
      <c r="J705" t="s">
        <v>2</v>
      </c>
      <c r="K705" t="s">
        <v>2126</v>
      </c>
    </row>
    <row r="706" spans="1:13" x14ac:dyDescent="0.25">
      <c r="A706" s="24">
        <f t="shared" si="66"/>
        <v>20</v>
      </c>
      <c r="B706" s="24">
        <v>12</v>
      </c>
      <c r="C706" s="24">
        <v>68.349999999999994</v>
      </c>
      <c r="E706" s="4">
        <v>358099</v>
      </c>
      <c r="F706" s="2" t="s">
        <v>2</v>
      </c>
      <c r="G706" s="2" t="str">
        <f t="shared" ref="G706:G769" si="67">HYPERLINK(F706&amp;E706)</f>
        <v>https://www.oreht.ru/modules.php?name=orehtPriceLS&amp;op=Search&amp;page=1&amp;stext=358099</v>
      </c>
      <c r="I706">
        <v>358099</v>
      </c>
      <c r="J706" t="s">
        <v>2</v>
      </c>
      <c r="K706" t="s">
        <v>2127</v>
      </c>
      <c r="L706" t="s">
        <v>2128</v>
      </c>
      <c r="M706" t="s">
        <v>649</v>
      </c>
    </row>
    <row r="707" spans="1:13" hidden="1" x14ac:dyDescent="0.25">
      <c r="A707" s="24">
        <f t="shared" si="66"/>
        <v>20</v>
      </c>
      <c r="B707" s="24">
        <v>12</v>
      </c>
      <c r="C707" s="24">
        <v>62.85</v>
      </c>
      <c r="E707" s="4">
        <v>272038</v>
      </c>
      <c r="F707" s="2" t="s">
        <v>2</v>
      </c>
      <c r="G707" s="2" t="str">
        <f t="shared" si="67"/>
        <v>https://www.oreht.ru/modules.php?name=orehtPriceLS&amp;op=Search&amp;page=1&amp;stext=272038</v>
      </c>
      <c r="I707">
        <v>272038</v>
      </c>
      <c r="J707" t="s">
        <v>2</v>
      </c>
      <c r="K707" t="s">
        <v>2129</v>
      </c>
      <c r="L707" t="s">
        <v>2130</v>
      </c>
      <c r="M707" t="s">
        <v>2131</v>
      </c>
    </row>
    <row r="708" spans="1:13" hidden="1" x14ac:dyDescent="0.25">
      <c r="A708" s="24">
        <f t="shared" si="66"/>
        <v>20</v>
      </c>
      <c r="B708" s="24">
        <v>10</v>
      </c>
      <c r="C708" s="24">
        <v>65.150000000000006</v>
      </c>
      <c r="E708" s="4">
        <v>104931</v>
      </c>
      <c r="F708" s="2" t="s">
        <v>2</v>
      </c>
      <c r="G708" s="2" t="str">
        <f t="shared" si="67"/>
        <v>https://www.oreht.ru/modules.php?name=orehtPriceLS&amp;op=Search&amp;page=1&amp;stext=104931</v>
      </c>
      <c r="I708">
        <v>104931</v>
      </c>
      <c r="J708" t="s">
        <v>2</v>
      </c>
      <c r="K708" t="s">
        <v>2132</v>
      </c>
      <c r="L708" t="s">
        <v>2133</v>
      </c>
      <c r="M708" t="s">
        <v>2134</v>
      </c>
    </row>
    <row r="709" spans="1:13" hidden="1" x14ac:dyDescent="0.25">
      <c r="A709" s="24">
        <f t="shared" ref="A709:A772" si="68">IF(W709*0.05&gt;=250,250,IF(W709*0.05&gt;=20,IF(W709*0.05&lt;20,20,W709*0.05),20))</f>
        <v>20</v>
      </c>
      <c r="B709" s="24">
        <v>12</v>
      </c>
      <c r="C709" s="24">
        <v>63.25</v>
      </c>
      <c r="E709" s="4">
        <v>357733</v>
      </c>
      <c r="F709" s="2" t="s">
        <v>2</v>
      </c>
      <c r="G709" s="2" t="str">
        <f t="shared" si="67"/>
        <v>https://www.oreht.ru/modules.php?name=orehtPriceLS&amp;op=Search&amp;page=1&amp;stext=357733</v>
      </c>
      <c r="I709">
        <v>357733</v>
      </c>
      <c r="J709" t="s">
        <v>2</v>
      </c>
      <c r="K709" t="s">
        <v>2135</v>
      </c>
      <c r="L709" t="s">
        <v>2136</v>
      </c>
      <c r="M709" t="s">
        <v>2137</v>
      </c>
    </row>
    <row r="710" spans="1:13" hidden="1" x14ac:dyDescent="0.25">
      <c r="A710" s="24">
        <f t="shared" si="68"/>
        <v>20</v>
      </c>
      <c r="B710" s="24">
        <v>12</v>
      </c>
      <c r="C710" s="24">
        <v>100</v>
      </c>
      <c r="E710" s="4">
        <v>252383</v>
      </c>
      <c r="F710" s="2" t="s">
        <v>2</v>
      </c>
      <c r="G710" s="2" t="str">
        <f t="shared" si="67"/>
        <v>https://www.oreht.ru/modules.php?name=orehtPriceLS&amp;op=Search&amp;page=1&amp;stext=252383</v>
      </c>
      <c r="I710">
        <v>252383</v>
      </c>
      <c r="J710" t="s">
        <v>2</v>
      </c>
      <c r="K710" t="s">
        <v>2138</v>
      </c>
      <c r="L710" t="s">
        <v>2139</v>
      </c>
      <c r="M710" t="s">
        <v>2140</v>
      </c>
    </row>
    <row r="711" spans="1:13" x14ac:dyDescent="0.25">
      <c r="A711" s="24">
        <f t="shared" si="68"/>
        <v>20</v>
      </c>
      <c r="B711" s="24">
        <v>12</v>
      </c>
      <c r="C711" s="24">
        <v>84.18</v>
      </c>
      <c r="E711" s="4">
        <v>390527</v>
      </c>
      <c r="F711" s="2" t="s">
        <v>2</v>
      </c>
      <c r="G711" s="2" t="str">
        <f t="shared" si="67"/>
        <v>https://www.oreht.ru/modules.php?name=orehtPriceLS&amp;op=Search&amp;page=1&amp;stext=390527</v>
      </c>
      <c r="I711">
        <v>390527</v>
      </c>
      <c r="J711" t="s">
        <v>2</v>
      </c>
      <c r="K711" t="s">
        <v>2141</v>
      </c>
      <c r="L711" t="s">
        <v>2142</v>
      </c>
      <c r="M711" t="s">
        <v>649</v>
      </c>
    </row>
    <row r="712" spans="1:13" hidden="1" x14ac:dyDescent="0.25">
      <c r="A712" s="24">
        <f t="shared" si="68"/>
        <v>20</v>
      </c>
      <c r="B712" s="24">
        <v>12</v>
      </c>
      <c r="C712" s="24">
        <v>57.7</v>
      </c>
      <c r="E712" s="4">
        <v>424042</v>
      </c>
      <c r="F712" s="2" t="s">
        <v>2</v>
      </c>
      <c r="G712" s="2" t="str">
        <f t="shared" si="67"/>
        <v>https://www.oreht.ru/modules.php?name=orehtPriceLS&amp;op=Search&amp;page=1&amp;stext=424042</v>
      </c>
      <c r="I712">
        <v>424042</v>
      </c>
      <c r="J712" t="s">
        <v>2</v>
      </c>
      <c r="K712" t="s">
        <v>2143</v>
      </c>
      <c r="L712" t="s">
        <v>2144</v>
      </c>
      <c r="M712" t="s">
        <v>2145</v>
      </c>
    </row>
    <row r="713" spans="1:13" hidden="1" x14ac:dyDescent="0.25">
      <c r="A713" s="24">
        <f t="shared" si="68"/>
        <v>20</v>
      </c>
      <c r="B713" s="24">
        <v>12</v>
      </c>
      <c r="C713" s="24">
        <v>78.540000000000006</v>
      </c>
      <c r="E713" s="4">
        <v>400127</v>
      </c>
      <c r="F713" s="2" t="s">
        <v>2</v>
      </c>
      <c r="G713" s="2" t="str">
        <f t="shared" si="67"/>
        <v>https://www.oreht.ru/modules.php?name=orehtPriceLS&amp;op=Search&amp;page=1&amp;stext=400127</v>
      </c>
      <c r="I713">
        <v>400127</v>
      </c>
      <c r="J713" t="s">
        <v>2</v>
      </c>
      <c r="K713" t="s">
        <v>2146</v>
      </c>
      <c r="L713" t="s">
        <v>2147</v>
      </c>
      <c r="M713" t="s">
        <v>2148</v>
      </c>
    </row>
    <row r="714" spans="1:13" x14ac:dyDescent="0.25">
      <c r="A714" s="24">
        <f t="shared" si="68"/>
        <v>20</v>
      </c>
      <c r="B714" s="24">
        <v>12</v>
      </c>
      <c r="C714" s="24">
        <v>66.150000000000006</v>
      </c>
      <c r="E714" s="4">
        <v>379145</v>
      </c>
      <c r="F714" s="2" t="s">
        <v>2</v>
      </c>
      <c r="G714" s="2" t="str">
        <f t="shared" si="67"/>
        <v>https://www.oreht.ru/modules.php?name=orehtPriceLS&amp;op=Search&amp;page=1&amp;stext=379145</v>
      </c>
      <c r="I714">
        <v>379145</v>
      </c>
      <c r="J714" t="s">
        <v>2</v>
      </c>
      <c r="K714" t="s">
        <v>2149</v>
      </c>
      <c r="L714" t="s">
        <v>2150</v>
      </c>
      <c r="M714" t="s">
        <v>649</v>
      </c>
    </row>
    <row r="715" spans="1:13" x14ac:dyDescent="0.25">
      <c r="A715" s="24">
        <f t="shared" si="68"/>
        <v>20</v>
      </c>
      <c r="B715" s="24">
        <v>12</v>
      </c>
      <c r="C715" s="24">
        <v>80.099999999999994</v>
      </c>
      <c r="E715" s="4">
        <v>403178</v>
      </c>
      <c r="F715" s="2" t="s">
        <v>2</v>
      </c>
      <c r="G715" s="2" t="str">
        <f t="shared" si="67"/>
        <v>https://www.oreht.ru/modules.php?name=orehtPriceLS&amp;op=Search&amp;page=1&amp;stext=403178</v>
      </c>
      <c r="I715">
        <v>403178</v>
      </c>
      <c r="J715" t="s">
        <v>2</v>
      </c>
      <c r="K715" t="s">
        <v>2151</v>
      </c>
      <c r="L715" t="s">
        <v>2152</v>
      </c>
      <c r="M715" t="s">
        <v>649</v>
      </c>
    </row>
    <row r="716" spans="1:13" hidden="1" x14ac:dyDescent="0.25">
      <c r="A716" s="24">
        <f t="shared" si="68"/>
        <v>20</v>
      </c>
      <c r="B716" s="24">
        <v>11</v>
      </c>
      <c r="C716" s="24">
        <v>82.08</v>
      </c>
      <c r="E716" s="4">
        <v>286061</v>
      </c>
      <c r="F716" s="2" t="s">
        <v>2</v>
      </c>
      <c r="G716" s="2" t="str">
        <f t="shared" si="67"/>
        <v>https://www.oreht.ru/modules.php?name=orehtPriceLS&amp;op=Search&amp;page=1&amp;stext=286061</v>
      </c>
      <c r="I716">
        <v>286061</v>
      </c>
      <c r="J716" t="s">
        <v>2</v>
      </c>
      <c r="K716" t="s">
        <v>2153</v>
      </c>
      <c r="L716" t="s">
        <v>2154</v>
      </c>
      <c r="M716" t="s">
        <v>2155</v>
      </c>
    </row>
    <row r="717" spans="1:13" hidden="1" x14ac:dyDescent="0.25">
      <c r="A717" s="24">
        <f t="shared" si="68"/>
        <v>20</v>
      </c>
      <c r="B717" s="24">
        <v>9</v>
      </c>
      <c r="C717" s="24">
        <v>80.94</v>
      </c>
      <c r="E717" s="4">
        <v>323797</v>
      </c>
      <c r="F717" s="2" t="s">
        <v>2</v>
      </c>
      <c r="G717" s="2" t="str">
        <f t="shared" si="67"/>
        <v>https://www.oreht.ru/modules.php?name=orehtPriceLS&amp;op=Search&amp;page=1&amp;stext=323797</v>
      </c>
      <c r="I717">
        <v>323797</v>
      </c>
      <c r="J717" t="s">
        <v>2</v>
      </c>
      <c r="K717" t="s">
        <v>2156</v>
      </c>
      <c r="L717" t="s">
        <v>2157</v>
      </c>
      <c r="M717" t="s">
        <v>2158</v>
      </c>
    </row>
    <row r="718" spans="1:13" hidden="1" x14ac:dyDescent="0.25">
      <c r="A718" s="24">
        <f t="shared" si="68"/>
        <v>20</v>
      </c>
      <c r="B718" s="24">
        <v>12</v>
      </c>
      <c r="C718" s="24">
        <v>79.14</v>
      </c>
      <c r="E718" s="4">
        <v>316746</v>
      </c>
      <c r="F718" s="2" t="s">
        <v>2</v>
      </c>
      <c r="G718" s="2" t="str">
        <f t="shared" si="67"/>
        <v>https://www.oreht.ru/modules.php?name=orehtPriceLS&amp;op=Search&amp;page=1&amp;stext=316746</v>
      </c>
      <c r="I718">
        <v>316746</v>
      </c>
      <c r="J718" t="s">
        <v>2</v>
      </c>
      <c r="K718" t="s">
        <v>2159</v>
      </c>
      <c r="L718" t="s">
        <v>2160</v>
      </c>
      <c r="M718" t="s">
        <v>2161</v>
      </c>
    </row>
    <row r="719" spans="1:13" hidden="1" x14ac:dyDescent="0.25">
      <c r="A719" s="24">
        <f t="shared" si="68"/>
        <v>20</v>
      </c>
      <c r="B719" s="24">
        <v>12</v>
      </c>
      <c r="C719" s="24">
        <v>93.24</v>
      </c>
      <c r="E719" s="4">
        <v>387210</v>
      </c>
      <c r="F719" s="2" t="s">
        <v>2</v>
      </c>
      <c r="G719" s="2" t="str">
        <f t="shared" si="67"/>
        <v>https://www.oreht.ru/modules.php?name=orehtPriceLS&amp;op=Search&amp;page=1&amp;stext=387210</v>
      </c>
      <c r="I719">
        <v>387210</v>
      </c>
      <c r="J719" t="s">
        <v>2</v>
      </c>
      <c r="K719" t="s">
        <v>2162</v>
      </c>
      <c r="L719" t="s">
        <v>2163</v>
      </c>
      <c r="M719" t="s">
        <v>2164</v>
      </c>
    </row>
    <row r="720" spans="1:13" x14ac:dyDescent="0.25">
      <c r="A720" s="24">
        <f t="shared" si="68"/>
        <v>20</v>
      </c>
      <c r="B720" s="24">
        <v>12</v>
      </c>
      <c r="C720" s="24">
        <v>79</v>
      </c>
      <c r="E720" s="4">
        <v>347019</v>
      </c>
      <c r="F720" s="2" t="s">
        <v>2</v>
      </c>
      <c r="G720" s="2" t="str">
        <f t="shared" si="67"/>
        <v>https://www.oreht.ru/modules.php?name=orehtPriceLS&amp;op=Search&amp;page=1&amp;stext=347019</v>
      </c>
      <c r="I720">
        <v>347019</v>
      </c>
      <c r="J720" t="s">
        <v>2</v>
      </c>
      <c r="K720" t="s">
        <v>2165</v>
      </c>
      <c r="L720" t="s">
        <v>2166</v>
      </c>
      <c r="M720" t="s">
        <v>649</v>
      </c>
    </row>
    <row r="721" spans="1:13" x14ac:dyDescent="0.25">
      <c r="A721" s="24">
        <f t="shared" si="68"/>
        <v>20</v>
      </c>
      <c r="B721" s="24">
        <v>12</v>
      </c>
      <c r="C721" s="24">
        <v>70.3</v>
      </c>
      <c r="E721" s="4">
        <v>384045</v>
      </c>
      <c r="F721" s="2" t="s">
        <v>2</v>
      </c>
      <c r="G721" s="2" t="str">
        <f t="shared" si="67"/>
        <v>https://www.oreht.ru/modules.php?name=orehtPriceLS&amp;op=Search&amp;page=1&amp;stext=384045</v>
      </c>
      <c r="I721">
        <v>384045</v>
      </c>
      <c r="J721" t="s">
        <v>2</v>
      </c>
      <c r="K721" t="s">
        <v>2167</v>
      </c>
      <c r="L721" t="s">
        <v>2168</v>
      </c>
      <c r="M721" t="s">
        <v>649</v>
      </c>
    </row>
    <row r="722" spans="1:13" x14ac:dyDescent="0.25">
      <c r="A722" s="24">
        <f t="shared" si="68"/>
        <v>20</v>
      </c>
      <c r="B722" s="24">
        <v>12</v>
      </c>
      <c r="C722" s="24">
        <v>70.45</v>
      </c>
      <c r="E722" s="4">
        <v>402835</v>
      </c>
      <c r="F722" s="2" t="s">
        <v>2</v>
      </c>
      <c r="G722" s="2" t="str">
        <f t="shared" si="67"/>
        <v>https://www.oreht.ru/modules.php?name=orehtPriceLS&amp;op=Search&amp;page=1&amp;stext=402835</v>
      </c>
      <c r="I722">
        <v>402835</v>
      </c>
      <c r="J722" t="s">
        <v>2</v>
      </c>
      <c r="K722" t="s">
        <v>2169</v>
      </c>
      <c r="L722" t="s">
        <v>2170</v>
      </c>
      <c r="M722" t="s">
        <v>649</v>
      </c>
    </row>
    <row r="723" spans="1:13" x14ac:dyDescent="0.25">
      <c r="A723" s="24">
        <f t="shared" si="68"/>
        <v>20</v>
      </c>
      <c r="B723" s="24">
        <v>9</v>
      </c>
      <c r="C723" s="24">
        <v>81.78</v>
      </c>
      <c r="E723" s="4">
        <v>390143</v>
      </c>
      <c r="F723" s="2" t="s">
        <v>2</v>
      </c>
      <c r="G723" s="2" t="str">
        <f t="shared" si="67"/>
        <v>https://www.oreht.ru/modules.php?name=orehtPriceLS&amp;op=Search&amp;page=1&amp;stext=390143</v>
      </c>
      <c r="I723">
        <v>390143</v>
      </c>
      <c r="J723" t="s">
        <v>2</v>
      </c>
      <c r="K723" t="s">
        <v>2171</v>
      </c>
      <c r="L723" t="s">
        <v>2172</v>
      </c>
      <c r="M723" t="s">
        <v>649</v>
      </c>
    </row>
    <row r="724" spans="1:13" hidden="1" x14ac:dyDescent="0.25">
      <c r="A724" s="24">
        <f t="shared" si="68"/>
        <v>20</v>
      </c>
      <c r="B724" s="24">
        <v>12</v>
      </c>
      <c r="C724" s="24">
        <v>68.5</v>
      </c>
      <c r="E724" s="4">
        <v>396425</v>
      </c>
      <c r="F724" s="2" t="s">
        <v>2</v>
      </c>
      <c r="G724" s="2" t="str">
        <f t="shared" si="67"/>
        <v>https://www.oreht.ru/modules.php?name=orehtPriceLS&amp;op=Search&amp;page=1&amp;stext=396425</v>
      </c>
      <c r="I724">
        <v>396425</v>
      </c>
      <c r="J724" t="s">
        <v>2</v>
      </c>
      <c r="K724" t="s">
        <v>2173</v>
      </c>
      <c r="L724" t="s">
        <v>2174</v>
      </c>
      <c r="M724" t="s">
        <v>2175</v>
      </c>
    </row>
    <row r="725" spans="1:13" hidden="1" x14ac:dyDescent="0.25">
      <c r="A725" s="24">
        <f t="shared" si="68"/>
        <v>20</v>
      </c>
      <c r="B725" s="24">
        <v>12</v>
      </c>
      <c r="C725" s="24">
        <v>100</v>
      </c>
      <c r="E725" s="4">
        <v>116471</v>
      </c>
      <c r="F725" s="2" t="s">
        <v>2</v>
      </c>
      <c r="G725" s="2" t="str">
        <f t="shared" si="67"/>
        <v>https://www.oreht.ru/modules.php?name=orehtPriceLS&amp;op=Search&amp;page=1&amp;stext=116471</v>
      </c>
      <c r="I725">
        <v>116471</v>
      </c>
      <c r="J725" t="s">
        <v>2</v>
      </c>
      <c r="K725" t="s">
        <v>2176</v>
      </c>
      <c r="L725" t="s">
        <v>2177</v>
      </c>
      <c r="M725" t="s">
        <v>2178</v>
      </c>
    </row>
    <row r="726" spans="1:13" x14ac:dyDescent="0.25">
      <c r="A726" s="24">
        <f t="shared" si="68"/>
        <v>20</v>
      </c>
      <c r="B726" s="24">
        <v>12</v>
      </c>
      <c r="C726" s="24">
        <v>70.8</v>
      </c>
      <c r="E726" s="4">
        <v>370069</v>
      </c>
      <c r="F726" s="2" t="s">
        <v>2</v>
      </c>
      <c r="G726" s="2" t="str">
        <f t="shared" si="67"/>
        <v>https://www.oreht.ru/modules.php?name=orehtPriceLS&amp;op=Search&amp;page=1&amp;stext=370069</v>
      </c>
      <c r="I726">
        <v>370069</v>
      </c>
      <c r="J726" t="s">
        <v>2</v>
      </c>
      <c r="K726" t="s">
        <v>2179</v>
      </c>
      <c r="L726" t="s">
        <v>2180</v>
      </c>
      <c r="M726" t="s">
        <v>649</v>
      </c>
    </row>
    <row r="727" spans="1:13" x14ac:dyDescent="0.25">
      <c r="A727" s="24">
        <f t="shared" si="68"/>
        <v>20</v>
      </c>
      <c r="B727" s="24">
        <v>12</v>
      </c>
      <c r="C727" s="24">
        <v>86.1</v>
      </c>
      <c r="E727" s="4">
        <v>373315</v>
      </c>
      <c r="F727" s="2" t="s">
        <v>2</v>
      </c>
      <c r="G727" s="2" t="str">
        <f t="shared" si="67"/>
        <v>https://www.oreht.ru/modules.php?name=orehtPriceLS&amp;op=Search&amp;page=1&amp;stext=373315</v>
      </c>
      <c r="I727">
        <v>373315</v>
      </c>
      <c r="J727" t="s">
        <v>2</v>
      </c>
      <c r="K727" t="s">
        <v>2181</v>
      </c>
      <c r="L727" t="s">
        <v>2182</v>
      </c>
      <c r="M727" t="s">
        <v>649</v>
      </c>
    </row>
    <row r="728" spans="1:13" hidden="1" x14ac:dyDescent="0.25">
      <c r="A728" s="24">
        <f t="shared" si="68"/>
        <v>20</v>
      </c>
      <c r="B728" s="24">
        <v>12</v>
      </c>
      <c r="C728" s="24">
        <v>65</v>
      </c>
      <c r="E728" s="4">
        <v>375905</v>
      </c>
      <c r="F728" s="2" t="s">
        <v>2</v>
      </c>
      <c r="G728" s="2" t="str">
        <f t="shared" si="67"/>
        <v>https://www.oreht.ru/modules.php?name=orehtPriceLS&amp;op=Search&amp;page=1&amp;stext=375905</v>
      </c>
      <c r="I728">
        <v>375905</v>
      </c>
      <c r="J728" t="s">
        <v>2</v>
      </c>
      <c r="K728" t="s">
        <v>2183</v>
      </c>
      <c r="L728" t="s">
        <v>2184</v>
      </c>
      <c r="M728" t="s">
        <v>2185</v>
      </c>
    </row>
    <row r="729" spans="1:13" hidden="1" x14ac:dyDescent="0.25">
      <c r="A729" s="24">
        <f t="shared" si="68"/>
        <v>20</v>
      </c>
      <c r="B729" s="24">
        <v>12</v>
      </c>
      <c r="C729" s="24">
        <v>79</v>
      </c>
      <c r="E729" s="4">
        <v>422678</v>
      </c>
      <c r="F729" s="2" t="s">
        <v>2</v>
      </c>
      <c r="G729" s="2" t="str">
        <f t="shared" si="67"/>
        <v>https://www.oreht.ru/modules.php?name=orehtPriceLS&amp;op=Search&amp;page=1&amp;stext=422678</v>
      </c>
      <c r="I729">
        <v>422678</v>
      </c>
      <c r="J729" t="s">
        <v>2</v>
      </c>
      <c r="K729" t="s">
        <v>2186</v>
      </c>
      <c r="L729" t="s">
        <v>2187</v>
      </c>
      <c r="M729" t="s">
        <v>2188</v>
      </c>
    </row>
    <row r="730" spans="1:13" hidden="1" x14ac:dyDescent="0.25">
      <c r="A730" s="24">
        <f t="shared" si="68"/>
        <v>20</v>
      </c>
      <c r="B730" s="24">
        <v>12</v>
      </c>
      <c r="C730" s="24">
        <v>79.44</v>
      </c>
      <c r="E730" s="4">
        <v>437059</v>
      </c>
      <c r="F730" s="2" t="s">
        <v>2</v>
      </c>
      <c r="G730" s="2" t="str">
        <f t="shared" si="67"/>
        <v>https://www.oreht.ru/modules.php?name=orehtPriceLS&amp;op=Search&amp;page=1&amp;stext=437059</v>
      </c>
      <c r="I730">
        <v>437059</v>
      </c>
      <c r="J730" t="s">
        <v>2</v>
      </c>
      <c r="K730" t="s">
        <v>2189</v>
      </c>
      <c r="L730" t="s">
        <v>2190</v>
      </c>
      <c r="M730" t="s">
        <v>2188</v>
      </c>
    </row>
    <row r="731" spans="1:13" x14ac:dyDescent="0.25">
      <c r="A731" s="24">
        <f t="shared" si="68"/>
        <v>20</v>
      </c>
      <c r="B731" s="24">
        <v>12</v>
      </c>
      <c r="C731" s="24">
        <v>79</v>
      </c>
      <c r="E731" s="4">
        <v>219590</v>
      </c>
      <c r="F731" s="2" t="s">
        <v>2</v>
      </c>
      <c r="G731" s="2" t="str">
        <f t="shared" si="67"/>
        <v>https://www.oreht.ru/modules.php?name=orehtPriceLS&amp;op=Search&amp;page=1&amp;stext=219590</v>
      </c>
      <c r="I731">
        <v>219590</v>
      </c>
      <c r="J731" t="s">
        <v>2</v>
      </c>
      <c r="K731" t="s">
        <v>2191</v>
      </c>
      <c r="L731" t="s">
        <v>2192</v>
      </c>
      <c r="M731" t="s">
        <v>649</v>
      </c>
    </row>
    <row r="732" spans="1:13" hidden="1" x14ac:dyDescent="0.25">
      <c r="A732" s="24">
        <f t="shared" si="68"/>
        <v>20</v>
      </c>
      <c r="B732" s="24">
        <v>12</v>
      </c>
      <c r="C732" s="24">
        <v>79.56</v>
      </c>
      <c r="E732" s="4">
        <v>275609</v>
      </c>
      <c r="F732" s="2" t="s">
        <v>2</v>
      </c>
      <c r="G732" s="2" t="str">
        <f t="shared" si="67"/>
        <v>https://www.oreht.ru/modules.php?name=orehtPriceLS&amp;op=Search&amp;page=1&amp;stext=275609</v>
      </c>
      <c r="I732">
        <v>275609</v>
      </c>
      <c r="J732" t="s">
        <v>2</v>
      </c>
      <c r="K732" t="s">
        <v>2193</v>
      </c>
      <c r="L732" t="s">
        <v>2194</v>
      </c>
      <c r="M732" t="s">
        <v>2195</v>
      </c>
    </row>
    <row r="733" spans="1:13" x14ac:dyDescent="0.25">
      <c r="A733" s="24">
        <f t="shared" si="68"/>
        <v>20</v>
      </c>
      <c r="B733" s="24">
        <v>12</v>
      </c>
      <c r="C733" s="24">
        <v>71.2</v>
      </c>
      <c r="E733" s="4">
        <v>438262</v>
      </c>
      <c r="F733" s="2" t="s">
        <v>2</v>
      </c>
      <c r="G733" s="2" t="str">
        <f t="shared" si="67"/>
        <v>https://www.oreht.ru/modules.php?name=orehtPriceLS&amp;op=Search&amp;page=1&amp;stext=438262</v>
      </c>
      <c r="I733">
        <v>438262</v>
      </c>
      <c r="J733" t="s">
        <v>2</v>
      </c>
      <c r="K733" t="s">
        <v>2196</v>
      </c>
      <c r="L733" t="s">
        <v>2197</v>
      </c>
      <c r="M733" t="s">
        <v>649</v>
      </c>
    </row>
    <row r="734" spans="1:13" hidden="1" x14ac:dyDescent="0.25">
      <c r="A734" s="24">
        <f t="shared" si="68"/>
        <v>20</v>
      </c>
      <c r="B734" s="24">
        <v>12</v>
      </c>
      <c r="C734" s="24">
        <v>79.14</v>
      </c>
      <c r="E734" s="4">
        <v>347065</v>
      </c>
      <c r="F734" s="2" t="s">
        <v>2</v>
      </c>
      <c r="G734" s="2" t="str">
        <f t="shared" si="67"/>
        <v>https://www.oreht.ru/modules.php?name=orehtPriceLS&amp;op=Search&amp;page=1&amp;stext=347065</v>
      </c>
      <c r="I734">
        <v>347065</v>
      </c>
      <c r="J734" t="s">
        <v>2</v>
      </c>
      <c r="K734" t="s">
        <v>2198</v>
      </c>
      <c r="L734" t="s">
        <v>2199</v>
      </c>
      <c r="M734" t="s">
        <v>2200</v>
      </c>
    </row>
    <row r="735" spans="1:13" hidden="1" x14ac:dyDescent="0.25">
      <c r="A735" s="24">
        <f t="shared" si="68"/>
        <v>20</v>
      </c>
      <c r="B735" s="24">
        <v>12</v>
      </c>
      <c r="C735" s="24">
        <v>76.86</v>
      </c>
      <c r="E735" s="4">
        <v>370297</v>
      </c>
      <c r="F735" s="2" t="s">
        <v>2</v>
      </c>
      <c r="G735" s="2" t="str">
        <f t="shared" si="67"/>
        <v>https://www.oreht.ru/modules.php?name=orehtPriceLS&amp;op=Search&amp;page=1&amp;stext=370297</v>
      </c>
      <c r="I735">
        <v>370297</v>
      </c>
      <c r="J735" t="s">
        <v>2</v>
      </c>
      <c r="K735" t="s">
        <v>2201</v>
      </c>
      <c r="L735" t="s">
        <v>2202</v>
      </c>
      <c r="M735" t="s">
        <v>2203</v>
      </c>
    </row>
    <row r="736" spans="1:13" x14ac:dyDescent="0.25">
      <c r="A736" s="24">
        <f t="shared" si="68"/>
        <v>20</v>
      </c>
      <c r="B736" s="24">
        <v>12</v>
      </c>
      <c r="C736" s="24">
        <v>86.76</v>
      </c>
      <c r="E736" s="4">
        <v>432635</v>
      </c>
      <c r="F736" s="2" t="s">
        <v>2</v>
      </c>
      <c r="G736" s="2" t="str">
        <f t="shared" si="67"/>
        <v>https://www.oreht.ru/modules.php?name=orehtPriceLS&amp;op=Search&amp;page=1&amp;stext=432635</v>
      </c>
      <c r="I736">
        <v>432635</v>
      </c>
      <c r="J736" t="s">
        <v>2</v>
      </c>
      <c r="K736" t="s">
        <v>2204</v>
      </c>
      <c r="L736" t="s">
        <v>2205</v>
      </c>
      <c r="M736" t="s">
        <v>649</v>
      </c>
    </row>
    <row r="737" spans="1:13" x14ac:dyDescent="0.25">
      <c r="A737" s="24">
        <f t="shared" si="68"/>
        <v>20</v>
      </c>
      <c r="B737" s="24">
        <v>12</v>
      </c>
      <c r="C737" s="24">
        <v>64.7</v>
      </c>
      <c r="E737" s="4">
        <v>421456</v>
      </c>
      <c r="F737" s="2" t="s">
        <v>2</v>
      </c>
      <c r="G737" s="2" t="str">
        <f t="shared" si="67"/>
        <v>https://www.oreht.ru/modules.php?name=orehtPriceLS&amp;op=Search&amp;page=1&amp;stext=421456</v>
      </c>
      <c r="I737">
        <v>421456</v>
      </c>
      <c r="J737" t="s">
        <v>2</v>
      </c>
      <c r="K737" t="s">
        <v>2206</v>
      </c>
      <c r="L737" t="s">
        <v>2207</v>
      </c>
      <c r="M737" t="s">
        <v>649</v>
      </c>
    </row>
    <row r="738" spans="1:13" hidden="1" x14ac:dyDescent="0.25">
      <c r="A738" s="24">
        <f t="shared" si="68"/>
        <v>20</v>
      </c>
      <c r="B738" s="24">
        <v>12</v>
      </c>
      <c r="C738" s="24">
        <v>67.900000000000006</v>
      </c>
      <c r="E738" s="4">
        <v>421460</v>
      </c>
      <c r="F738" s="2" t="s">
        <v>2</v>
      </c>
      <c r="G738" s="2" t="str">
        <f t="shared" si="67"/>
        <v>https://www.oreht.ru/modules.php?name=orehtPriceLS&amp;op=Search&amp;page=1&amp;stext=421460</v>
      </c>
      <c r="I738">
        <v>421460</v>
      </c>
      <c r="J738" t="s">
        <v>2</v>
      </c>
      <c r="K738" t="s">
        <v>2208</v>
      </c>
      <c r="L738" t="s">
        <v>2209</v>
      </c>
      <c r="M738" t="s">
        <v>2210</v>
      </c>
    </row>
    <row r="739" spans="1:13" x14ac:dyDescent="0.25">
      <c r="A739" s="24">
        <f t="shared" si="68"/>
        <v>20</v>
      </c>
      <c r="B739" s="24">
        <v>12</v>
      </c>
      <c r="C739" s="24">
        <v>65.2</v>
      </c>
      <c r="E739" s="4">
        <v>397279</v>
      </c>
      <c r="F739" s="2" t="s">
        <v>2</v>
      </c>
      <c r="G739" s="2" t="str">
        <f t="shared" si="67"/>
        <v>https://www.oreht.ru/modules.php?name=orehtPriceLS&amp;op=Search&amp;page=1&amp;stext=397279</v>
      </c>
      <c r="I739">
        <v>397279</v>
      </c>
      <c r="J739" t="s">
        <v>2</v>
      </c>
      <c r="K739" t="s">
        <v>2211</v>
      </c>
      <c r="L739" t="s">
        <v>2212</v>
      </c>
      <c r="M739" t="s">
        <v>649</v>
      </c>
    </row>
    <row r="740" spans="1:13" x14ac:dyDescent="0.25">
      <c r="A740" s="24">
        <f t="shared" si="68"/>
        <v>20</v>
      </c>
      <c r="B740" s="24">
        <v>12</v>
      </c>
      <c r="C740" s="24">
        <v>71.849999999999994</v>
      </c>
      <c r="E740" s="4">
        <v>364685</v>
      </c>
      <c r="F740" s="2" t="s">
        <v>2</v>
      </c>
      <c r="G740" s="2" t="str">
        <f t="shared" si="67"/>
        <v>https://www.oreht.ru/modules.php?name=orehtPriceLS&amp;op=Search&amp;page=1&amp;stext=364685</v>
      </c>
      <c r="I740">
        <v>364685</v>
      </c>
      <c r="J740" t="s">
        <v>2</v>
      </c>
      <c r="K740" t="s">
        <v>2213</v>
      </c>
      <c r="L740" t="s">
        <v>2214</v>
      </c>
      <c r="M740" t="s">
        <v>649</v>
      </c>
    </row>
    <row r="741" spans="1:13" hidden="1" x14ac:dyDescent="0.25">
      <c r="A741" s="24">
        <f t="shared" si="68"/>
        <v>20</v>
      </c>
      <c r="B741" s="24">
        <v>12</v>
      </c>
      <c r="C741" s="24">
        <v>72.3</v>
      </c>
      <c r="E741" s="4">
        <v>112189</v>
      </c>
      <c r="F741" s="2" t="s">
        <v>2</v>
      </c>
      <c r="G741" s="2" t="str">
        <f t="shared" si="67"/>
        <v>https://www.oreht.ru/modules.php?name=orehtPriceLS&amp;op=Search&amp;page=1&amp;stext=112189</v>
      </c>
      <c r="I741">
        <v>112189</v>
      </c>
      <c r="J741" t="s">
        <v>2</v>
      </c>
      <c r="K741" t="s">
        <v>2215</v>
      </c>
      <c r="L741" t="s">
        <v>2216</v>
      </c>
      <c r="M741" t="s">
        <v>2217</v>
      </c>
    </row>
    <row r="742" spans="1:13" hidden="1" x14ac:dyDescent="0.25">
      <c r="A742" s="24">
        <f t="shared" si="68"/>
        <v>20</v>
      </c>
      <c r="B742" s="24">
        <v>12</v>
      </c>
      <c r="C742" s="24">
        <v>66.400000000000006</v>
      </c>
      <c r="E742" s="4">
        <v>418428</v>
      </c>
      <c r="F742" s="2" t="s">
        <v>2</v>
      </c>
      <c r="G742" s="2" t="str">
        <f t="shared" si="67"/>
        <v>https://www.oreht.ru/modules.php?name=orehtPriceLS&amp;op=Search&amp;page=1&amp;stext=418428</v>
      </c>
      <c r="I742">
        <v>418428</v>
      </c>
      <c r="J742" t="s">
        <v>2</v>
      </c>
      <c r="K742" t="s">
        <v>2218</v>
      </c>
      <c r="L742" t="s">
        <v>2219</v>
      </c>
      <c r="M742" t="s">
        <v>2220</v>
      </c>
    </row>
    <row r="743" spans="1:13" hidden="1" x14ac:dyDescent="0.25">
      <c r="A743" s="24">
        <f t="shared" si="68"/>
        <v>20</v>
      </c>
      <c r="B743" s="24">
        <v>12</v>
      </c>
      <c r="C743" s="24">
        <v>65.95</v>
      </c>
      <c r="E743" s="4">
        <v>223960</v>
      </c>
      <c r="F743" s="2" t="s">
        <v>2</v>
      </c>
      <c r="G743" s="2" t="str">
        <f t="shared" si="67"/>
        <v>https://www.oreht.ru/modules.php?name=orehtPriceLS&amp;op=Search&amp;page=1&amp;stext=223960</v>
      </c>
      <c r="I743">
        <v>223960</v>
      </c>
      <c r="J743" t="s">
        <v>2</v>
      </c>
      <c r="K743" t="s">
        <v>2221</v>
      </c>
      <c r="L743" t="s">
        <v>2222</v>
      </c>
      <c r="M743" t="s">
        <v>2223</v>
      </c>
    </row>
    <row r="744" spans="1:13" x14ac:dyDescent="0.25">
      <c r="A744" s="24">
        <f t="shared" si="68"/>
        <v>20</v>
      </c>
      <c r="B744" s="24">
        <v>12</v>
      </c>
      <c r="C744" s="24">
        <v>88.32</v>
      </c>
      <c r="E744" s="4">
        <v>242878</v>
      </c>
      <c r="F744" s="2" t="s">
        <v>2</v>
      </c>
      <c r="G744" s="2" t="str">
        <f t="shared" si="67"/>
        <v>https://www.oreht.ru/modules.php?name=orehtPriceLS&amp;op=Search&amp;page=1&amp;stext=242878</v>
      </c>
      <c r="I744">
        <v>242878</v>
      </c>
      <c r="J744" t="s">
        <v>2</v>
      </c>
      <c r="K744" t="s">
        <v>2224</v>
      </c>
      <c r="L744" t="s">
        <v>2225</v>
      </c>
      <c r="M744" t="s">
        <v>649</v>
      </c>
    </row>
    <row r="745" spans="1:13" x14ac:dyDescent="0.25">
      <c r="A745" s="24">
        <f t="shared" si="68"/>
        <v>20</v>
      </c>
      <c r="B745" s="24">
        <v>12</v>
      </c>
      <c r="C745" s="24">
        <v>88.32</v>
      </c>
      <c r="E745" s="4">
        <v>418291</v>
      </c>
      <c r="F745" s="2" t="s">
        <v>2</v>
      </c>
      <c r="G745" s="2" t="str">
        <f t="shared" si="67"/>
        <v>https://www.oreht.ru/modules.php?name=orehtPriceLS&amp;op=Search&amp;page=1&amp;stext=418291</v>
      </c>
      <c r="I745">
        <v>418291</v>
      </c>
      <c r="J745" t="s">
        <v>2</v>
      </c>
      <c r="K745" t="s">
        <v>2226</v>
      </c>
      <c r="L745" t="s">
        <v>2227</v>
      </c>
      <c r="M745" t="s">
        <v>649</v>
      </c>
    </row>
    <row r="746" spans="1:13" hidden="1" x14ac:dyDescent="0.25">
      <c r="A746" s="24">
        <f t="shared" si="68"/>
        <v>20</v>
      </c>
      <c r="B746" s="24">
        <v>12</v>
      </c>
      <c r="C746" s="24">
        <v>80.64</v>
      </c>
      <c r="E746" s="4">
        <v>353040</v>
      </c>
      <c r="F746" s="2" t="s">
        <v>2</v>
      </c>
      <c r="G746" s="2" t="str">
        <f t="shared" si="67"/>
        <v>https://www.oreht.ru/modules.php?name=orehtPriceLS&amp;op=Search&amp;page=1&amp;stext=353040</v>
      </c>
      <c r="I746">
        <v>353040</v>
      </c>
      <c r="J746" t="s">
        <v>2</v>
      </c>
      <c r="K746" t="s">
        <v>2228</v>
      </c>
      <c r="L746" t="s">
        <v>2229</v>
      </c>
      <c r="M746" t="s">
        <v>2230</v>
      </c>
    </row>
    <row r="747" spans="1:13" x14ac:dyDescent="0.25">
      <c r="A747" s="24">
        <f t="shared" si="68"/>
        <v>20</v>
      </c>
      <c r="B747" s="24">
        <v>12</v>
      </c>
      <c r="C747" s="24">
        <v>66.150000000000006</v>
      </c>
      <c r="E747" s="4">
        <v>437899</v>
      </c>
      <c r="F747" s="2" t="s">
        <v>2</v>
      </c>
      <c r="G747" s="2" t="str">
        <f t="shared" si="67"/>
        <v>https://www.oreht.ru/modules.php?name=orehtPriceLS&amp;op=Search&amp;page=1&amp;stext=437899</v>
      </c>
      <c r="I747">
        <v>437899</v>
      </c>
      <c r="J747" t="s">
        <v>2</v>
      </c>
      <c r="K747" t="s">
        <v>2231</v>
      </c>
      <c r="L747" t="s">
        <v>2232</v>
      </c>
      <c r="M747" t="s">
        <v>649</v>
      </c>
    </row>
    <row r="748" spans="1:13" hidden="1" x14ac:dyDescent="0.25">
      <c r="A748" s="24">
        <f t="shared" si="68"/>
        <v>20</v>
      </c>
      <c r="B748" s="24">
        <v>12</v>
      </c>
      <c r="C748" s="24">
        <v>66.3</v>
      </c>
      <c r="E748" s="4">
        <v>359598</v>
      </c>
      <c r="F748" s="2" t="s">
        <v>2</v>
      </c>
      <c r="G748" s="2" t="str">
        <f t="shared" si="67"/>
        <v>https://www.oreht.ru/modules.php?name=orehtPriceLS&amp;op=Search&amp;page=1&amp;stext=359598</v>
      </c>
      <c r="I748">
        <v>359598</v>
      </c>
      <c r="J748" t="s">
        <v>2</v>
      </c>
      <c r="K748" t="s">
        <v>2233</v>
      </c>
      <c r="L748" t="s">
        <v>2234</v>
      </c>
      <c r="M748" t="s">
        <v>2235</v>
      </c>
    </row>
    <row r="749" spans="1:13" hidden="1" x14ac:dyDescent="0.25">
      <c r="A749" s="24">
        <f t="shared" si="68"/>
        <v>20</v>
      </c>
      <c r="B749" s="24">
        <v>12</v>
      </c>
      <c r="C749" s="24">
        <v>53.75</v>
      </c>
      <c r="E749" s="4">
        <v>430551</v>
      </c>
      <c r="F749" s="2" t="s">
        <v>2</v>
      </c>
      <c r="G749" s="2" t="str">
        <f t="shared" si="67"/>
        <v>https://www.oreht.ru/modules.php?name=orehtPriceLS&amp;op=Search&amp;page=1&amp;stext=430551</v>
      </c>
      <c r="I749">
        <v>430551</v>
      </c>
      <c r="J749" t="s">
        <v>2</v>
      </c>
      <c r="K749" t="s">
        <v>2236</v>
      </c>
      <c r="L749" t="s">
        <v>2237</v>
      </c>
      <c r="M749" t="s">
        <v>2238</v>
      </c>
    </row>
    <row r="750" spans="1:13" hidden="1" x14ac:dyDescent="0.25">
      <c r="A750" s="24">
        <f t="shared" si="68"/>
        <v>20</v>
      </c>
      <c r="B750" s="24">
        <v>12</v>
      </c>
      <c r="C750" s="24">
        <v>81.48</v>
      </c>
      <c r="E750" s="4">
        <v>432639</v>
      </c>
      <c r="F750" s="2" t="s">
        <v>2</v>
      </c>
      <c r="G750" s="2" t="str">
        <f t="shared" si="67"/>
        <v>https://www.oreht.ru/modules.php?name=orehtPriceLS&amp;op=Search&amp;page=1&amp;stext=432639</v>
      </c>
      <c r="I750">
        <v>432639</v>
      </c>
      <c r="J750" t="s">
        <v>2</v>
      </c>
      <c r="K750" t="s">
        <v>2239</v>
      </c>
      <c r="L750" t="s">
        <v>2240</v>
      </c>
      <c r="M750" t="s">
        <v>2241</v>
      </c>
    </row>
    <row r="751" spans="1:13" hidden="1" x14ac:dyDescent="0.25">
      <c r="A751" s="24">
        <f t="shared" si="68"/>
        <v>20</v>
      </c>
      <c r="B751" s="24">
        <v>12</v>
      </c>
      <c r="C751" s="24">
        <v>85.14</v>
      </c>
      <c r="E751" s="4">
        <v>428842</v>
      </c>
      <c r="F751" s="2" t="s">
        <v>2</v>
      </c>
      <c r="G751" s="2" t="str">
        <f t="shared" si="67"/>
        <v>https://www.oreht.ru/modules.php?name=orehtPriceLS&amp;op=Search&amp;page=1&amp;stext=428842</v>
      </c>
      <c r="I751">
        <v>428842</v>
      </c>
      <c r="J751" t="s">
        <v>2</v>
      </c>
      <c r="K751" t="s">
        <v>2242</v>
      </c>
      <c r="L751" t="s">
        <v>2243</v>
      </c>
      <c r="M751" t="s">
        <v>2244</v>
      </c>
    </row>
    <row r="752" spans="1:13" hidden="1" x14ac:dyDescent="0.25">
      <c r="A752" s="24">
        <f t="shared" si="68"/>
        <v>20</v>
      </c>
      <c r="B752" s="24">
        <v>10</v>
      </c>
      <c r="C752" s="24">
        <v>79</v>
      </c>
      <c r="E752" s="4">
        <v>245409</v>
      </c>
      <c r="F752" s="2" t="s">
        <v>2</v>
      </c>
      <c r="G752" s="2" t="str">
        <f t="shared" si="67"/>
        <v>https://www.oreht.ru/modules.php?name=orehtPriceLS&amp;op=Search&amp;page=1&amp;stext=245409</v>
      </c>
      <c r="I752">
        <v>245409</v>
      </c>
      <c r="J752" t="s">
        <v>2</v>
      </c>
      <c r="K752" t="s">
        <v>2245</v>
      </c>
      <c r="L752" t="s">
        <v>2246</v>
      </c>
      <c r="M752" t="s">
        <v>2247</v>
      </c>
    </row>
    <row r="753" spans="1:13" x14ac:dyDescent="0.25">
      <c r="A753" s="24">
        <f t="shared" si="68"/>
        <v>20</v>
      </c>
      <c r="B753" s="24">
        <v>12</v>
      </c>
      <c r="C753" s="24">
        <v>100</v>
      </c>
      <c r="E753" s="4">
        <v>346218</v>
      </c>
      <c r="F753" s="2" t="s">
        <v>2</v>
      </c>
      <c r="G753" s="2" t="str">
        <f t="shared" si="67"/>
        <v>https://www.oreht.ru/modules.php?name=orehtPriceLS&amp;op=Search&amp;page=1&amp;stext=346218</v>
      </c>
      <c r="I753">
        <v>346218</v>
      </c>
      <c r="J753" t="s">
        <v>2</v>
      </c>
      <c r="K753" t="s">
        <v>2248</v>
      </c>
      <c r="L753" t="s">
        <v>2249</v>
      </c>
      <c r="M753" t="s">
        <v>649</v>
      </c>
    </row>
    <row r="754" spans="1:13" hidden="1" x14ac:dyDescent="0.25">
      <c r="A754" s="24">
        <f t="shared" si="68"/>
        <v>20</v>
      </c>
      <c r="B754" s="24">
        <v>12</v>
      </c>
      <c r="C754" s="24">
        <v>69.8</v>
      </c>
      <c r="E754" s="4">
        <v>212108</v>
      </c>
      <c r="F754" s="2" t="s">
        <v>2</v>
      </c>
      <c r="G754" s="2" t="str">
        <f t="shared" si="67"/>
        <v>https://www.oreht.ru/modules.php?name=orehtPriceLS&amp;op=Search&amp;page=1&amp;stext=212108</v>
      </c>
      <c r="I754">
        <v>212108</v>
      </c>
      <c r="J754" t="s">
        <v>2</v>
      </c>
      <c r="K754" t="s">
        <v>2250</v>
      </c>
      <c r="L754" t="s">
        <v>2251</v>
      </c>
      <c r="M754" t="s">
        <v>2252</v>
      </c>
    </row>
    <row r="755" spans="1:13" hidden="1" x14ac:dyDescent="0.25">
      <c r="A755" s="24">
        <f t="shared" si="68"/>
        <v>20</v>
      </c>
      <c r="B755" s="24">
        <v>10</v>
      </c>
      <c r="C755" s="24">
        <v>85.5</v>
      </c>
      <c r="E755" s="4">
        <v>104935</v>
      </c>
      <c r="F755" s="2" t="s">
        <v>2</v>
      </c>
      <c r="G755" s="2" t="str">
        <f t="shared" si="67"/>
        <v>https://www.oreht.ru/modules.php?name=orehtPriceLS&amp;op=Search&amp;page=1&amp;stext=104935</v>
      </c>
      <c r="I755">
        <v>104935</v>
      </c>
      <c r="J755" t="s">
        <v>2</v>
      </c>
      <c r="K755" t="s">
        <v>2253</v>
      </c>
      <c r="L755" t="s">
        <v>2254</v>
      </c>
      <c r="M755" t="s">
        <v>2255</v>
      </c>
    </row>
    <row r="756" spans="1:13" x14ac:dyDescent="0.25">
      <c r="A756" s="24">
        <f t="shared" si="68"/>
        <v>20</v>
      </c>
      <c r="B756" s="24">
        <v>12</v>
      </c>
      <c r="C756" s="24">
        <v>69.95</v>
      </c>
      <c r="E756" s="4">
        <v>351766</v>
      </c>
      <c r="F756" s="2" t="s">
        <v>2</v>
      </c>
      <c r="G756" s="2" t="str">
        <f t="shared" si="67"/>
        <v>https://www.oreht.ru/modules.php?name=orehtPriceLS&amp;op=Search&amp;page=1&amp;stext=351766</v>
      </c>
      <c r="I756">
        <v>351766</v>
      </c>
      <c r="J756" t="s">
        <v>2</v>
      </c>
      <c r="K756" t="s">
        <v>2256</v>
      </c>
      <c r="L756" t="s">
        <v>2257</v>
      </c>
      <c r="M756" t="s">
        <v>649</v>
      </c>
    </row>
    <row r="757" spans="1:13" hidden="1" x14ac:dyDescent="0.25">
      <c r="A757" s="24">
        <f t="shared" si="68"/>
        <v>20</v>
      </c>
      <c r="B757" s="24">
        <v>12</v>
      </c>
      <c r="C757" s="24">
        <v>80.459999999999994</v>
      </c>
      <c r="E757" s="4">
        <v>163686</v>
      </c>
      <c r="F757" s="2" t="s">
        <v>2</v>
      </c>
      <c r="G757" s="2" t="str">
        <f t="shared" si="67"/>
        <v>https://www.oreht.ru/modules.php?name=orehtPriceLS&amp;op=Search&amp;page=1&amp;stext=163686</v>
      </c>
      <c r="I757">
        <v>163686</v>
      </c>
      <c r="J757" t="s">
        <v>2</v>
      </c>
      <c r="K757" t="s">
        <v>2258</v>
      </c>
      <c r="L757" t="s">
        <v>2259</v>
      </c>
      <c r="M757" t="s">
        <v>2223</v>
      </c>
    </row>
    <row r="758" spans="1:13" x14ac:dyDescent="0.25">
      <c r="A758" s="24">
        <f t="shared" si="68"/>
        <v>20</v>
      </c>
      <c r="B758" s="24">
        <v>12</v>
      </c>
      <c r="C758" s="24">
        <v>85.08</v>
      </c>
      <c r="E758" s="4">
        <v>354311</v>
      </c>
      <c r="F758" s="2" t="s">
        <v>2</v>
      </c>
      <c r="G758" s="2" t="str">
        <f t="shared" si="67"/>
        <v>https://www.oreht.ru/modules.php?name=orehtPriceLS&amp;op=Search&amp;page=1&amp;stext=354311</v>
      </c>
      <c r="I758">
        <v>354311</v>
      </c>
      <c r="J758" t="s">
        <v>2</v>
      </c>
      <c r="K758" t="s">
        <v>2260</v>
      </c>
      <c r="L758" t="s">
        <v>2261</v>
      </c>
      <c r="M758" t="s">
        <v>649</v>
      </c>
    </row>
    <row r="759" spans="1:13" hidden="1" x14ac:dyDescent="0.25">
      <c r="A759" s="24">
        <f t="shared" si="68"/>
        <v>20</v>
      </c>
      <c r="B759" s="24">
        <v>10</v>
      </c>
      <c r="C759" s="24">
        <v>160</v>
      </c>
      <c r="E759" s="4">
        <v>286062</v>
      </c>
      <c r="F759" s="2" t="s">
        <v>2</v>
      </c>
      <c r="G759" s="2" t="str">
        <f t="shared" si="67"/>
        <v>https://www.oreht.ru/modules.php?name=orehtPriceLS&amp;op=Search&amp;page=1&amp;stext=286062</v>
      </c>
      <c r="I759">
        <v>286062</v>
      </c>
      <c r="J759" t="s">
        <v>2</v>
      </c>
      <c r="K759" t="s">
        <v>2262</v>
      </c>
      <c r="L759" t="s">
        <v>2263</v>
      </c>
      <c r="M759" t="s">
        <v>2264</v>
      </c>
    </row>
    <row r="760" spans="1:13" hidden="1" x14ac:dyDescent="0.25">
      <c r="A760" s="24">
        <f t="shared" si="68"/>
        <v>20</v>
      </c>
      <c r="B760" s="24">
        <v>12</v>
      </c>
      <c r="C760" s="24">
        <v>68</v>
      </c>
      <c r="E760" s="4">
        <v>280372</v>
      </c>
      <c r="F760" s="2" t="s">
        <v>2</v>
      </c>
      <c r="G760" s="2" t="str">
        <f t="shared" si="67"/>
        <v>https://www.oreht.ru/modules.php?name=orehtPriceLS&amp;op=Search&amp;page=1&amp;stext=280372</v>
      </c>
      <c r="I760">
        <v>280372</v>
      </c>
      <c r="J760" t="s">
        <v>2</v>
      </c>
      <c r="K760" t="s">
        <v>2265</v>
      </c>
      <c r="L760" t="s">
        <v>2266</v>
      </c>
      <c r="M760" t="s">
        <v>2267</v>
      </c>
    </row>
    <row r="761" spans="1:13" x14ac:dyDescent="0.25">
      <c r="A761" s="24">
        <f t="shared" si="68"/>
        <v>20</v>
      </c>
      <c r="B761" s="24">
        <v>12</v>
      </c>
      <c r="C761" s="24">
        <v>90.24</v>
      </c>
      <c r="E761" s="4">
        <v>119339</v>
      </c>
      <c r="F761" s="2" t="s">
        <v>2</v>
      </c>
      <c r="G761" s="2" t="str">
        <f t="shared" si="67"/>
        <v>https://www.oreht.ru/modules.php?name=orehtPriceLS&amp;op=Search&amp;page=1&amp;stext=119339</v>
      </c>
      <c r="I761">
        <v>119339</v>
      </c>
      <c r="J761" t="s">
        <v>2</v>
      </c>
      <c r="K761" t="s">
        <v>2268</v>
      </c>
      <c r="L761" t="s">
        <v>2269</v>
      </c>
      <c r="M761" t="s">
        <v>649</v>
      </c>
    </row>
    <row r="762" spans="1:13" hidden="1" x14ac:dyDescent="0.25">
      <c r="A762" s="24">
        <f t="shared" si="68"/>
        <v>20</v>
      </c>
      <c r="B762" s="24">
        <v>12</v>
      </c>
      <c r="C762" s="24">
        <v>73.56</v>
      </c>
      <c r="E762" s="4">
        <v>432641</v>
      </c>
      <c r="F762" s="2" t="s">
        <v>2</v>
      </c>
      <c r="G762" s="2" t="str">
        <f t="shared" si="67"/>
        <v>https://www.oreht.ru/modules.php?name=orehtPriceLS&amp;op=Search&amp;page=1&amp;stext=432641</v>
      </c>
      <c r="I762">
        <v>432641</v>
      </c>
      <c r="J762" t="s">
        <v>2</v>
      </c>
      <c r="K762" t="s">
        <v>2270</v>
      </c>
      <c r="L762" t="s">
        <v>2271</v>
      </c>
      <c r="M762" t="s">
        <v>2272</v>
      </c>
    </row>
    <row r="763" spans="1:13" hidden="1" x14ac:dyDescent="0.25">
      <c r="A763" s="24">
        <f t="shared" si="68"/>
        <v>20</v>
      </c>
      <c r="B763" s="24">
        <v>12</v>
      </c>
      <c r="C763" s="24">
        <v>100</v>
      </c>
      <c r="E763" s="4">
        <v>445080</v>
      </c>
      <c r="F763" s="2" t="s">
        <v>2</v>
      </c>
      <c r="G763" s="2" t="str">
        <f t="shared" si="67"/>
        <v>https://www.oreht.ru/modules.php?name=orehtPriceLS&amp;op=Search&amp;page=1&amp;stext=445080</v>
      </c>
      <c r="I763">
        <v>445080</v>
      </c>
      <c r="J763" t="s">
        <v>2</v>
      </c>
      <c r="K763" t="s">
        <v>2273</v>
      </c>
      <c r="L763" t="s">
        <v>2274</v>
      </c>
      <c r="M763" t="s">
        <v>2275</v>
      </c>
    </row>
    <row r="764" spans="1:13" hidden="1" x14ac:dyDescent="0.25">
      <c r="A764" s="24">
        <f t="shared" si="68"/>
        <v>20</v>
      </c>
      <c r="B764" s="24">
        <v>12</v>
      </c>
      <c r="C764" s="24">
        <v>75.36</v>
      </c>
      <c r="E764" s="4">
        <v>432642</v>
      </c>
      <c r="F764" s="2" t="s">
        <v>2</v>
      </c>
      <c r="G764" s="2" t="str">
        <f t="shared" si="67"/>
        <v>https://www.oreht.ru/modules.php?name=orehtPriceLS&amp;op=Search&amp;page=1&amp;stext=432642</v>
      </c>
      <c r="I764">
        <v>432642</v>
      </c>
      <c r="J764" t="s">
        <v>2</v>
      </c>
      <c r="K764" t="s">
        <v>2276</v>
      </c>
      <c r="L764" t="s">
        <v>2277</v>
      </c>
      <c r="M764" t="s">
        <v>2278</v>
      </c>
    </row>
    <row r="765" spans="1:13" x14ac:dyDescent="0.25">
      <c r="A765" s="24">
        <f t="shared" si="68"/>
        <v>20</v>
      </c>
      <c r="B765" s="24">
        <v>11</v>
      </c>
      <c r="C765" s="24">
        <v>70.8</v>
      </c>
      <c r="E765" s="4">
        <v>388575</v>
      </c>
      <c r="F765" s="2" t="s">
        <v>2</v>
      </c>
      <c r="G765" s="2" t="str">
        <f t="shared" si="67"/>
        <v>https://www.oreht.ru/modules.php?name=orehtPriceLS&amp;op=Search&amp;page=1&amp;stext=388575</v>
      </c>
      <c r="I765">
        <v>388575</v>
      </c>
      <c r="J765" t="s">
        <v>2</v>
      </c>
      <c r="K765" t="s">
        <v>2279</v>
      </c>
      <c r="L765" t="s">
        <v>2280</v>
      </c>
      <c r="M765" t="s">
        <v>649</v>
      </c>
    </row>
    <row r="766" spans="1:13" x14ac:dyDescent="0.25">
      <c r="A766" s="24">
        <f t="shared" si="68"/>
        <v>20</v>
      </c>
      <c r="B766" s="24">
        <v>12</v>
      </c>
      <c r="C766" s="24">
        <v>90.36</v>
      </c>
      <c r="E766" s="4">
        <v>423233</v>
      </c>
      <c r="F766" s="2" t="s">
        <v>2</v>
      </c>
      <c r="G766" s="2" t="str">
        <f t="shared" si="67"/>
        <v>https://www.oreht.ru/modules.php?name=orehtPriceLS&amp;op=Search&amp;page=1&amp;stext=423233</v>
      </c>
      <c r="I766">
        <v>423233</v>
      </c>
      <c r="J766" t="s">
        <v>2</v>
      </c>
      <c r="K766" t="s">
        <v>2281</v>
      </c>
      <c r="L766" t="s">
        <v>2282</v>
      </c>
      <c r="M766" t="s">
        <v>649</v>
      </c>
    </row>
    <row r="767" spans="1:13" x14ac:dyDescent="0.25">
      <c r="A767" s="24">
        <f t="shared" si="68"/>
        <v>20</v>
      </c>
      <c r="B767" s="24">
        <v>12</v>
      </c>
      <c r="C767" s="24">
        <v>90.36</v>
      </c>
      <c r="E767" s="4">
        <v>169276</v>
      </c>
      <c r="F767" s="2" t="s">
        <v>2</v>
      </c>
      <c r="G767" s="2" t="str">
        <f t="shared" si="67"/>
        <v>https://www.oreht.ru/modules.php?name=orehtPriceLS&amp;op=Search&amp;page=1&amp;stext=169276</v>
      </c>
      <c r="I767">
        <v>169276</v>
      </c>
      <c r="J767" t="s">
        <v>2</v>
      </c>
      <c r="K767" t="s">
        <v>2283</v>
      </c>
      <c r="L767" t="s">
        <v>2284</v>
      </c>
      <c r="M767" t="s">
        <v>649</v>
      </c>
    </row>
    <row r="768" spans="1:13" hidden="1" x14ac:dyDescent="0.25">
      <c r="A768" s="24">
        <f t="shared" si="68"/>
        <v>20</v>
      </c>
      <c r="B768" s="24">
        <v>12</v>
      </c>
      <c r="C768" s="24">
        <v>82.8</v>
      </c>
      <c r="E768" s="4">
        <v>426380</v>
      </c>
      <c r="F768" s="2" t="s">
        <v>2</v>
      </c>
      <c r="G768" s="2" t="str">
        <f t="shared" si="67"/>
        <v>https://www.oreht.ru/modules.php?name=orehtPriceLS&amp;op=Search&amp;page=1&amp;stext=426380</v>
      </c>
      <c r="I768">
        <v>426380</v>
      </c>
      <c r="J768" t="s">
        <v>2</v>
      </c>
      <c r="K768" t="s">
        <v>2285</v>
      </c>
      <c r="L768" t="s">
        <v>2286</v>
      </c>
      <c r="M768" t="s">
        <v>2287</v>
      </c>
    </row>
    <row r="769" spans="1:13" hidden="1" x14ac:dyDescent="0.25">
      <c r="A769" s="24">
        <f t="shared" si="68"/>
        <v>20</v>
      </c>
      <c r="B769" s="24">
        <v>12</v>
      </c>
      <c r="C769" s="24">
        <v>72.05</v>
      </c>
      <c r="E769" s="4">
        <v>393343</v>
      </c>
      <c r="F769" s="2" t="s">
        <v>2</v>
      </c>
      <c r="G769" s="2" t="str">
        <f t="shared" si="67"/>
        <v>https://www.oreht.ru/modules.php?name=orehtPriceLS&amp;op=Search&amp;page=1&amp;stext=393343</v>
      </c>
      <c r="I769">
        <v>393343</v>
      </c>
      <c r="J769" t="s">
        <v>2</v>
      </c>
      <c r="K769" t="s">
        <v>2288</v>
      </c>
      <c r="L769" t="s">
        <v>2289</v>
      </c>
      <c r="M769" t="s">
        <v>2290</v>
      </c>
    </row>
    <row r="770" spans="1:13" x14ac:dyDescent="0.25">
      <c r="A770" s="24">
        <f t="shared" si="68"/>
        <v>20</v>
      </c>
      <c r="B770" s="24">
        <v>12</v>
      </c>
      <c r="C770" s="24">
        <v>79</v>
      </c>
      <c r="E770" s="4">
        <v>421133</v>
      </c>
      <c r="F770" s="2" t="s">
        <v>2</v>
      </c>
      <c r="G770" s="2" t="str">
        <f t="shared" ref="G770:G833" si="69">HYPERLINK(F770&amp;E770)</f>
        <v>https://www.oreht.ru/modules.php?name=orehtPriceLS&amp;op=Search&amp;page=1&amp;stext=421133</v>
      </c>
      <c r="I770">
        <v>421133</v>
      </c>
      <c r="J770" t="s">
        <v>2</v>
      </c>
      <c r="K770" t="s">
        <v>2291</v>
      </c>
      <c r="L770" t="s">
        <v>2292</v>
      </c>
      <c r="M770" t="s">
        <v>649</v>
      </c>
    </row>
    <row r="771" spans="1:13" hidden="1" x14ac:dyDescent="0.25">
      <c r="A771" s="24">
        <f t="shared" si="68"/>
        <v>20</v>
      </c>
      <c r="B771" s="24">
        <v>12</v>
      </c>
      <c r="C771" s="24">
        <v>82.74</v>
      </c>
      <c r="E771" s="4">
        <v>384448</v>
      </c>
      <c r="F771" s="2" t="s">
        <v>2</v>
      </c>
      <c r="G771" s="2" t="str">
        <f t="shared" si="69"/>
        <v>https://www.oreht.ru/modules.php?name=orehtPriceLS&amp;op=Search&amp;page=1&amp;stext=384448</v>
      </c>
      <c r="I771">
        <v>384448</v>
      </c>
      <c r="J771" t="s">
        <v>2</v>
      </c>
      <c r="K771" t="s">
        <v>2293</v>
      </c>
      <c r="L771" t="s">
        <v>2294</v>
      </c>
      <c r="M771" t="s">
        <v>2295</v>
      </c>
    </row>
    <row r="772" spans="1:13" x14ac:dyDescent="0.25">
      <c r="A772" s="24">
        <f t="shared" si="68"/>
        <v>20</v>
      </c>
      <c r="B772" s="24">
        <v>12</v>
      </c>
      <c r="C772" s="24">
        <v>91.02</v>
      </c>
      <c r="E772" s="4">
        <v>347015</v>
      </c>
      <c r="F772" s="2" t="s">
        <v>2</v>
      </c>
      <c r="G772" s="2" t="str">
        <f t="shared" si="69"/>
        <v>https://www.oreht.ru/modules.php?name=orehtPriceLS&amp;op=Search&amp;page=1&amp;stext=347015</v>
      </c>
      <c r="I772">
        <v>347015</v>
      </c>
      <c r="J772" t="s">
        <v>2</v>
      </c>
      <c r="K772" t="s">
        <v>2296</v>
      </c>
      <c r="L772" t="s">
        <v>2297</v>
      </c>
      <c r="M772" t="s">
        <v>649</v>
      </c>
    </row>
    <row r="773" spans="1:13" hidden="1" x14ac:dyDescent="0.25">
      <c r="A773" s="24">
        <f t="shared" ref="A773:A836" si="70">IF(W773*0.05&gt;=250,250,IF(W773*0.05&gt;=20,IF(W773*0.05&lt;20,20,W773*0.05),20))</f>
        <v>20</v>
      </c>
      <c r="B773" s="24">
        <v>12</v>
      </c>
      <c r="C773" s="24">
        <v>57.3</v>
      </c>
      <c r="E773" s="4">
        <v>415326</v>
      </c>
      <c r="F773" s="2" t="s">
        <v>2</v>
      </c>
      <c r="G773" s="2" t="str">
        <f t="shared" si="69"/>
        <v>https://www.oreht.ru/modules.php?name=orehtPriceLS&amp;op=Search&amp;page=1&amp;stext=415326</v>
      </c>
      <c r="I773">
        <v>415326</v>
      </c>
      <c r="J773" t="s">
        <v>2</v>
      </c>
      <c r="K773" t="s">
        <v>2298</v>
      </c>
      <c r="L773" t="s">
        <v>2299</v>
      </c>
      <c r="M773" t="s">
        <v>2300</v>
      </c>
    </row>
    <row r="774" spans="1:13" hidden="1" x14ac:dyDescent="0.25">
      <c r="A774" s="24">
        <f t="shared" si="70"/>
        <v>20</v>
      </c>
      <c r="B774" s="24">
        <v>12</v>
      </c>
      <c r="C774" s="24">
        <v>62.1</v>
      </c>
      <c r="E774" s="4">
        <v>381613</v>
      </c>
      <c r="F774" s="2" t="s">
        <v>2</v>
      </c>
      <c r="G774" s="2" t="str">
        <f t="shared" si="69"/>
        <v>https://www.oreht.ru/modules.php?name=orehtPriceLS&amp;op=Search&amp;page=1&amp;stext=381613</v>
      </c>
      <c r="I774">
        <v>381613</v>
      </c>
      <c r="J774" t="s">
        <v>2</v>
      </c>
      <c r="K774" t="s">
        <v>2301</v>
      </c>
      <c r="L774" t="s">
        <v>2302</v>
      </c>
      <c r="M774" t="s">
        <v>2303</v>
      </c>
    </row>
    <row r="775" spans="1:13" hidden="1" x14ac:dyDescent="0.25">
      <c r="A775" s="24">
        <f t="shared" si="70"/>
        <v>20</v>
      </c>
      <c r="B775" s="24">
        <v>12</v>
      </c>
      <c r="C775" s="24">
        <v>94.62</v>
      </c>
      <c r="E775" s="4">
        <v>421130</v>
      </c>
      <c r="F775" s="2" t="s">
        <v>2</v>
      </c>
      <c r="G775" s="2" t="str">
        <f t="shared" si="69"/>
        <v>https://www.oreht.ru/modules.php?name=orehtPriceLS&amp;op=Search&amp;page=1&amp;stext=421130</v>
      </c>
      <c r="I775">
        <v>421130</v>
      </c>
      <c r="J775" t="s">
        <v>2</v>
      </c>
      <c r="K775" t="s">
        <v>2304</v>
      </c>
      <c r="L775" t="s">
        <v>2305</v>
      </c>
      <c r="M775" t="s">
        <v>2306</v>
      </c>
    </row>
    <row r="776" spans="1:13" hidden="1" x14ac:dyDescent="0.25">
      <c r="A776" s="24">
        <f t="shared" si="70"/>
        <v>20</v>
      </c>
      <c r="B776" s="24">
        <v>12</v>
      </c>
      <c r="C776" s="24">
        <v>84.18</v>
      </c>
      <c r="E776" s="4">
        <v>384309</v>
      </c>
      <c r="F776" s="2" t="s">
        <v>2</v>
      </c>
      <c r="G776" s="2" t="str">
        <f t="shared" si="69"/>
        <v>https://www.oreht.ru/modules.php?name=orehtPriceLS&amp;op=Search&amp;page=1&amp;stext=384309</v>
      </c>
      <c r="I776">
        <v>384309</v>
      </c>
      <c r="J776" t="s">
        <v>2</v>
      </c>
      <c r="K776" t="s">
        <v>2307</v>
      </c>
      <c r="L776" t="s">
        <v>2308</v>
      </c>
      <c r="M776" t="s">
        <v>2309</v>
      </c>
    </row>
    <row r="777" spans="1:13" hidden="1" x14ac:dyDescent="0.25">
      <c r="A777" s="24">
        <f t="shared" si="70"/>
        <v>20</v>
      </c>
      <c r="B777" s="24">
        <v>12</v>
      </c>
      <c r="C777" s="24">
        <v>83.76</v>
      </c>
      <c r="E777" s="4">
        <v>273580</v>
      </c>
      <c r="F777" s="2" t="s">
        <v>2</v>
      </c>
      <c r="G777" s="2" t="str">
        <f t="shared" si="69"/>
        <v>https://www.oreht.ru/modules.php?name=orehtPriceLS&amp;op=Search&amp;page=1&amp;stext=273580</v>
      </c>
      <c r="I777">
        <v>273580</v>
      </c>
      <c r="J777" t="s">
        <v>2</v>
      </c>
      <c r="K777" t="s">
        <v>2310</v>
      </c>
      <c r="L777" t="s">
        <v>2311</v>
      </c>
      <c r="M777" t="s">
        <v>2312</v>
      </c>
    </row>
    <row r="778" spans="1:13" x14ac:dyDescent="0.25">
      <c r="A778" s="24">
        <f t="shared" si="70"/>
        <v>20</v>
      </c>
      <c r="B778" s="24">
        <v>12</v>
      </c>
      <c r="C778" s="24">
        <v>75.349999999999994</v>
      </c>
      <c r="E778" s="4">
        <v>397250</v>
      </c>
      <c r="F778" s="2" t="s">
        <v>2</v>
      </c>
      <c r="G778" s="2" t="str">
        <f t="shared" si="69"/>
        <v>https://www.oreht.ru/modules.php?name=orehtPriceLS&amp;op=Search&amp;page=1&amp;stext=397250</v>
      </c>
      <c r="I778">
        <v>397250</v>
      </c>
      <c r="J778" t="s">
        <v>2</v>
      </c>
      <c r="K778" t="s">
        <v>2313</v>
      </c>
      <c r="L778" t="s">
        <v>2314</v>
      </c>
      <c r="M778" t="s">
        <v>649</v>
      </c>
    </row>
    <row r="779" spans="1:13" x14ac:dyDescent="0.25">
      <c r="A779" s="24">
        <f t="shared" si="70"/>
        <v>20</v>
      </c>
      <c r="B779" s="24">
        <v>12</v>
      </c>
      <c r="C779" s="24">
        <v>68.55</v>
      </c>
      <c r="E779" s="4">
        <v>397251</v>
      </c>
      <c r="F779" s="2" t="s">
        <v>2</v>
      </c>
      <c r="G779" s="2" t="str">
        <f t="shared" si="69"/>
        <v>https://www.oreht.ru/modules.php?name=orehtPriceLS&amp;op=Search&amp;page=1&amp;stext=397251</v>
      </c>
      <c r="I779">
        <v>397251</v>
      </c>
      <c r="J779" t="s">
        <v>2</v>
      </c>
      <c r="K779" t="s">
        <v>2315</v>
      </c>
      <c r="L779" t="s">
        <v>2316</v>
      </c>
      <c r="M779" t="s">
        <v>649</v>
      </c>
    </row>
    <row r="780" spans="1:13" x14ac:dyDescent="0.25">
      <c r="A780" s="24">
        <f t="shared" si="70"/>
        <v>20</v>
      </c>
      <c r="B780" s="24">
        <v>12</v>
      </c>
      <c r="C780" s="24">
        <v>71.45</v>
      </c>
      <c r="E780" s="4">
        <v>397252</v>
      </c>
      <c r="F780" s="2" t="s">
        <v>2</v>
      </c>
      <c r="G780" s="2" t="str">
        <f t="shared" si="69"/>
        <v>https://www.oreht.ru/modules.php?name=orehtPriceLS&amp;op=Search&amp;page=1&amp;stext=397252</v>
      </c>
      <c r="I780">
        <v>397252</v>
      </c>
      <c r="J780" t="s">
        <v>2</v>
      </c>
      <c r="K780" t="s">
        <v>2317</v>
      </c>
      <c r="L780" t="s">
        <v>2318</v>
      </c>
      <c r="M780" t="s">
        <v>649</v>
      </c>
    </row>
    <row r="781" spans="1:13" hidden="1" x14ac:dyDescent="0.25">
      <c r="A781" s="24">
        <f t="shared" si="70"/>
        <v>20</v>
      </c>
      <c r="B781" s="24">
        <v>12</v>
      </c>
      <c r="C781" s="24">
        <v>74.099999999999994</v>
      </c>
      <c r="E781" s="4">
        <v>215987</v>
      </c>
      <c r="F781" s="2" t="s">
        <v>2</v>
      </c>
      <c r="G781" s="2" t="str">
        <f t="shared" si="69"/>
        <v>https://www.oreht.ru/modules.php?name=orehtPriceLS&amp;op=Search&amp;page=1&amp;stext=215987</v>
      </c>
      <c r="I781">
        <v>215987</v>
      </c>
      <c r="J781" t="s">
        <v>2</v>
      </c>
      <c r="K781" t="s">
        <v>2319</v>
      </c>
      <c r="L781" t="s">
        <v>2320</v>
      </c>
      <c r="M781" t="s">
        <v>2321</v>
      </c>
    </row>
    <row r="782" spans="1:13" x14ac:dyDescent="0.25">
      <c r="A782" s="24">
        <f t="shared" si="70"/>
        <v>20</v>
      </c>
      <c r="B782" s="24">
        <v>12</v>
      </c>
      <c r="C782" s="24">
        <v>135</v>
      </c>
      <c r="E782" s="4">
        <v>309701</v>
      </c>
      <c r="F782" s="2" t="s">
        <v>2</v>
      </c>
      <c r="G782" s="2" t="str">
        <f t="shared" si="69"/>
        <v>https://www.oreht.ru/modules.php?name=orehtPriceLS&amp;op=Search&amp;page=1&amp;stext=309701</v>
      </c>
      <c r="I782">
        <v>309701</v>
      </c>
      <c r="J782" t="s">
        <v>2</v>
      </c>
      <c r="K782" t="s">
        <v>2322</v>
      </c>
      <c r="L782" t="s">
        <v>2323</v>
      </c>
      <c r="M782" t="s">
        <v>649</v>
      </c>
    </row>
    <row r="783" spans="1:13" x14ac:dyDescent="0.25">
      <c r="A783" s="24">
        <f t="shared" si="70"/>
        <v>20</v>
      </c>
      <c r="B783" s="24">
        <v>12</v>
      </c>
      <c r="C783" s="24">
        <v>84.96</v>
      </c>
      <c r="E783" s="4">
        <v>401376</v>
      </c>
      <c r="F783" s="2" t="s">
        <v>2</v>
      </c>
      <c r="G783" s="2" t="str">
        <f t="shared" si="69"/>
        <v>https://www.oreht.ru/modules.php?name=orehtPriceLS&amp;op=Search&amp;page=1&amp;stext=401376</v>
      </c>
      <c r="I783">
        <v>401376</v>
      </c>
      <c r="J783" t="s">
        <v>2</v>
      </c>
      <c r="K783" t="s">
        <v>2324</v>
      </c>
      <c r="L783" t="s">
        <v>2325</v>
      </c>
      <c r="M783" t="s">
        <v>649</v>
      </c>
    </row>
    <row r="784" spans="1:13" hidden="1" x14ac:dyDescent="0.25">
      <c r="A784" s="24">
        <f t="shared" si="70"/>
        <v>20</v>
      </c>
      <c r="B784" s="24">
        <v>12</v>
      </c>
      <c r="C784" s="24">
        <v>85.2</v>
      </c>
      <c r="E784" s="4">
        <v>237546</v>
      </c>
      <c r="F784" s="2" t="s">
        <v>2</v>
      </c>
      <c r="G784" s="2" t="str">
        <f t="shared" si="69"/>
        <v>https://www.oreht.ru/modules.php?name=orehtPriceLS&amp;op=Search&amp;page=1&amp;stext=237546</v>
      </c>
      <c r="I784">
        <v>237546</v>
      </c>
      <c r="J784" t="s">
        <v>2</v>
      </c>
      <c r="K784" t="s">
        <v>2326</v>
      </c>
      <c r="L784" t="s">
        <v>2327</v>
      </c>
      <c r="M784" t="s">
        <v>2328</v>
      </c>
    </row>
    <row r="785" spans="1:13" x14ac:dyDescent="0.25">
      <c r="A785" s="24">
        <f t="shared" si="70"/>
        <v>20</v>
      </c>
      <c r="B785" s="24">
        <v>12</v>
      </c>
      <c r="C785" s="24">
        <v>93.06</v>
      </c>
      <c r="E785" s="4">
        <v>384413</v>
      </c>
      <c r="F785" s="2" t="s">
        <v>2</v>
      </c>
      <c r="G785" s="2" t="str">
        <f t="shared" si="69"/>
        <v>https://www.oreht.ru/modules.php?name=orehtPriceLS&amp;op=Search&amp;page=1&amp;stext=384413</v>
      </c>
      <c r="I785">
        <v>384413</v>
      </c>
      <c r="J785" t="s">
        <v>2</v>
      </c>
      <c r="K785" t="s">
        <v>2329</v>
      </c>
      <c r="L785" t="s">
        <v>2330</v>
      </c>
      <c r="M785" t="s">
        <v>649</v>
      </c>
    </row>
    <row r="786" spans="1:13" hidden="1" x14ac:dyDescent="0.25">
      <c r="A786" s="24">
        <f t="shared" si="70"/>
        <v>20</v>
      </c>
      <c r="B786" s="24">
        <v>12</v>
      </c>
      <c r="C786" s="24">
        <v>87.78</v>
      </c>
      <c r="E786" s="4">
        <v>116467</v>
      </c>
      <c r="F786" s="2" t="s">
        <v>2</v>
      </c>
      <c r="G786" s="2" t="str">
        <f t="shared" si="69"/>
        <v>https://www.oreht.ru/modules.php?name=orehtPriceLS&amp;op=Search&amp;page=1&amp;stext=116467</v>
      </c>
      <c r="I786">
        <v>116467</v>
      </c>
      <c r="J786" t="s">
        <v>2</v>
      </c>
      <c r="K786" t="s">
        <v>2331</v>
      </c>
      <c r="L786" t="s">
        <v>2332</v>
      </c>
      <c r="M786" t="s">
        <v>2333</v>
      </c>
    </row>
    <row r="787" spans="1:13" hidden="1" x14ac:dyDescent="0.25">
      <c r="A787" s="24">
        <f t="shared" si="70"/>
        <v>20</v>
      </c>
      <c r="B787" s="24">
        <v>12</v>
      </c>
      <c r="C787" s="24">
        <v>85.44</v>
      </c>
      <c r="E787" s="4">
        <v>109494</v>
      </c>
      <c r="F787" s="2" t="s">
        <v>2</v>
      </c>
      <c r="G787" s="2" t="str">
        <f t="shared" si="69"/>
        <v>https://www.oreht.ru/modules.php?name=orehtPriceLS&amp;op=Search&amp;page=1&amp;stext=109494</v>
      </c>
      <c r="I787">
        <v>109494</v>
      </c>
      <c r="J787" t="s">
        <v>2</v>
      </c>
      <c r="K787" t="s">
        <v>2334</v>
      </c>
      <c r="L787" t="s">
        <v>2335</v>
      </c>
      <c r="M787" t="s">
        <v>2336</v>
      </c>
    </row>
    <row r="788" spans="1:13" hidden="1" x14ac:dyDescent="0.25">
      <c r="A788" s="24">
        <f t="shared" si="70"/>
        <v>20</v>
      </c>
      <c r="B788" s="24">
        <v>12</v>
      </c>
      <c r="C788" s="24">
        <v>89.46</v>
      </c>
      <c r="E788" s="4">
        <v>264500</v>
      </c>
      <c r="F788" s="2" t="s">
        <v>2</v>
      </c>
      <c r="G788" s="2" t="str">
        <f t="shared" si="69"/>
        <v>https://www.oreht.ru/modules.php?name=orehtPriceLS&amp;op=Search&amp;page=1&amp;stext=264500</v>
      </c>
      <c r="I788">
        <v>264500</v>
      </c>
      <c r="J788" t="s">
        <v>2</v>
      </c>
      <c r="K788" t="s">
        <v>2337</v>
      </c>
      <c r="L788" t="s">
        <v>2338</v>
      </c>
      <c r="M788" t="s">
        <v>2339</v>
      </c>
    </row>
    <row r="789" spans="1:13" hidden="1" x14ac:dyDescent="0.25">
      <c r="A789" s="24">
        <f t="shared" si="70"/>
        <v>20</v>
      </c>
      <c r="B789" s="24">
        <v>12</v>
      </c>
      <c r="C789" s="24">
        <v>70.55</v>
      </c>
      <c r="E789" s="4">
        <v>425803</v>
      </c>
      <c r="F789" s="2" t="s">
        <v>2</v>
      </c>
      <c r="G789" s="2" t="str">
        <f t="shared" si="69"/>
        <v>https://www.oreht.ru/modules.php?name=orehtPriceLS&amp;op=Search&amp;page=1&amp;stext=425803</v>
      </c>
      <c r="I789">
        <v>425803</v>
      </c>
      <c r="J789" t="s">
        <v>2</v>
      </c>
      <c r="K789" t="s">
        <v>2340</v>
      </c>
      <c r="L789" t="s">
        <v>2341</v>
      </c>
      <c r="M789" t="s">
        <v>2342</v>
      </c>
    </row>
    <row r="790" spans="1:13" x14ac:dyDescent="0.25">
      <c r="A790" s="24">
        <f t="shared" si="70"/>
        <v>20</v>
      </c>
      <c r="B790" s="24">
        <v>12</v>
      </c>
      <c r="C790" s="24">
        <v>94.38</v>
      </c>
      <c r="E790" s="4">
        <v>434725</v>
      </c>
      <c r="F790" s="2" t="s">
        <v>2</v>
      </c>
      <c r="G790" s="2" t="str">
        <f t="shared" si="69"/>
        <v>https://www.oreht.ru/modules.php?name=orehtPriceLS&amp;op=Search&amp;page=1&amp;stext=434725</v>
      </c>
      <c r="I790">
        <v>434725</v>
      </c>
      <c r="J790" t="s">
        <v>2</v>
      </c>
      <c r="K790" t="s">
        <v>2343</v>
      </c>
      <c r="L790" t="s">
        <v>2344</v>
      </c>
      <c r="M790" t="s">
        <v>649</v>
      </c>
    </row>
    <row r="791" spans="1:13" hidden="1" x14ac:dyDescent="0.25">
      <c r="A791" s="24">
        <f t="shared" si="70"/>
        <v>20</v>
      </c>
      <c r="B791" s="24">
        <v>10</v>
      </c>
      <c r="C791" s="24">
        <v>89.22</v>
      </c>
      <c r="E791" s="4">
        <v>94476</v>
      </c>
      <c r="F791" s="2" t="s">
        <v>2</v>
      </c>
      <c r="G791" s="2" t="str">
        <f t="shared" si="69"/>
        <v>https://www.oreht.ru/modules.php?name=orehtPriceLS&amp;op=Search&amp;page=1&amp;stext=94476</v>
      </c>
      <c r="I791">
        <v>94476</v>
      </c>
      <c r="J791" t="s">
        <v>2</v>
      </c>
      <c r="K791" t="s">
        <v>2345</v>
      </c>
      <c r="L791" t="s">
        <v>2346</v>
      </c>
      <c r="M791" t="s">
        <v>2347</v>
      </c>
    </row>
    <row r="792" spans="1:13" x14ac:dyDescent="0.25">
      <c r="A792" s="24">
        <f t="shared" si="70"/>
        <v>20</v>
      </c>
      <c r="B792" s="24">
        <v>12</v>
      </c>
      <c r="C792" s="24">
        <v>94.74</v>
      </c>
      <c r="E792" s="4">
        <v>372056</v>
      </c>
      <c r="F792" s="2" t="s">
        <v>2</v>
      </c>
      <c r="G792" s="2" t="str">
        <f t="shared" si="69"/>
        <v>https://www.oreht.ru/modules.php?name=orehtPriceLS&amp;op=Search&amp;page=1&amp;stext=372056</v>
      </c>
      <c r="I792">
        <v>372056</v>
      </c>
      <c r="J792" t="s">
        <v>2</v>
      </c>
      <c r="K792" t="s">
        <v>2348</v>
      </c>
      <c r="L792" t="s">
        <v>2349</v>
      </c>
      <c r="M792" t="s">
        <v>649</v>
      </c>
    </row>
    <row r="793" spans="1:13" x14ac:dyDescent="0.25">
      <c r="A793" s="24">
        <f t="shared" si="70"/>
        <v>20</v>
      </c>
      <c r="B793" s="24">
        <v>12</v>
      </c>
      <c r="C793" s="24">
        <v>94.74</v>
      </c>
      <c r="E793" s="4">
        <v>442778</v>
      </c>
      <c r="F793" s="2" t="s">
        <v>2</v>
      </c>
      <c r="G793" s="2" t="str">
        <f t="shared" si="69"/>
        <v>https://www.oreht.ru/modules.php?name=orehtPriceLS&amp;op=Search&amp;page=1&amp;stext=442778</v>
      </c>
      <c r="I793">
        <v>442778</v>
      </c>
      <c r="J793" t="s">
        <v>2</v>
      </c>
      <c r="K793" t="s">
        <v>2350</v>
      </c>
      <c r="L793" t="s">
        <v>2351</v>
      </c>
      <c r="M793" t="s">
        <v>649</v>
      </c>
    </row>
    <row r="794" spans="1:13" x14ac:dyDescent="0.25">
      <c r="A794" s="24">
        <f t="shared" si="70"/>
        <v>20</v>
      </c>
      <c r="B794" s="24">
        <v>12</v>
      </c>
      <c r="C794" s="24">
        <v>78.3</v>
      </c>
      <c r="E794" s="4">
        <v>360877</v>
      </c>
      <c r="F794" s="2" t="s">
        <v>2</v>
      </c>
      <c r="G794" s="2" t="str">
        <f t="shared" si="69"/>
        <v>https://www.oreht.ru/modules.php?name=orehtPriceLS&amp;op=Search&amp;page=1&amp;stext=360877</v>
      </c>
      <c r="I794">
        <v>360877</v>
      </c>
      <c r="J794" t="s">
        <v>2</v>
      </c>
      <c r="K794" t="s">
        <v>2352</v>
      </c>
      <c r="L794" t="s">
        <v>2353</v>
      </c>
      <c r="M794" t="s">
        <v>649</v>
      </c>
    </row>
    <row r="795" spans="1:13" hidden="1" x14ac:dyDescent="0.25">
      <c r="A795" s="24">
        <f t="shared" si="70"/>
        <v>20</v>
      </c>
      <c r="B795" s="24">
        <v>12</v>
      </c>
      <c r="C795" s="24">
        <v>74.25</v>
      </c>
      <c r="E795" s="4">
        <v>402794</v>
      </c>
      <c r="F795" s="2" t="s">
        <v>2</v>
      </c>
      <c r="G795" s="2" t="str">
        <f t="shared" si="69"/>
        <v>https://www.oreht.ru/modules.php?name=orehtPriceLS&amp;op=Search&amp;page=1&amp;stext=402794</v>
      </c>
      <c r="I795">
        <v>402794</v>
      </c>
      <c r="J795" t="s">
        <v>2</v>
      </c>
      <c r="K795" t="s">
        <v>2354</v>
      </c>
      <c r="L795" t="s">
        <v>2355</v>
      </c>
      <c r="M795" t="s">
        <v>2356</v>
      </c>
    </row>
    <row r="796" spans="1:13" hidden="1" x14ac:dyDescent="0.25">
      <c r="A796" s="24">
        <f t="shared" si="70"/>
        <v>20</v>
      </c>
      <c r="B796" s="24">
        <v>12</v>
      </c>
      <c r="C796" s="24">
        <v>80.040000000000006</v>
      </c>
      <c r="E796" s="4">
        <v>316987</v>
      </c>
      <c r="F796" s="2" t="s">
        <v>2</v>
      </c>
      <c r="G796" s="2" t="str">
        <f t="shared" si="69"/>
        <v>https://www.oreht.ru/modules.php?name=orehtPriceLS&amp;op=Search&amp;page=1&amp;stext=316987</v>
      </c>
      <c r="I796">
        <v>316987</v>
      </c>
      <c r="J796" t="s">
        <v>2</v>
      </c>
      <c r="K796" t="s">
        <v>2357</v>
      </c>
      <c r="L796" t="s">
        <v>2358</v>
      </c>
      <c r="M796" t="s">
        <v>2359</v>
      </c>
    </row>
    <row r="797" spans="1:13" x14ac:dyDescent="0.25">
      <c r="A797" s="24">
        <f t="shared" si="70"/>
        <v>20</v>
      </c>
      <c r="B797" s="24">
        <v>12</v>
      </c>
      <c r="C797" s="24">
        <v>96.18</v>
      </c>
      <c r="E797" s="4">
        <v>426229</v>
      </c>
      <c r="F797" s="2" t="s">
        <v>2</v>
      </c>
      <c r="G797" s="2" t="str">
        <f t="shared" si="69"/>
        <v>https://www.oreht.ru/modules.php?name=orehtPriceLS&amp;op=Search&amp;page=1&amp;stext=426229</v>
      </c>
      <c r="I797">
        <v>426229</v>
      </c>
      <c r="J797" t="s">
        <v>2</v>
      </c>
      <c r="K797" t="s">
        <v>2360</v>
      </c>
      <c r="L797" t="s">
        <v>2361</v>
      </c>
      <c r="M797" t="s">
        <v>649</v>
      </c>
    </row>
    <row r="798" spans="1:13" hidden="1" x14ac:dyDescent="0.25">
      <c r="A798" s="24">
        <f t="shared" si="70"/>
        <v>20</v>
      </c>
      <c r="B798" s="24">
        <v>10</v>
      </c>
      <c r="C798" s="24">
        <v>74.8</v>
      </c>
      <c r="E798" s="4">
        <v>94474</v>
      </c>
      <c r="F798" s="2" t="s">
        <v>2</v>
      </c>
      <c r="G798" s="2" t="str">
        <f t="shared" si="69"/>
        <v>https://www.oreht.ru/modules.php?name=orehtPriceLS&amp;op=Search&amp;page=1&amp;stext=94474</v>
      </c>
      <c r="I798">
        <v>94474</v>
      </c>
      <c r="J798" t="s">
        <v>2</v>
      </c>
      <c r="K798" t="s">
        <v>2362</v>
      </c>
      <c r="L798" t="s">
        <v>2363</v>
      </c>
      <c r="M798" t="s">
        <v>2364</v>
      </c>
    </row>
    <row r="799" spans="1:13" hidden="1" x14ac:dyDescent="0.25">
      <c r="A799" s="24">
        <f t="shared" si="70"/>
        <v>20</v>
      </c>
      <c r="B799" s="24">
        <v>12</v>
      </c>
      <c r="C799" s="24">
        <v>72.45</v>
      </c>
      <c r="E799" s="4">
        <v>276903</v>
      </c>
      <c r="F799" s="2" t="s">
        <v>2</v>
      </c>
      <c r="G799" s="2" t="str">
        <f t="shared" si="69"/>
        <v>https://www.oreht.ru/modules.php?name=orehtPriceLS&amp;op=Search&amp;page=1&amp;stext=276903</v>
      </c>
      <c r="I799">
        <v>276903</v>
      </c>
      <c r="J799" t="s">
        <v>2</v>
      </c>
      <c r="K799" t="s">
        <v>2365</v>
      </c>
      <c r="L799" t="s">
        <v>2366</v>
      </c>
      <c r="M799" t="s">
        <v>2367</v>
      </c>
    </row>
    <row r="800" spans="1:13" x14ac:dyDescent="0.25">
      <c r="A800" s="24">
        <f t="shared" si="70"/>
        <v>20</v>
      </c>
      <c r="B800" s="24">
        <v>12</v>
      </c>
      <c r="C800" s="24">
        <v>160</v>
      </c>
      <c r="E800" s="4">
        <v>311261</v>
      </c>
      <c r="F800" s="2" t="s">
        <v>2</v>
      </c>
      <c r="G800" s="2" t="str">
        <f t="shared" si="69"/>
        <v>https://www.oreht.ru/modules.php?name=orehtPriceLS&amp;op=Search&amp;page=1&amp;stext=311261</v>
      </c>
      <c r="I800">
        <v>311261</v>
      </c>
      <c r="J800" t="s">
        <v>2</v>
      </c>
      <c r="K800" t="s">
        <v>2368</v>
      </c>
    </row>
    <row r="801" spans="1:13" hidden="1" x14ac:dyDescent="0.25">
      <c r="A801" s="24">
        <f t="shared" si="70"/>
        <v>20</v>
      </c>
      <c r="B801" s="24">
        <v>12</v>
      </c>
      <c r="C801" s="24">
        <v>83.6</v>
      </c>
      <c r="E801" s="4">
        <v>306766</v>
      </c>
      <c r="F801" s="2" t="s">
        <v>2</v>
      </c>
      <c r="G801" s="2" t="str">
        <f t="shared" si="69"/>
        <v>https://www.oreht.ru/modules.php?name=orehtPriceLS&amp;op=Search&amp;page=1&amp;stext=306766</v>
      </c>
      <c r="I801">
        <v>306766</v>
      </c>
      <c r="J801" t="s">
        <v>2</v>
      </c>
      <c r="K801" t="s">
        <v>2369</v>
      </c>
      <c r="L801" t="s">
        <v>2370</v>
      </c>
      <c r="M801" t="s">
        <v>2371</v>
      </c>
    </row>
    <row r="802" spans="1:13" x14ac:dyDescent="0.25">
      <c r="A802" s="24">
        <f t="shared" si="70"/>
        <v>20</v>
      </c>
      <c r="B802" s="24">
        <v>12</v>
      </c>
      <c r="C802" s="24">
        <v>96.66</v>
      </c>
      <c r="E802" s="4">
        <v>373768</v>
      </c>
      <c r="F802" s="2" t="s">
        <v>2</v>
      </c>
      <c r="G802" s="2" t="str">
        <f t="shared" si="69"/>
        <v>https://www.oreht.ru/modules.php?name=orehtPriceLS&amp;op=Search&amp;page=1&amp;stext=373768</v>
      </c>
      <c r="I802">
        <v>373768</v>
      </c>
      <c r="J802" t="s">
        <v>2</v>
      </c>
      <c r="K802" t="s">
        <v>2372</v>
      </c>
      <c r="L802" t="s">
        <v>2373</v>
      </c>
      <c r="M802" t="s">
        <v>649</v>
      </c>
    </row>
    <row r="803" spans="1:13" x14ac:dyDescent="0.25">
      <c r="A803" s="24">
        <f t="shared" si="70"/>
        <v>20</v>
      </c>
      <c r="B803" s="24">
        <v>12</v>
      </c>
      <c r="C803" s="24">
        <v>120</v>
      </c>
      <c r="E803" s="4">
        <v>441675</v>
      </c>
      <c r="F803" s="2" t="s">
        <v>2</v>
      </c>
      <c r="G803" s="2" t="str">
        <f t="shared" si="69"/>
        <v>https://www.oreht.ru/modules.php?name=orehtPriceLS&amp;op=Search&amp;page=1&amp;stext=441675</v>
      </c>
      <c r="I803">
        <v>441675</v>
      </c>
      <c r="J803" t="s">
        <v>2</v>
      </c>
      <c r="K803" t="s">
        <v>2374</v>
      </c>
      <c r="L803" t="s">
        <v>2375</v>
      </c>
      <c r="M803" t="s">
        <v>649</v>
      </c>
    </row>
    <row r="804" spans="1:13" hidden="1" x14ac:dyDescent="0.25">
      <c r="A804" s="24">
        <f t="shared" si="70"/>
        <v>20</v>
      </c>
      <c r="B804" s="24">
        <v>12</v>
      </c>
      <c r="C804" s="24">
        <v>102.78</v>
      </c>
      <c r="E804" s="4">
        <v>118708</v>
      </c>
      <c r="F804" s="2" t="s">
        <v>2</v>
      </c>
      <c r="G804" s="2" t="str">
        <f t="shared" si="69"/>
        <v>https://www.oreht.ru/modules.php?name=orehtPriceLS&amp;op=Search&amp;page=1&amp;stext=118708</v>
      </c>
      <c r="I804">
        <v>118708</v>
      </c>
      <c r="J804" t="s">
        <v>2</v>
      </c>
      <c r="K804" t="s">
        <v>2376</v>
      </c>
      <c r="L804" t="s">
        <v>2377</v>
      </c>
      <c r="M804" t="s">
        <v>2378</v>
      </c>
    </row>
    <row r="805" spans="1:13" hidden="1" x14ac:dyDescent="0.25">
      <c r="A805" s="24">
        <f t="shared" si="70"/>
        <v>20</v>
      </c>
      <c r="B805" s="24">
        <v>12</v>
      </c>
      <c r="C805" s="24">
        <v>100</v>
      </c>
      <c r="E805" s="4">
        <v>438007</v>
      </c>
      <c r="F805" s="2" t="s">
        <v>2</v>
      </c>
      <c r="G805" s="2" t="str">
        <f t="shared" si="69"/>
        <v>https://www.oreht.ru/modules.php?name=orehtPriceLS&amp;op=Search&amp;page=1&amp;stext=438007</v>
      </c>
      <c r="I805">
        <v>438007</v>
      </c>
      <c r="J805" t="s">
        <v>2</v>
      </c>
      <c r="K805" t="s">
        <v>2379</v>
      </c>
      <c r="L805" t="s">
        <v>2380</v>
      </c>
      <c r="M805" t="s">
        <v>2381</v>
      </c>
    </row>
    <row r="806" spans="1:13" x14ac:dyDescent="0.25">
      <c r="A806" s="24">
        <f t="shared" si="70"/>
        <v>20</v>
      </c>
      <c r="B806" s="24">
        <v>12</v>
      </c>
      <c r="C806" s="24">
        <v>97.32</v>
      </c>
      <c r="E806" s="4">
        <v>343347</v>
      </c>
      <c r="F806" s="2" t="s">
        <v>2</v>
      </c>
      <c r="G806" s="2" t="str">
        <f t="shared" si="69"/>
        <v>https://www.oreht.ru/modules.php?name=orehtPriceLS&amp;op=Search&amp;page=1&amp;stext=343347</v>
      </c>
      <c r="I806">
        <v>343347</v>
      </c>
      <c r="J806" t="s">
        <v>2</v>
      </c>
      <c r="K806" t="s">
        <v>2382</v>
      </c>
      <c r="L806" t="s">
        <v>2383</v>
      </c>
      <c r="M806" t="s">
        <v>649</v>
      </c>
    </row>
    <row r="807" spans="1:13" hidden="1" x14ac:dyDescent="0.25">
      <c r="A807" s="24">
        <f t="shared" si="70"/>
        <v>20</v>
      </c>
      <c r="B807" s="24">
        <v>12</v>
      </c>
      <c r="C807" s="24">
        <v>88.08</v>
      </c>
      <c r="E807" s="4">
        <v>347044</v>
      </c>
      <c r="F807" s="2" t="s">
        <v>2</v>
      </c>
      <c r="G807" s="2" t="str">
        <f t="shared" si="69"/>
        <v>https://www.oreht.ru/modules.php?name=orehtPriceLS&amp;op=Search&amp;page=1&amp;stext=347044</v>
      </c>
      <c r="I807">
        <v>347044</v>
      </c>
      <c r="J807" t="s">
        <v>2</v>
      </c>
      <c r="K807" t="s">
        <v>2384</v>
      </c>
      <c r="L807" t="s">
        <v>2385</v>
      </c>
      <c r="M807" t="s">
        <v>2386</v>
      </c>
    </row>
    <row r="808" spans="1:13" x14ac:dyDescent="0.25">
      <c r="A808" s="24">
        <f t="shared" si="70"/>
        <v>20</v>
      </c>
      <c r="B808" s="24">
        <v>12</v>
      </c>
      <c r="C808" s="24">
        <v>97.26</v>
      </c>
      <c r="E808" s="4">
        <v>405467</v>
      </c>
      <c r="F808" s="2" t="s">
        <v>2</v>
      </c>
      <c r="G808" s="2" t="str">
        <f t="shared" si="69"/>
        <v>https://www.oreht.ru/modules.php?name=orehtPriceLS&amp;op=Search&amp;page=1&amp;stext=405467</v>
      </c>
      <c r="I808">
        <v>405467</v>
      </c>
      <c r="J808" t="s">
        <v>2</v>
      </c>
      <c r="K808" t="s">
        <v>2387</v>
      </c>
      <c r="L808" t="s">
        <v>2388</v>
      </c>
      <c r="M808" t="s">
        <v>649</v>
      </c>
    </row>
    <row r="809" spans="1:13" hidden="1" x14ac:dyDescent="0.25">
      <c r="A809" s="24">
        <f t="shared" si="70"/>
        <v>20</v>
      </c>
      <c r="B809" s="24">
        <v>12</v>
      </c>
      <c r="C809" s="24">
        <v>92.7</v>
      </c>
      <c r="E809" s="4">
        <v>361985</v>
      </c>
      <c r="F809" s="2" t="s">
        <v>2</v>
      </c>
      <c r="G809" s="2" t="str">
        <f t="shared" si="69"/>
        <v>https://www.oreht.ru/modules.php?name=orehtPriceLS&amp;op=Search&amp;page=1&amp;stext=361985</v>
      </c>
      <c r="I809">
        <v>361985</v>
      </c>
      <c r="J809" t="s">
        <v>2</v>
      </c>
      <c r="K809" t="s">
        <v>2389</v>
      </c>
      <c r="L809" t="s">
        <v>2390</v>
      </c>
      <c r="M809" t="s">
        <v>2391</v>
      </c>
    </row>
    <row r="810" spans="1:13" x14ac:dyDescent="0.25">
      <c r="A810" s="24">
        <f t="shared" si="70"/>
        <v>20</v>
      </c>
      <c r="B810" s="24">
        <v>12</v>
      </c>
      <c r="C810" s="24">
        <v>100</v>
      </c>
      <c r="E810" s="4">
        <v>195333</v>
      </c>
      <c r="F810" s="2" t="s">
        <v>2</v>
      </c>
      <c r="G810" s="2" t="str">
        <f t="shared" si="69"/>
        <v>https://www.oreht.ru/modules.php?name=orehtPriceLS&amp;op=Search&amp;page=1&amp;stext=195333</v>
      </c>
      <c r="I810">
        <v>195333</v>
      </c>
      <c r="J810" t="s">
        <v>2</v>
      </c>
      <c r="K810" t="s">
        <v>2392</v>
      </c>
      <c r="L810" t="s">
        <v>2393</v>
      </c>
      <c r="M810" t="s">
        <v>649</v>
      </c>
    </row>
    <row r="811" spans="1:13" hidden="1" x14ac:dyDescent="0.25">
      <c r="A811" s="24">
        <f t="shared" si="70"/>
        <v>20</v>
      </c>
      <c r="B811" s="24">
        <v>12</v>
      </c>
      <c r="C811" s="24">
        <v>73.3</v>
      </c>
      <c r="E811" s="4">
        <v>407947</v>
      </c>
      <c r="F811" s="2" t="s">
        <v>2</v>
      </c>
      <c r="G811" s="2" t="str">
        <f t="shared" si="69"/>
        <v>https://www.oreht.ru/modules.php?name=orehtPriceLS&amp;op=Search&amp;page=1&amp;stext=407947</v>
      </c>
      <c r="I811">
        <v>407947</v>
      </c>
      <c r="J811" t="s">
        <v>2</v>
      </c>
      <c r="K811" t="s">
        <v>2394</v>
      </c>
      <c r="L811" t="s">
        <v>2395</v>
      </c>
      <c r="M811" t="s">
        <v>2396</v>
      </c>
    </row>
    <row r="812" spans="1:13" hidden="1" x14ac:dyDescent="0.25">
      <c r="A812" s="24">
        <f t="shared" si="70"/>
        <v>20</v>
      </c>
      <c r="B812" s="24">
        <v>12</v>
      </c>
      <c r="C812" s="24">
        <v>96.72</v>
      </c>
      <c r="E812" s="4">
        <v>347047</v>
      </c>
      <c r="F812" s="2" t="s">
        <v>2</v>
      </c>
      <c r="G812" s="2" t="str">
        <f t="shared" si="69"/>
        <v>https://www.oreht.ru/modules.php?name=orehtPriceLS&amp;op=Search&amp;page=1&amp;stext=347047</v>
      </c>
      <c r="I812">
        <v>347047</v>
      </c>
      <c r="J812" t="s">
        <v>2</v>
      </c>
      <c r="K812" t="s">
        <v>2397</v>
      </c>
      <c r="L812" t="s">
        <v>2398</v>
      </c>
      <c r="M812" t="s">
        <v>2386</v>
      </c>
    </row>
    <row r="813" spans="1:13" x14ac:dyDescent="0.25">
      <c r="A813" s="24">
        <f t="shared" si="70"/>
        <v>20</v>
      </c>
      <c r="B813" s="24">
        <v>12</v>
      </c>
      <c r="C813" s="24">
        <v>92.16</v>
      </c>
      <c r="E813" s="4">
        <v>361073</v>
      </c>
      <c r="F813" s="2" t="s">
        <v>2</v>
      </c>
      <c r="G813" s="2" t="str">
        <f t="shared" si="69"/>
        <v>https://www.oreht.ru/modules.php?name=orehtPriceLS&amp;op=Search&amp;page=1&amp;stext=361073</v>
      </c>
      <c r="I813">
        <v>361073</v>
      </c>
      <c r="J813" t="s">
        <v>2</v>
      </c>
      <c r="K813" t="s">
        <v>2399</v>
      </c>
      <c r="L813" t="s">
        <v>2400</v>
      </c>
      <c r="M813" t="s">
        <v>649</v>
      </c>
    </row>
    <row r="814" spans="1:13" hidden="1" x14ac:dyDescent="0.25">
      <c r="A814" s="24">
        <f t="shared" si="70"/>
        <v>20</v>
      </c>
      <c r="B814" s="24">
        <v>12</v>
      </c>
      <c r="C814" s="24">
        <v>76.25</v>
      </c>
      <c r="E814" s="4">
        <v>415950</v>
      </c>
      <c r="F814" s="2" t="s">
        <v>2</v>
      </c>
      <c r="G814" s="2" t="str">
        <f t="shared" si="69"/>
        <v>https://www.oreht.ru/modules.php?name=orehtPriceLS&amp;op=Search&amp;page=1&amp;stext=415950</v>
      </c>
      <c r="I814">
        <v>415950</v>
      </c>
      <c r="J814" t="s">
        <v>2</v>
      </c>
      <c r="K814" t="s">
        <v>2401</v>
      </c>
      <c r="L814" t="s">
        <v>2402</v>
      </c>
      <c r="M814" t="s">
        <v>2403</v>
      </c>
    </row>
    <row r="815" spans="1:13" hidden="1" x14ac:dyDescent="0.25">
      <c r="A815" s="24">
        <f t="shared" si="70"/>
        <v>20</v>
      </c>
      <c r="B815" s="24">
        <v>12</v>
      </c>
      <c r="C815" s="24">
        <v>88.92</v>
      </c>
      <c r="E815" s="4">
        <v>361982</v>
      </c>
      <c r="F815" s="2" t="s">
        <v>2</v>
      </c>
      <c r="G815" s="2" t="str">
        <f t="shared" si="69"/>
        <v>https://www.oreht.ru/modules.php?name=orehtPriceLS&amp;op=Search&amp;page=1&amp;stext=361982</v>
      </c>
      <c r="I815">
        <v>361982</v>
      </c>
      <c r="J815" t="s">
        <v>2</v>
      </c>
      <c r="K815" t="s">
        <v>2404</v>
      </c>
      <c r="L815" t="s">
        <v>2405</v>
      </c>
      <c r="M815" t="s">
        <v>2406</v>
      </c>
    </row>
    <row r="816" spans="1:13" hidden="1" x14ac:dyDescent="0.25">
      <c r="A816" s="24">
        <f t="shared" si="70"/>
        <v>20</v>
      </c>
      <c r="B816" s="24">
        <v>12</v>
      </c>
      <c r="C816" s="24">
        <v>185</v>
      </c>
      <c r="E816" s="4">
        <v>255235</v>
      </c>
      <c r="F816" s="2" t="s">
        <v>2</v>
      </c>
      <c r="G816" s="2" t="str">
        <f t="shared" si="69"/>
        <v>https://www.oreht.ru/modules.php?name=orehtPriceLS&amp;op=Search&amp;page=1&amp;stext=255235</v>
      </c>
      <c r="I816">
        <v>255235</v>
      </c>
      <c r="J816" t="s">
        <v>2</v>
      </c>
      <c r="K816" t="s">
        <v>2407</v>
      </c>
      <c r="L816" t="s">
        <v>2408</v>
      </c>
      <c r="M816" t="s">
        <v>2409</v>
      </c>
    </row>
    <row r="817" spans="1:13" x14ac:dyDescent="0.25">
      <c r="A817" s="24">
        <f t="shared" si="70"/>
        <v>20</v>
      </c>
      <c r="B817" s="24">
        <v>12</v>
      </c>
      <c r="C817" s="24">
        <v>76.7</v>
      </c>
      <c r="E817" s="4">
        <v>316983</v>
      </c>
      <c r="F817" s="2" t="s">
        <v>2</v>
      </c>
      <c r="G817" s="2" t="str">
        <f t="shared" si="69"/>
        <v>https://www.oreht.ru/modules.php?name=orehtPriceLS&amp;op=Search&amp;page=1&amp;stext=316983</v>
      </c>
      <c r="I817">
        <v>316983</v>
      </c>
      <c r="J817" t="s">
        <v>2</v>
      </c>
      <c r="K817" t="s">
        <v>2410</v>
      </c>
      <c r="L817" t="s">
        <v>2411</v>
      </c>
      <c r="M817" t="s">
        <v>649</v>
      </c>
    </row>
    <row r="818" spans="1:13" x14ac:dyDescent="0.25">
      <c r="A818" s="24">
        <f t="shared" si="70"/>
        <v>20</v>
      </c>
      <c r="B818" s="24">
        <v>12</v>
      </c>
      <c r="C818" s="24">
        <v>99.12</v>
      </c>
      <c r="E818" s="4">
        <v>343351</v>
      </c>
      <c r="F818" s="2" t="s">
        <v>2</v>
      </c>
      <c r="G818" s="2" t="str">
        <f t="shared" si="69"/>
        <v>https://www.oreht.ru/modules.php?name=orehtPriceLS&amp;op=Search&amp;page=1&amp;stext=343351</v>
      </c>
      <c r="I818">
        <v>343351</v>
      </c>
      <c r="J818" t="s">
        <v>2</v>
      </c>
      <c r="K818" t="s">
        <v>2412</v>
      </c>
      <c r="L818" t="s">
        <v>2413</v>
      </c>
      <c r="M818" t="s">
        <v>649</v>
      </c>
    </row>
    <row r="819" spans="1:13" hidden="1" x14ac:dyDescent="0.25">
      <c r="A819" s="24">
        <f t="shared" si="70"/>
        <v>20</v>
      </c>
      <c r="B819" s="24">
        <v>12</v>
      </c>
      <c r="C819" s="24">
        <v>70.099999999999994</v>
      </c>
      <c r="E819" s="4">
        <v>401775</v>
      </c>
      <c r="F819" s="2" t="s">
        <v>2</v>
      </c>
      <c r="G819" s="2" t="str">
        <f t="shared" si="69"/>
        <v>https://www.oreht.ru/modules.php?name=orehtPriceLS&amp;op=Search&amp;page=1&amp;stext=401775</v>
      </c>
      <c r="I819">
        <v>401775</v>
      </c>
      <c r="J819" t="s">
        <v>2</v>
      </c>
      <c r="K819" t="s">
        <v>2414</v>
      </c>
      <c r="L819" t="s">
        <v>2415</v>
      </c>
      <c r="M819" t="s">
        <v>2416</v>
      </c>
    </row>
    <row r="820" spans="1:13" x14ac:dyDescent="0.25">
      <c r="A820" s="24">
        <f t="shared" si="70"/>
        <v>20</v>
      </c>
      <c r="B820" s="24">
        <v>12</v>
      </c>
      <c r="C820" s="24">
        <v>82.05</v>
      </c>
      <c r="E820" s="4">
        <v>405437</v>
      </c>
      <c r="F820" s="2" t="s">
        <v>2</v>
      </c>
      <c r="G820" s="2" t="str">
        <f t="shared" si="69"/>
        <v>https://www.oreht.ru/modules.php?name=orehtPriceLS&amp;op=Search&amp;page=1&amp;stext=405437</v>
      </c>
      <c r="I820">
        <v>405437</v>
      </c>
      <c r="J820" t="s">
        <v>2</v>
      </c>
      <c r="K820" t="s">
        <v>2417</v>
      </c>
      <c r="L820" t="s">
        <v>2418</v>
      </c>
      <c r="M820" t="s">
        <v>649</v>
      </c>
    </row>
    <row r="821" spans="1:13" x14ac:dyDescent="0.25">
      <c r="A821" s="24">
        <f t="shared" si="70"/>
        <v>20</v>
      </c>
      <c r="B821" s="24">
        <v>12</v>
      </c>
      <c r="C821" s="24">
        <v>100.02</v>
      </c>
      <c r="E821" s="4">
        <v>390522</v>
      </c>
      <c r="F821" s="2" t="s">
        <v>2</v>
      </c>
      <c r="G821" s="2" t="str">
        <f t="shared" si="69"/>
        <v>https://www.oreht.ru/modules.php?name=orehtPriceLS&amp;op=Search&amp;page=1&amp;stext=390522</v>
      </c>
      <c r="I821">
        <v>390522</v>
      </c>
      <c r="J821" t="s">
        <v>2</v>
      </c>
      <c r="K821" t="s">
        <v>2419</v>
      </c>
      <c r="L821" t="s">
        <v>2420</v>
      </c>
      <c r="M821" t="s">
        <v>649</v>
      </c>
    </row>
    <row r="822" spans="1:13" hidden="1" x14ac:dyDescent="0.25">
      <c r="A822" s="24">
        <f t="shared" si="70"/>
        <v>20</v>
      </c>
      <c r="B822" s="24">
        <v>12</v>
      </c>
      <c r="C822" s="24">
        <v>74.900000000000006</v>
      </c>
      <c r="E822" s="4">
        <v>347694</v>
      </c>
      <c r="F822" s="2" t="s">
        <v>2</v>
      </c>
      <c r="G822" s="2" t="str">
        <f t="shared" si="69"/>
        <v>https://www.oreht.ru/modules.php?name=orehtPriceLS&amp;op=Search&amp;page=1&amp;stext=347694</v>
      </c>
      <c r="I822">
        <v>347694</v>
      </c>
      <c r="J822" t="s">
        <v>2</v>
      </c>
      <c r="K822" t="s">
        <v>2421</v>
      </c>
      <c r="L822" t="s">
        <v>2422</v>
      </c>
      <c r="M822" t="s">
        <v>2423</v>
      </c>
    </row>
    <row r="823" spans="1:13" x14ac:dyDescent="0.25">
      <c r="A823" s="24">
        <f t="shared" si="70"/>
        <v>20</v>
      </c>
      <c r="B823" s="24">
        <v>12</v>
      </c>
      <c r="C823" s="24">
        <v>100.68</v>
      </c>
      <c r="E823" s="4">
        <v>390319</v>
      </c>
      <c r="F823" s="2" t="s">
        <v>2</v>
      </c>
      <c r="G823" s="2" t="str">
        <f t="shared" si="69"/>
        <v>https://www.oreht.ru/modules.php?name=orehtPriceLS&amp;op=Search&amp;page=1&amp;stext=390319</v>
      </c>
      <c r="I823">
        <v>390319</v>
      </c>
      <c r="J823" t="s">
        <v>2</v>
      </c>
      <c r="K823" t="s">
        <v>2424</v>
      </c>
      <c r="L823" t="s">
        <v>2425</v>
      </c>
      <c r="M823" t="s">
        <v>649</v>
      </c>
    </row>
    <row r="824" spans="1:13" hidden="1" x14ac:dyDescent="0.25">
      <c r="A824" s="24">
        <f t="shared" si="70"/>
        <v>20</v>
      </c>
      <c r="B824" s="24">
        <v>12</v>
      </c>
      <c r="C824" s="24">
        <v>75.650000000000006</v>
      </c>
      <c r="E824" s="4">
        <v>280381</v>
      </c>
      <c r="F824" s="2" t="s">
        <v>2</v>
      </c>
      <c r="G824" s="2" t="str">
        <f t="shared" si="69"/>
        <v>https://www.oreht.ru/modules.php?name=orehtPriceLS&amp;op=Search&amp;page=1&amp;stext=280381</v>
      </c>
      <c r="I824">
        <v>280381</v>
      </c>
      <c r="J824" t="s">
        <v>2</v>
      </c>
      <c r="K824" t="s">
        <v>2426</v>
      </c>
      <c r="L824" t="s">
        <v>2427</v>
      </c>
      <c r="M824" t="s">
        <v>2428</v>
      </c>
    </row>
    <row r="825" spans="1:13" hidden="1" x14ac:dyDescent="0.25">
      <c r="A825" s="24">
        <f t="shared" si="70"/>
        <v>20</v>
      </c>
      <c r="B825" s="24">
        <v>12</v>
      </c>
      <c r="C825" s="24">
        <v>92.22</v>
      </c>
      <c r="E825" s="4">
        <v>202218</v>
      </c>
      <c r="F825" s="2" t="s">
        <v>2</v>
      </c>
      <c r="G825" s="2" t="str">
        <f t="shared" si="69"/>
        <v>https://www.oreht.ru/modules.php?name=orehtPriceLS&amp;op=Search&amp;page=1&amp;stext=202218</v>
      </c>
      <c r="I825">
        <v>202218</v>
      </c>
      <c r="J825" t="s">
        <v>2</v>
      </c>
      <c r="K825" t="s">
        <v>2429</v>
      </c>
      <c r="L825" t="s">
        <v>2430</v>
      </c>
      <c r="M825" t="s">
        <v>2431</v>
      </c>
    </row>
    <row r="826" spans="1:13" x14ac:dyDescent="0.25">
      <c r="A826" s="24">
        <f t="shared" si="70"/>
        <v>20</v>
      </c>
      <c r="B826" s="24">
        <v>12</v>
      </c>
      <c r="C826" s="24">
        <v>101.04</v>
      </c>
      <c r="E826" s="4">
        <v>270397</v>
      </c>
      <c r="F826" s="2" t="s">
        <v>2</v>
      </c>
      <c r="G826" s="2" t="str">
        <f t="shared" si="69"/>
        <v>https://www.oreht.ru/modules.php?name=orehtPriceLS&amp;op=Search&amp;page=1&amp;stext=270397</v>
      </c>
      <c r="I826">
        <v>270397</v>
      </c>
      <c r="J826" t="s">
        <v>2</v>
      </c>
      <c r="K826" t="s">
        <v>2432</v>
      </c>
      <c r="L826" t="s">
        <v>2433</v>
      </c>
      <c r="M826" t="s">
        <v>649</v>
      </c>
    </row>
    <row r="827" spans="1:13" x14ac:dyDescent="0.25">
      <c r="A827" s="24">
        <f t="shared" si="70"/>
        <v>20</v>
      </c>
      <c r="B827" s="24">
        <v>12</v>
      </c>
      <c r="C827" s="24">
        <v>95.34</v>
      </c>
      <c r="E827" s="4">
        <v>418258</v>
      </c>
      <c r="F827" s="2" t="s">
        <v>2</v>
      </c>
      <c r="G827" s="2" t="str">
        <f t="shared" si="69"/>
        <v>https://www.oreht.ru/modules.php?name=orehtPriceLS&amp;op=Search&amp;page=1&amp;stext=418258</v>
      </c>
      <c r="I827">
        <v>418258</v>
      </c>
      <c r="J827" t="s">
        <v>2</v>
      </c>
      <c r="K827" t="s">
        <v>2434</v>
      </c>
      <c r="L827" t="s">
        <v>2435</v>
      </c>
      <c r="M827" t="s">
        <v>649</v>
      </c>
    </row>
    <row r="828" spans="1:13" hidden="1" x14ac:dyDescent="0.25">
      <c r="A828" s="24">
        <f t="shared" si="70"/>
        <v>20</v>
      </c>
      <c r="B828" s="24">
        <v>12</v>
      </c>
      <c r="C828" s="24">
        <v>84.12</v>
      </c>
      <c r="E828" s="4">
        <v>223958</v>
      </c>
      <c r="F828" s="2" t="s">
        <v>2</v>
      </c>
      <c r="G828" s="2" t="str">
        <f t="shared" si="69"/>
        <v>https://www.oreht.ru/modules.php?name=orehtPriceLS&amp;op=Search&amp;page=1&amp;stext=223958</v>
      </c>
      <c r="I828">
        <v>223958</v>
      </c>
      <c r="J828" t="s">
        <v>2</v>
      </c>
      <c r="K828" t="s">
        <v>2436</v>
      </c>
      <c r="L828" t="s">
        <v>2437</v>
      </c>
      <c r="M828" t="s">
        <v>2438</v>
      </c>
    </row>
    <row r="829" spans="1:13" x14ac:dyDescent="0.25">
      <c r="A829" s="24">
        <f t="shared" si="70"/>
        <v>20</v>
      </c>
      <c r="B829" s="24">
        <v>10</v>
      </c>
      <c r="C829" s="24">
        <v>98.94</v>
      </c>
      <c r="E829" s="4">
        <v>362146</v>
      </c>
      <c r="F829" s="2" t="s">
        <v>2</v>
      </c>
      <c r="G829" s="2" t="str">
        <f t="shared" si="69"/>
        <v>https://www.oreht.ru/modules.php?name=orehtPriceLS&amp;op=Search&amp;page=1&amp;stext=362146</v>
      </c>
      <c r="I829">
        <v>362146</v>
      </c>
      <c r="J829" t="s">
        <v>2</v>
      </c>
      <c r="K829" t="s">
        <v>2439</v>
      </c>
      <c r="L829" t="s">
        <v>2440</v>
      </c>
      <c r="M829" t="s">
        <v>649</v>
      </c>
    </row>
    <row r="830" spans="1:13" x14ac:dyDescent="0.25">
      <c r="A830" s="24">
        <f t="shared" si="70"/>
        <v>20</v>
      </c>
      <c r="B830" s="24">
        <v>12</v>
      </c>
      <c r="C830" s="24">
        <v>83.8</v>
      </c>
      <c r="E830" s="4">
        <v>344721</v>
      </c>
      <c r="F830" s="2" t="s">
        <v>2</v>
      </c>
      <c r="G830" s="2" t="str">
        <f t="shared" si="69"/>
        <v>https://www.oreht.ru/modules.php?name=orehtPriceLS&amp;op=Search&amp;page=1&amp;stext=344721</v>
      </c>
      <c r="I830">
        <v>344721</v>
      </c>
      <c r="J830" t="s">
        <v>2</v>
      </c>
      <c r="K830" t="s">
        <v>2441</v>
      </c>
      <c r="L830" t="s">
        <v>2442</v>
      </c>
      <c r="M830" t="s">
        <v>649</v>
      </c>
    </row>
    <row r="831" spans="1:13" x14ac:dyDescent="0.25">
      <c r="A831" s="24">
        <f t="shared" si="70"/>
        <v>20</v>
      </c>
      <c r="B831" s="24">
        <v>12</v>
      </c>
      <c r="C831" s="24">
        <v>102.06</v>
      </c>
      <c r="E831" s="4">
        <v>272036</v>
      </c>
      <c r="F831" s="2" t="s">
        <v>2</v>
      </c>
      <c r="G831" s="2" t="str">
        <f t="shared" si="69"/>
        <v>https://www.oreht.ru/modules.php?name=orehtPriceLS&amp;op=Search&amp;page=1&amp;stext=272036</v>
      </c>
      <c r="I831">
        <v>272036</v>
      </c>
      <c r="J831" t="s">
        <v>2</v>
      </c>
      <c r="K831" t="s">
        <v>2443</v>
      </c>
      <c r="L831" t="s">
        <v>2444</v>
      </c>
      <c r="M831" t="s">
        <v>649</v>
      </c>
    </row>
    <row r="832" spans="1:13" hidden="1" x14ac:dyDescent="0.25">
      <c r="A832" s="24">
        <f t="shared" si="70"/>
        <v>20</v>
      </c>
      <c r="B832" s="24">
        <v>12</v>
      </c>
      <c r="C832" s="24">
        <v>90.66</v>
      </c>
      <c r="E832" s="4">
        <v>370290</v>
      </c>
      <c r="F832" s="2" t="s">
        <v>2</v>
      </c>
      <c r="G832" s="2" t="str">
        <f t="shared" si="69"/>
        <v>https://www.oreht.ru/modules.php?name=orehtPriceLS&amp;op=Search&amp;page=1&amp;stext=370290</v>
      </c>
      <c r="I832">
        <v>370290</v>
      </c>
      <c r="J832" t="s">
        <v>2</v>
      </c>
      <c r="K832" t="s">
        <v>2445</v>
      </c>
      <c r="L832" t="s">
        <v>2446</v>
      </c>
      <c r="M832" t="s">
        <v>2447</v>
      </c>
    </row>
    <row r="833" spans="1:13" x14ac:dyDescent="0.25">
      <c r="A833" s="24">
        <f t="shared" si="70"/>
        <v>20</v>
      </c>
      <c r="B833" s="24">
        <v>12</v>
      </c>
      <c r="C833" s="24">
        <v>84.45</v>
      </c>
      <c r="E833" s="4">
        <v>407757</v>
      </c>
      <c r="F833" s="2" t="s">
        <v>2</v>
      </c>
      <c r="G833" s="2" t="str">
        <f t="shared" si="69"/>
        <v>https://www.oreht.ru/modules.php?name=orehtPriceLS&amp;op=Search&amp;page=1&amp;stext=407757</v>
      </c>
      <c r="I833">
        <v>407757</v>
      </c>
      <c r="J833" t="s">
        <v>2</v>
      </c>
      <c r="K833" t="s">
        <v>2448</v>
      </c>
      <c r="L833" t="s">
        <v>2449</v>
      </c>
      <c r="M833" t="s">
        <v>649</v>
      </c>
    </row>
    <row r="834" spans="1:13" hidden="1" x14ac:dyDescent="0.25">
      <c r="A834" s="24">
        <f t="shared" si="70"/>
        <v>20</v>
      </c>
      <c r="B834" s="24">
        <v>12</v>
      </c>
      <c r="C834" s="24">
        <v>93.42</v>
      </c>
      <c r="E834" s="4">
        <v>403179</v>
      </c>
      <c r="F834" s="2" t="s">
        <v>2</v>
      </c>
      <c r="G834" s="2" t="str">
        <f t="shared" ref="G834:G897" si="71">HYPERLINK(F834&amp;E834)</f>
        <v>https://www.oreht.ru/modules.php?name=orehtPriceLS&amp;op=Search&amp;page=1&amp;stext=403179</v>
      </c>
      <c r="I834">
        <v>403179</v>
      </c>
      <c r="J834" t="s">
        <v>2</v>
      </c>
      <c r="K834" t="s">
        <v>2450</v>
      </c>
      <c r="L834" t="s">
        <v>2451</v>
      </c>
      <c r="M834" t="s">
        <v>2452</v>
      </c>
    </row>
    <row r="835" spans="1:13" x14ac:dyDescent="0.25">
      <c r="A835" s="24">
        <f t="shared" si="70"/>
        <v>20</v>
      </c>
      <c r="B835" s="24">
        <v>12</v>
      </c>
      <c r="C835" s="24">
        <v>102.96</v>
      </c>
      <c r="E835" s="4">
        <v>430549</v>
      </c>
      <c r="F835" s="2" t="s">
        <v>2</v>
      </c>
      <c r="G835" s="2" t="str">
        <f t="shared" si="71"/>
        <v>https://www.oreht.ru/modules.php?name=orehtPriceLS&amp;op=Search&amp;page=1&amp;stext=430549</v>
      </c>
      <c r="I835">
        <v>430549</v>
      </c>
      <c r="J835" t="s">
        <v>2</v>
      </c>
      <c r="K835" t="s">
        <v>2453</v>
      </c>
      <c r="L835" t="s">
        <v>2454</v>
      </c>
      <c r="M835" t="s">
        <v>649</v>
      </c>
    </row>
    <row r="836" spans="1:13" hidden="1" x14ac:dyDescent="0.25">
      <c r="A836" s="24">
        <f t="shared" si="70"/>
        <v>20</v>
      </c>
      <c r="B836" s="24">
        <v>10</v>
      </c>
      <c r="C836" s="24">
        <v>350</v>
      </c>
      <c r="E836" s="4">
        <v>204782</v>
      </c>
      <c r="F836" s="2" t="s">
        <v>2</v>
      </c>
      <c r="G836" s="2" t="str">
        <f t="shared" si="71"/>
        <v>https://www.oreht.ru/modules.php?name=orehtPriceLS&amp;op=Search&amp;page=1&amp;stext=204782</v>
      </c>
      <c r="I836">
        <v>204782</v>
      </c>
      <c r="J836" t="s">
        <v>2</v>
      </c>
      <c r="K836" t="s">
        <v>2455</v>
      </c>
      <c r="L836" t="s">
        <v>2456</v>
      </c>
      <c r="M836" t="s">
        <v>2457</v>
      </c>
    </row>
    <row r="837" spans="1:13" hidden="1" x14ac:dyDescent="0.25">
      <c r="A837" s="24">
        <f t="shared" ref="A837:A900" si="72">IF(W837*0.05&gt;=250,250,IF(W837*0.05&gt;=20,IF(W837*0.05&lt;20,20,W837*0.05),20))</f>
        <v>20</v>
      </c>
      <c r="B837" s="24">
        <v>12</v>
      </c>
      <c r="C837" s="24">
        <v>98.76</v>
      </c>
      <c r="E837" s="4">
        <v>418243</v>
      </c>
      <c r="F837" s="2" t="s">
        <v>2</v>
      </c>
      <c r="G837" s="2" t="str">
        <f t="shared" si="71"/>
        <v>https://www.oreht.ru/modules.php?name=orehtPriceLS&amp;op=Search&amp;page=1&amp;stext=418243</v>
      </c>
      <c r="I837">
        <v>418243</v>
      </c>
      <c r="J837" t="s">
        <v>2</v>
      </c>
      <c r="K837" t="s">
        <v>2458</v>
      </c>
      <c r="L837" t="s">
        <v>2459</v>
      </c>
      <c r="M837" t="s">
        <v>2460</v>
      </c>
    </row>
    <row r="838" spans="1:13" hidden="1" x14ac:dyDescent="0.25">
      <c r="A838" s="24">
        <f t="shared" si="72"/>
        <v>20</v>
      </c>
      <c r="B838" s="24">
        <v>10</v>
      </c>
      <c r="C838" s="24">
        <v>98.82</v>
      </c>
      <c r="E838" s="4">
        <v>88994</v>
      </c>
      <c r="F838" s="2" t="s">
        <v>2</v>
      </c>
      <c r="G838" s="2" t="str">
        <f t="shared" si="71"/>
        <v>https://www.oreht.ru/modules.php?name=orehtPriceLS&amp;op=Search&amp;page=1&amp;stext=88994</v>
      </c>
      <c r="I838">
        <v>88994</v>
      </c>
      <c r="J838" t="s">
        <v>2</v>
      </c>
      <c r="K838" t="s">
        <v>2461</v>
      </c>
      <c r="L838" t="s">
        <v>2462</v>
      </c>
      <c r="M838" t="s">
        <v>2463</v>
      </c>
    </row>
    <row r="839" spans="1:13" x14ac:dyDescent="0.25">
      <c r="A839" s="24">
        <f t="shared" si="72"/>
        <v>20</v>
      </c>
      <c r="B839" s="24">
        <v>12</v>
      </c>
      <c r="C839" s="24">
        <v>104.28</v>
      </c>
      <c r="E839" s="4">
        <v>243999</v>
      </c>
      <c r="F839" s="2" t="s">
        <v>2</v>
      </c>
      <c r="G839" s="2" t="str">
        <f t="shared" si="71"/>
        <v>https://www.oreht.ru/modules.php?name=orehtPriceLS&amp;op=Search&amp;page=1&amp;stext=243999</v>
      </c>
      <c r="I839">
        <v>243999</v>
      </c>
      <c r="J839" t="s">
        <v>2</v>
      </c>
      <c r="K839" t="s">
        <v>2464</v>
      </c>
      <c r="L839" t="s">
        <v>2465</v>
      </c>
      <c r="M839" t="s">
        <v>649</v>
      </c>
    </row>
    <row r="840" spans="1:13" x14ac:dyDescent="0.25">
      <c r="A840" s="24">
        <f t="shared" si="72"/>
        <v>20</v>
      </c>
      <c r="B840" s="24">
        <v>12</v>
      </c>
      <c r="C840" s="24">
        <v>104.52</v>
      </c>
      <c r="E840" s="4">
        <v>408082</v>
      </c>
      <c r="F840" s="2" t="s">
        <v>2</v>
      </c>
      <c r="G840" s="2" t="str">
        <f t="shared" si="71"/>
        <v>https://www.oreht.ru/modules.php?name=orehtPriceLS&amp;op=Search&amp;page=1&amp;stext=408082</v>
      </c>
      <c r="I840">
        <v>408082</v>
      </c>
      <c r="J840" t="s">
        <v>2</v>
      </c>
      <c r="K840" t="s">
        <v>2466</v>
      </c>
      <c r="L840" t="s">
        <v>2467</v>
      </c>
      <c r="M840" t="s">
        <v>649</v>
      </c>
    </row>
    <row r="841" spans="1:13" hidden="1" x14ac:dyDescent="0.25">
      <c r="A841" s="24">
        <f t="shared" si="72"/>
        <v>20</v>
      </c>
      <c r="B841" s="24">
        <v>12</v>
      </c>
      <c r="C841" s="24">
        <v>111.66</v>
      </c>
      <c r="E841" s="4">
        <v>259802</v>
      </c>
      <c r="F841" s="2" t="s">
        <v>2</v>
      </c>
      <c r="G841" s="2" t="str">
        <f t="shared" si="71"/>
        <v>https://www.oreht.ru/modules.php?name=orehtPriceLS&amp;op=Search&amp;page=1&amp;stext=259802</v>
      </c>
      <c r="I841">
        <v>259802</v>
      </c>
      <c r="J841" t="s">
        <v>2</v>
      </c>
      <c r="K841" t="s">
        <v>2468</v>
      </c>
      <c r="L841" t="s">
        <v>2469</v>
      </c>
      <c r="M841" t="s">
        <v>2470</v>
      </c>
    </row>
    <row r="842" spans="1:13" x14ac:dyDescent="0.25">
      <c r="A842" s="24">
        <f t="shared" si="72"/>
        <v>20</v>
      </c>
      <c r="B842" s="24">
        <v>12</v>
      </c>
      <c r="C842" s="24">
        <v>105.18</v>
      </c>
      <c r="E842" s="4">
        <v>382522</v>
      </c>
      <c r="F842" s="2" t="s">
        <v>2</v>
      </c>
      <c r="G842" s="2" t="str">
        <f t="shared" si="71"/>
        <v>https://www.oreht.ru/modules.php?name=orehtPriceLS&amp;op=Search&amp;page=1&amp;stext=382522</v>
      </c>
      <c r="I842">
        <v>382522</v>
      </c>
      <c r="J842" t="s">
        <v>2</v>
      </c>
      <c r="K842" t="s">
        <v>2471</v>
      </c>
      <c r="L842" t="s">
        <v>2472</v>
      </c>
      <c r="M842" t="s">
        <v>649</v>
      </c>
    </row>
    <row r="843" spans="1:13" hidden="1" x14ac:dyDescent="0.25">
      <c r="A843" s="24">
        <f t="shared" si="72"/>
        <v>20</v>
      </c>
      <c r="B843" s="24">
        <v>12</v>
      </c>
      <c r="C843" s="24">
        <v>80.599999999999994</v>
      </c>
      <c r="E843" s="4">
        <v>399040</v>
      </c>
      <c r="F843" s="2" t="s">
        <v>2</v>
      </c>
      <c r="G843" s="2" t="str">
        <f t="shared" si="71"/>
        <v>https://www.oreht.ru/modules.php?name=orehtPriceLS&amp;op=Search&amp;page=1&amp;stext=399040</v>
      </c>
      <c r="I843">
        <v>399040</v>
      </c>
      <c r="J843" t="s">
        <v>2</v>
      </c>
      <c r="K843" t="s">
        <v>2473</v>
      </c>
      <c r="L843" t="s">
        <v>2474</v>
      </c>
      <c r="M843" t="s">
        <v>2475</v>
      </c>
    </row>
    <row r="844" spans="1:13" x14ac:dyDescent="0.25">
      <c r="A844" s="24">
        <f t="shared" si="72"/>
        <v>20</v>
      </c>
      <c r="B844" s="24">
        <v>12</v>
      </c>
      <c r="C844" s="24">
        <v>105.78</v>
      </c>
      <c r="E844" s="4">
        <v>367653</v>
      </c>
      <c r="F844" s="2" t="s">
        <v>2</v>
      </c>
      <c r="G844" s="2" t="str">
        <f t="shared" si="71"/>
        <v>https://www.oreht.ru/modules.php?name=orehtPriceLS&amp;op=Search&amp;page=1&amp;stext=367653</v>
      </c>
      <c r="I844">
        <v>367653</v>
      </c>
      <c r="J844" t="s">
        <v>2</v>
      </c>
      <c r="K844" t="s">
        <v>2476</v>
      </c>
      <c r="L844" t="s">
        <v>2477</v>
      </c>
      <c r="M844" t="s">
        <v>649</v>
      </c>
    </row>
    <row r="845" spans="1:13" hidden="1" x14ac:dyDescent="0.25">
      <c r="A845" s="24">
        <f t="shared" si="72"/>
        <v>20</v>
      </c>
      <c r="B845" s="24">
        <v>12</v>
      </c>
      <c r="C845" s="24">
        <v>99.42</v>
      </c>
      <c r="E845" s="4">
        <v>357280</v>
      </c>
      <c r="F845" s="2" t="s">
        <v>2</v>
      </c>
      <c r="G845" s="2" t="str">
        <f t="shared" si="71"/>
        <v>https://www.oreht.ru/modules.php?name=orehtPriceLS&amp;op=Search&amp;page=1&amp;stext=357280</v>
      </c>
      <c r="I845">
        <v>357280</v>
      </c>
      <c r="J845" t="s">
        <v>2</v>
      </c>
      <c r="K845" t="s">
        <v>2478</v>
      </c>
      <c r="L845" t="s">
        <v>2479</v>
      </c>
      <c r="M845" t="s">
        <v>2480</v>
      </c>
    </row>
    <row r="846" spans="1:13" hidden="1" x14ac:dyDescent="0.25">
      <c r="A846" s="24">
        <f t="shared" si="72"/>
        <v>20</v>
      </c>
      <c r="B846" s="24">
        <v>12</v>
      </c>
      <c r="C846" s="24">
        <v>77.349999999999994</v>
      </c>
      <c r="E846" s="4">
        <v>401774</v>
      </c>
      <c r="F846" s="2" t="s">
        <v>2</v>
      </c>
      <c r="G846" s="2" t="str">
        <f t="shared" si="71"/>
        <v>https://www.oreht.ru/modules.php?name=orehtPriceLS&amp;op=Search&amp;page=1&amp;stext=401774</v>
      </c>
      <c r="I846">
        <v>401774</v>
      </c>
      <c r="J846" t="s">
        <v>2</v>
      </c>
      <c r="K846" t="s">
        <v>2481</v>
      </c>
      <c r="L846" t="s">
        <v>2482</v>
      </c>
      <c r="M846" t="s">
        <v>2483</v>
      </c>
    </row>
    <row r="847" spans="1:13" hidden="1" x14ac:dyDescent="0.25">
      <c r="A847" s="24">
        <f t="shared" si="72"/>
        <v>20</v>
      </c>
      <c r="B847" s="24">
        <v>12</v>
      </c>
      <c r="C847" s="24">
        <v>96.78</v>
      </c>
      <c r="E847" s="4">
        <v>376798</v>
      </c>
      <c r="F847" s="2" t="s">
        <v>2</v>
      </c>
      <c r="G847" s="2" t="str">
        <f t="shared" si="71"/>
        <v>https://www.oreht.ru/modules.php?name=orehtPriceLS&amp;op=Search&amp;page=1&amp;stext=376798</v>
      </c>
      <c r="I847">
        <v>376798</v>
      </c>
      <c r="J847" t="s">
        <v>2</v>
      </c>
      <c r="K847" t="s">
        <v>2484</v>
      </c>
      <c r="L847" t="s">
        <v>2485</v>
      </c>
      <c r="M847" t="s">
        <v>2486</v>
      </c>
    </row>
    <row r="848" spans="1:13" hidden="1" x14ac:dyDescent="0.25">
      <c r="A848" s="24">
        <f t="shared" si="72"/>
        <v>20</v>
      </c>
      <c r="B848" s="24">
        <v>12</v>
      </c>
      <c r="C848" s="24">
        <v>80.099999999999994</v>
      </c>
      <c r="E848" s="4">
        <v>276904</v>
      </c>
      <c r="F848" s="2" t="s">
        <v>2</v>
      </c>
      <c r="G848" s="2" t="str">
        <f t="shared" si="71"/>
        <v>https://www.oreht.ru/modules.php?name=orehtPriceLS&amp;op=Search&amp;page=1&amp;stext=276904</v>
      </c>
      <c r="I848">
        <v>276904</v>
      </c>
      <c r="J848" t="s">
        <v>2</v>
      </c>
      <c r="K848" t="s">
        <v>2487</v>
      </c>
      <c r="L848" t="s">
        <v>2488</v>
      </c>
      <c r="M848" t="s">
        <v>2489</v>
      </c>
    </row>
    <row r="849" spans="1:13" hidden="1" x14ac:dyDescent="0.25">
      <c r="A849" s="24">
        <f t="shared" si="72"/>
        <v>20</v>
      </c>
      <c r="B849" s="24">
        <v>12</v>
      </c>
      <c r="C849" s="24">
        <v>97.5</v>
      </c>
      <c r="E849" s="4">
        <v>311262</v>
      </c>
      <c r="F849" s="2" t="s">
        <v>2</v>
      </c>
      <c r="G849" s="2" t="str">
        <f t="shared" si="71"/>
        <v>https://www.oreht.ru/modules.php?name=orehtPriceLS&amp;op=Search&amp;page=1&amp;stext=311262</v>
      </c>
      <c r="I849">
        <v>311262</v>
      </c>
      <c r="J849" t="s">
        <v>2</v>
      </c>
      <c r="K849" t="s">
        <v>2490</v>
      </c>
      <c r="L849" t="s">
        <v>2491</v>
      </c>
      <c r="M849" t="s">
        <v>2492</v>
      </c>
    </row>
    <row r="850" spans="1:13" hidden="1" x14ac:dyDescent="0.25">
      <c r="A850" s="24">
        <f t="shared" si="72"/>
        <v>20</v>
      </c>
      <c r="B850" s="24">
        <v>12</v>
      </c>
      <c r="C850" s="24">
        <v>79.900000000000006</v>
      </c>
      <c r="E850" s="4">
        <v>88942</v>
      </c>
      <c r="F850" s="2" t="s">
        <v>2</v>
      </c>
      <c r="G850" s="2" t="str">
        <f t="shared" si="71"/>
        <v>https://www.oreht.ru/modules.php?name=orehtPriceLS&amp;op=Search&amp;page=1&amp;stext=88942</v>
      </c>
      <c r="I850">
        <v>88942</v>
      </c>
      <c r="J850" t="s">
        <v>2</v>
      </c>
      <c r="K850" t="s">
        <v>2493</v>
      </c>
      <c r="L850" t="s">
        <v>2494</v>
      </c>
      <c r="M850" t="s">
        <v>2495</v>
      </c>
    </row>
    <row r="851" spans="1:13" hidden="1" x14ac:dyDescent="0.25">
      <c r="A851" s="24">
        <f t="shared" si="72"/>
        <v>20</v>
      </c>
      <c r="B851" s="24">
        <v>12</v>
      </c>
      <c r="C851" s="24">
        <v>67.05</v>
      </c>
      <c r="E851" s="4">
        <v>275500</v>
      </c>
      <c r="F851" s="2" t="s">
        <v>2</v>
      </c>
      <c r="G851" s="2" t="str">
        <f t="shared" si="71"/>
        <v>https://www.oreht.ru/modules.php?name=orehtPriceLS&amp;op=Search&amp;page=1&amp;stext=275500</v>
      </c>
      <c r="I851">
        <v>275500</v>
      </c>
      <c r="J851" t="s">
        <v>2</v>
      </c>
      <c r="K851" t="s">
        <v>2496</v>
      </c>
      <c r="L851" t="s">
        <v>2497</v>
      </c>
      <c r="M851" t="s">
        <v>2498</v>
      </c>
    </row>
    <row r="852" spans="1:13" hidden="1" x14ac:dyDescent="0.25">
      <c r="A852" s="24">
        <f t="shared" si="72"/>
        <v>20</v>
      </c>
      <c r="B852" s="24">
        <v>10</v>
      </c>
      <c r="C852" s="24">
        <v>101.7</v>
      </c>
      <c r="E852" s="4">
        <v>204762</v>
      </c>
      <c r="F852" s="2" t="s">
        <v>2</v>
      </c>
      <c r="G852" s="2" t="str">
        <f t="shared" si="71"/>
        <v>https://www.oreht.ru/modules.php?name=orehtPriceLS&amp;op=Search&amp;page=1&amp;stext=204762</v>
      </c>
      <c r="I852">
        <v>204762</v>
      </c>
      <c r="J852" t="s">
        <v>2</v>
      </c>
      <c r="K852" t="s">
        <v>2499</v>
      </c>
      <c r="L852" t="s">
        <v>2500</v>
      </c>
      <c r="M852" t="s">
        <v>2501</v>
      </c>
    </row>
    <row r="853" spans="1:13" x14ac:dyDescent="0.25">
      <c r="A853" s="24">
        <f t="shared" si="72"/>
        <v>20</v>
      </c>
      <c r="B853" s="24">
        <v>12</v>
      </c>
      <c r="C853" s="24">
        <v>108</v>
      </c>
      <c r="E853" s="4">
        <v>190921</v>
      </c>
      <c r="F853" s="2" t="s">
        <v>2</v>
      </c>
      <c r="G853" s="2" t="str">
        <f t="shared" si="71"/>
        <v>https://www.oreht.ru/modules.php?name=orehtPriceLS&amp;op=Search&amp;page=1&amp;stext=190921</v>
      </c>
      <c r="I853">
        <v>190921</v>
      </c>
      <c r="J853" t="s">
        <v>2</v>
      </c>
      <c r="K853" t="s">
        <v>2502</v>
      </c>
      <c r="L853" t="s">
        <v>2503</v>
      </c>
      <c r="M853" t="s">
        <v>649</v>
      </c>
    </row>
    <row r="854" spans="1:13" hidden="1" x14ac:dyDescent="0.25">
      <c r="A854" s="24">
        <f t="shared" si="72"/>
        <v>20</v>
      </c>
      <c r="B854" s="24">
        <v>12</v>
      </c>
      <c r="C854" s="24">
        <v>81.150000000000006</v>
      </c>
      <c r="E854" s="4">
        <v>418342</v>
      </c>
      <c r="F854" s="2" t="s">
        <v>2</v>
      </c>
      <c r="G854" s="2" t="str">
        <f t="shared" si="71"/>
        <v>https://www.oreht.ru/modules.php?name=orehtPriceLS&amp;op=Search&amp;page=1&amp;stext=418342</v>
      </c>
      <c r="I854">
        <v>418342</v>
      </c>
      <c r="J854" t="s">
        <v>2</v>
      </c>
      <c r="K854" t="s">
        <v>2504</v>
      </c>
      <c r="L854" t="s">
        <v>2505</v>
      </c>
      <c r="M854" t="s">
        <v>2506</v>
      </c>
    </row>
    <row r="855" spans="1:13" hidden="1" x14ac:dyDescent="0.25">
      <c r="A855" s="24">
        <f t="shared" si="72"/>
        <v>20</v>
      </c>
      <c r="B855" s="24">
        <v>12</v>
      </c>
      <c r="C855" s="24">
        <v>120</v>
      </c>
      <c r="E855" s="4">
        <v>419749</v>
      </c>
      <c r="F855" s="2" t="s">
        <v>2</v>
      </c>
      <c r="G855" s="2" t="str">
        <f t="shared" si="71"/>
        <v>https://www.oreht.ru/modules.php?name=orehtPriceLS&amp;op=Search&amp;page=1&amp;stext=419749</v>
      </c>
      <c r="I855">
        <v>419749</v>
      </c>
      <c r="J855" t="s">
        <v>2</v>
      </c>
      <c r="K855" t="s">
        <v>2507</v>
      </c>
      <c r="L855" t="s">
        <v>2508</v>
      </c>
      <c r="M855" t="s">
        <v>2509</v>
      </c>
    </row>
    <row r="856" spans="1:13" hidden="1" x14ac:dyDescent="0.25">
      <c r="A856" s="24">
        <f t="shared" si="72"/>
        <v>20</v>
      </c>
      <c r="B856" s="24">
        <v>12</v>
      </c>
      <c r="C856" s="24">
        <v>101.76</v>
      </c>
      <c r="E856" s="4">
        <v>302328</v>
      </c>
      <c r="F856" s="2" t="s">
        <v>2</v>
      </c>
      <c r="G856" s="2" t="str">
        <f t="shared" si="71"/>
        <v>https://www.oreht.ru/modules.php?name=orehtPriceLS&amp;op=Search&amp;page=1&amp;stext=302328</v>
      </c>
      <c r="I856">
        <v>302328</v>
      </c>
      <c r="J856" t="s">
        <v>2</v>
      </c>
      <c r="K856" t="s">
        <v>2510</v>
      </c>
      <c r="L856" t="s">
        <v>2511</v>
      </c>
      <c r="M856" t="s">
        <v>2512</v>
      </c>
    </row>
    <row r="857" spans="1:13" hidden="1" x14ac:dyDescent="0.25">
      <c r="A857" s="24">
        <f t="shared" si="72"/>
        <v>20</v>
      </c>
      <c r="B857" s="24">
        <v>12</v>
      </c>
      <c r="C857" s="24">
        <v>98.76</v>
      </c>
      <c r="E857" s="4">
        <v>338163</v>
      </c>
      <c r="F857" s="2" t="s">
        <v>2</v>
      </c>
      <c r="G857" s="2" t="str">
        <f t="shared" si="71"/>
        <v>https://www.oreht.ru/modules.php?name=orehtPriceLS&amp;op=Search&amp;page=1&amp;stext=338163</v>
      </c>
      <c r="I857">
        <v>338163</v>
      </c>
      <c r="J857" t="s">
        <v>2</v>
      </c>
      <c r="K857" t="s">
        <v>2513</v>
      </c>
      <c r="L857" t="s">
        <v>2514</v>
      </c>
      <c r="M857" t="s">
        <v>2515</v>
      </c>
    </row>
    <row r="858" spans="1:13" hidden="1" x14ac:dyDescent="0.25">
      <c r="A858" s="24">
        <f t="shared" si="72"/>
        <v>20</v>
      </c>
      <c r="B858" s="24">
        <v>12</v>
      </c>
      <c r="C858" s="24">
        <v>96.12</v>
      </c>
      <c r="E858" s="4">
        <v>343769</v>
      </c>
      <c r="F858" s="2" t="s">
        <v>2</v>
      </c>
      <c r="G858" s="2" t="str">
        <f t="shared" si="71"/>
        <v>https://www.oreht.ru/modules.php?name=orehtPriceLS&amp;op=Search&amp;page=1&amp;stext=343769</v>
      </c>
      <c r="I858">
        <v>343769</v>
      </c>
      <c r="J858" t="s">
        <v>2</v>
      </c>
      <c r="K858" t="s">
        <v>2516</v>
      </c>
      <c r="L858" t="s">
        <v>2517</v>
      </c>
      <c r="M858" t="s">
        <v>2518</v>
      </c>
    </row>
    <row r="859" spans="1:13" hidden="1" x14ac:dyDescent="0.25">
      <c r="A859" s="24">
        <f t="shared" si="72"/>
        <v>20</v>
      </c>
      <c r="B859" s="24">
        <v>12</v>
      </c>
      <c r="C859" s="24">
        <v>100.44</v>
      </c>
      <c r="E859" s="4">
        <v>223965</v>
      </c>
      <c r="F859" s="2" t="s">
        <v>2</v>
      </c>
      <c r="G859" s="2" t="str">
        <f t="shared" si="71"/>
        <v>https://www.oreht.ru/modules.php?name=orehtPriceLS&amp;op=Search&amp;page=1&amp;stext=223965</v>
      </c>
      <c r="I859">
        <v>223965</v>
      </c>
      <c r="J859" t="s">
        <v>2</v>
      </c>
      <c r="K859" t="s">
        <v>2519</v>
      </c>
      <c r="L859" t="s">
        <v>2520</v>
      </c>
      <c r="M859" t="s">
        <v>2521</v>
      </c>
    </row>
    <row r="860" spans="1:13" hidden="1" x14ac:dyDescent="0.25">
      <c r="A860" s="24">
        <f t="shared" si="72"/>
        <v>20</v>
      </c>
      <c r="B860" s="24">
        <v>12</v>
      </c>
      <c r="C860" s="24">
        <v>105.42</v>
      </c>
      <c r="E860" s="4">
        <v>399071</v>
      </c>
      <c r="F860" s="2" t="s">
        <v>2</v>
      </c>
      <c r="G860" s="2" t="str">
        <f t="shared" si="71"/>
        <v>https://www.oreht.ru/modules.php?name=orehtPriceLS&amp;op=Search&amp;page=1&amp;stext=399071</v>
      </c>
      <c r="I860">
        <v>399071</v>
      </c>
      <c r="J860" t="s">
        <v>2</v>
      </c>
      <c r="K860" t="s">
        <v>2522</v>
      </c>
      <c r="L860" t="s">
        <v>2523</v>
      </c>
      <c r="M860" t="s">
        <v>2524</v>
      </c>
    </row>
    <row r="861" spans="1:13" hidden="1" x14ac:dyDescent="0.25">
      <c r="A861" s="24">
        <f t="shared" si="72"/>
        <v>20</v>
      </c>
      <c r="B861" s="24">
        <v>12</v>
      </c>
      <c r="C861" s="24">
        <v>99.96</v>
      </c>
      <c r="E861" s="4">
        <v>351768</v>
      </c>
      <c r="F861" s="2" t="s">
        <v>2</v>
      </c>
      <c r="G861" s="2" t="str">
        <f t="shared" si="71"/>
        <v>https://www.oreht.ru/modules.php?name=orehtPriceLS&amp;op=Search&amp;page=1&amp;stext=351768</v>
      </c>
      <c r="I861">
        <v>351768</v>
      </c>
      <c r="J861" t="s">
        <v>2</v>
      </c>
      <c r="K861" t="s">
        <v>2525</v>
      </c>
      <c r="L861" t="s">
        <v>2526</v>
      </c>
      <c r="M861" t="s">
        <v>2524</v>
      </c>
    </row>
    <row r="862" spans="1:13" hidden="1" x14ac:dyDescent="0.25">
      <c r="A862" s="24">
        <f t="shared" si="72"/>
        <v>20</v>
      </c>
      <c r="B862" s="24">
        <v>12</v>
      </c>
      <c r="C862" s="24">
        <v>105.42</v>
      </c>
      <c r="E862" s="4">
        <v>413056</v>
      </c>
      <c r="F862" s="2" t="s">
        <v>2</v>
      </c>
      <c r="G862" s="2" t="str">
        <f t="shared" si="71"/>
        <v>https://www.oreht.ru/modules.php?name=orehtPriceLS&amp;op=Search&amp;page=1&amp;stext=413056</v>
      </c>
      <c r="I862">
        <v>413056</v>
      </c>
      <c r="J862" t="s">
        <v>2</v>
      </c>
      <c r="K862" t="s">
        <v>2527</v>
      </c>
      <c r="L862" t="s">
        <v>2528</v>
      </c>
      <c r="M862" t="s">
        <v>2524</v>
      </c>
    </row>
    <row r="863" spans="1:13" x14ac:dyDescent="0.25">
      <c r="A863" s="24">
        <f t="shared" si="72"/>
        <v>20</v>
      </c>
      <c r="B863" s="24">
        <v>12</v>
      </c>
      <c r="C863" s="24">
        <v>86.85</v>
      </c>
      <c r="E863" s="4">
        <v>344717</v>
      </c>
      <c r="F863" s="2" t="s">
        <v>2</v>
      </c>
      <c r="G863" s="2" t="str">
        <f t="shared" si="71"/>
        <v>https://www.oreht.ru/modules.php?name=orehtPriceLS&amp;op=Search&amp;page=1&amp;stext=344717</v>
      </c>
      <c r="I863">
        <v>344717</v>
      </c>
      <c r="J863" t="s">
        <v>2</v>
      </c>
      <c r="K863" t="s">
        <v>2529</v>
      </c>
      <c r="L863" t="s">
        <v>2530</v>
      </c>
      <c r="M863" t="s">
        <v>649</v>
      </c>
    </row>
    <row r="864" spans="1:13" hidden="1" x14ac:dyDescent="0.25">
      <c r="A864" s="24">
        <f t="shared" si="72"/>
        <v>20</v>
      </c>
      <c r="B864" s="24">
        <v>12</v>
      </c>
      <c r="C864" s="24">
        <v>95.25</v>
      </c>
      <c r="E864" s="4">
        <v>418696</v>
      </c>
      <c r="F864" s="2" t="s">
        <v>2</v>
      </c>
      <c r="G864" s="2" t="str">
        <f t="shared" si="71"/>
        <v>https://www.oreht.ru/modules.php?name=orehtPriceLS&amp;op=Search&amp;page=1&amp;stext=418696</v>
      </c>
      <c r="I864">
        <v>418696</v>
      </c>
      <c r="J864" t="s">
        <v>2</v>
      </c>
      <c r="K864" t="s">
        <v>2531</v>
      </c>
      <c r="L864" t="s">
        <v>2532</v>
      </c>
      <c r="M864" t="s">
        <v>2533</v>
      </c>
    </row>
    <row r="865" spans="1:13" x14ac:dyDescent="0.25">
      <c r="A865" s="24">
        <f t="shared" si="72"/>
        <v>20</v>
      </c>
      <c r="B865" s="24">
        <v>12</v>
      </c>
      <c r="C865" s="24">
        <v>135</v>
      </c>
      <c r="E865" s="4">
        <v>422006</v>
      </c>
      <c r="F865" s="2" t="s">
        <v>2</v>
      </c>
      <c r="G865" s="2" t="str">
        <f t="shared" si="71"/>
        <v>https://www.oreht.ru/modules.php?name=orehtPriceLS&amp;op=Search&amp;page=1&amp;stext=422006</v>
      </c>
      <c r="I865">
        <v>422006</v>
      </c>
      <c r="J865" t="s">
        <v>2</v>
      </c>
      <c r="K865" t="s">
        <v>2534</v>
      </c>
      <c r="L865" t="s">
        <v>2535</v>
      </c>
      <c r="M865" t="s">
        <v>649</v>
      </c>
    </row>
    <row r="866" spans="1:13" hidden="1" x14ac:dyDescent="0.25">
      <c r="A866" s="24">
        <f t="shared" si="72"/>
        <v>20</v>
      </c>
      <c r="B866" s="24">
        <v>12</v>
      </c>
      <c r="C866" s="24">
        <v>100.62</v>
      </c>
      <c r="E866" s="4">
        <v>327621</v>
      </c>
      <c r="F866" s="2" t="s">
        <v>2</v>
      </c>
      <c r="G866" s="2" t="str">
        <f t="shared" si="71"/>
        <v>https://www.oreht.ru/modules.php?name=orehtPriceLS&amp;op=Search&amp;page=1&amp;stext=327621</v>
      </c>
      <c r="I866">
        <v>327621</v>
      </c>
      <c r="J866" t="s">
        <v>2</v>
      </c>
      <c r="K866" t="s">
        <v>2536</v>
      </c>
      <c r="L866" t="s">
        <v>2537</v>
      </c>
      <c r="M866" t="s">
        <v>2538</v>
      </c>
    </row>
    <row r="867" spans="1:13" x14ac:dyDescent="0.25">
      <c r="A867" s="24">
        <f t="shared" si="72"/>
        <v>20</v>
      </c>
      <c r="B867" s="24">
        <v>12</v>
      </c>
      <c r="C867" s="24">
        <v>100.68</v>
      </c>
      <c r="E867" s="4">
        <v>341393</v>
      </c>
      <c r="F867" s="2" t="s">
        <v>2</v>
      </c>
      <c r="G867" s="2" t="str">
        <f t="shared" si="71"/>
        <v>https://www.oreht.ru/modules.php?name=orehtPriceLS&amp;op=Search&amp;page=1&amp;stext=341393</v>
      </c>
      <c r="I867">
        <v>341393</v>
      </c>
      <c r="J867" t="s">
        <v>2</v>
      </c>
      <c r="K867" t="s">
        <v>2539</v>
      </c>
    </row>
    <row r="868" spans="1:13" x14ac:dyDescent="0.25">
      <c r="A868" s="24">
        <f t="shared" si="72"/>
        <v>20</v>
      </c>
      <c r="B868" s="24">
        <v>10</v>
      </c>
      <c r="C868" s="24">
        <v>108.18</v>
      </c>
      <c r="E868" s="4">
        <v>94485</v>
      </c>
      <c r="F868" s="2" t="s">
        <v>2</v>
      </c>
      <c r="G868" s="2" t="str">
        <f t="shared" si="71"/>
        <v>https://www.oreht.ru/modules.php?name=orehtPriceLS&amp;op=Search&amp;page=1&amp;stext=94485</v>
      </c>
      <c r="I868">
        <v>94485</v>
      </c>
      <c r="J868" t="s">
        <v>2</v>
      </c>
      <c r="K868" t="s">
        <v>2540</v>
      </c>
      <c r="L868" t="s">
        <v>2541</v>
      </c>
      <c r="M868" t="s">
        <v>649</v>
      </c>
    </row>
    <row r="869" spans="1:13" x14ac:dyDescent="0.25">
      <c r="A869" s="24">
        <f t="shared" si="72"/>
        <v>20</v>
      </c>
      <c r="B869" s="24">
        <v>12</v>
      </c>
      <c r="C869" s="24">
        <v>109.2</v>
      </c>
      <c r="E869" s="4">
        <v>355682</v>
      </c>
      <c r="F869" s="2" t="s">
        <v>2</v>
      </c>
      <c r="G869" s="2" t="str">
        <f t="shared" si="71"/>
        <v>https://www.oreht.ru/modules.php?name=orehtPriceLS&amp;op=Search&amp;page=1&amp;stext=355682</v>
      </c>
      <c r="I869">
        <v>355682</v>
      </c>
      <c r="J869" t="s">
        <v>2</v>
      </c>
      <c r="K869" t="s">
        <v>2542</v>
      </c>
      <c r="L869" t="s">
        <v>2543</v>
      </c>
      <c r="M869" t="s">
        <v>649</v>
      </c>
    </row>
    <row r="870" spans="1:13" hidden="1" x14ac:dyDescent="0.25">
      <c r="A870" s="24">
        <f t="shared" si="72"/>
        <v>20</v>
      </c>
      <c r="B870" s="24">
        <v>10</v>
      </c>
      <c r="C870" s="24">
        <v>107.64</v>
      </c>
      <c r="E870" s="4">
        <v>204800</v>
      </c>
      <c r="F870" s="2" t="s">
        <v>2</v>
      </c>
      <c r="G870" s="2" t="str">
        <f t="shared" si="71"/>
        <v>https://www.oreht.ru/modules.php?name=orehtPriceLS&amp;op=Search&amp;page=1&amp;stext=204800</v>
      </c>
      <c r="I870">
        <v>204800</v>
      </c>
      <c r="J870" t="s">
        <v>2</v>
      </c>
      <c r="K870" t="s">
        <v>2544</v>
      </c>
      <c r="L870" t="s">
        <v>2545</v>
      </c>
      <c r="M870" t="s">
        <v>2546</v>
      </c>
    </row>
    <row r="871" spans="1:13" hidden="1" x14ac:dyDescent="0.25">
      <c r="A871" s="24">
        <f t="shared" si="72"/>
        <v>20</v>
      </c>
      <c r="B871" s="24">
        <v>12</v>
      </c>
      <c r="C871" s="24">
        <v>104.58</v>
      </c>
      <c r="E871" s="4">
        <v>371286</v>
      </c>
      <c r="F871" s="2" t="s">
        <v>2</v>
      </c>
      <c r="G871" s="2" t="str">
        <f t="shared" si="71"/>
        <v>https://www.oreht.ru/modules.php?name=orehtPriceLS&amp;op=Search&amp;page=1&amp;stext=371286</v>
      </c>
      <c r="I871">
        <v>371286</v>
      </c>
      <c r="J871" t="s">
        <v>2</v>
      </c>
      <c r="K871" t="s">
        <v>2547</v>
      </c>
      <c r="L871" t="s">
        <v>2548</v>
      </c>
      <c r="M871" t="s">
        <v>2549</v>
      </c>
    </row>
    <row r="872" spans="1:13" hidden="1" x14ac:dyDescent="0.25">
      <c r="A872" s="24">
        <f t="shared" si="72"/>
        <v>20</v>
      </c>
      <c r="B872" s="24">
        <v>12</v>
      </c>
      <c r="C872" s="24">
        <v>101.4</v>
      </c>
      <c r="E872" s="4">
        <v>351769</v>
      </c>
      <c r="F872" s="2" t="s">
        <v>2</v>
      </c>
      <c r="G872" s="2" t="str">
        <f t="shared" si="71"/>
        <v>https://www.oreht.ru/modules.php?name=orehtPriceLS&amp;op=Search&amp;page=1&amp;stext=351769</v>
      </c>
      <c r="I872">
        <v>351769</v>
      </c>
      <c r="J872" t="s">
        <v>2</v>
      </c>
      <c r="K872" t="s">
        <v>2550</v>
      </c>
      <c r="L872" t="s">
        <v>2551</v>
      </c>
      <c r="M872" t="s">
        <v>2552</v>
      </c>
    </row>
    <row r="873" spans="1:13" hidden="1" x14ac:dyDescent="0.25">
      <c r="A873" s="24">
        <f t="shared" si="72"/>
        <v>20</v>
      </c>
      <c r="B873" s="24">
        <v>12</v>
      </c>
      <c r="C873" s="24">
        <v>102</v>
      </c>
      <c r="E873" s="4">
        <v>385028</v>
      </c>
      <c r="F873" s="2" t="s">
        <v>2</v>
      </c>
      <c r="G873" s="2" t="str">
        <f t="shared" si="71"/>
        <v>https://www.oreht.ru/modules.php?name=orehtPriceLS&amp;op=Search&amp;page=1&amp;stext=385028</v>
      </c>
      <c r="I873">
        <v>385028</v>
      </c>
      <c r="J873" t="s">
        <v>2</v>
      </c>
      <c r="K873" t="s">
        <v>2553</v>
      </c>
      <c r="L873" t="s">
        <v>2554</v>
      </c>
      <c r="M873" t="s">
        <v>2555</v>
      </c>
    </row>
    <row r="874" spans="1:13" hidden="1" x14ac:dyDescent="0.25">
      <c r="A874" s="24">
        <f t="shared" si="72"/>
        <v>20</v>
      </c>
      <c r="B874" s="24">
        <v>12</v>
      </c>
      <c r="C874" s="24">
        <v>84.4</v>
      </c>
      <c r="E874" s="4">
        <v>314941</v>
      </c>
      <c r="F874" s="2" t="s">
        <v>2</v>
      </c>
      <c r="G874" s="2" t="str">
        <f t="shared" si="71"/>
        <v>https://www.oreht.ru/modules.php?name=orehtPriceLS&amp;op=Search&amp;page=1&amp;stext=314941</v>
      </c>
      <c r="I874">
        <v>314941</v>
      </c>
      <c r="J874" t="s">
        <v>2</v>
      </c>
      <c r="K874" t="s">
        <v>2556</v>
      </c>
      <c r="L874" t="s">
        <v>2557</v>
      </c>
      <c r="M874" t="s">
        <v>2558</v>
      </c>
    </row>
    <row r="875" spans="1:13" hidden="1" x14ac:dyDescent="0.25">
      <c r="A875" s="24">
        <f t="shared" si="72"/>
        <v>20</v>
      </c>
      <c r="B875" s="24">
        <v>12</v>
      </c>
      <c r="C875" s="24">
        <v>102.66</v>
      </c>
      <c r="E875" s="4">
        <v>198935</v>
      </c>
      <c r="F875" s="2" t="s">
        <v>2</v>
      </c>
      <c r="G875" s="2" t="str">
        <f t="shared" si="71"/>
        <v>https://www.oreht.ru/modules.php?name=orehtPriceLS&amp;op=Search&amp;page=1&amp;stext=198935</v>
      </c>
      <c r="I875">
        <v>198935</v>
      </c>
      <c r="J875" t="s">
        <v>2</v>
      </c>
      <c r="K875" t="s">
        <v>2559</v>
      </c>
      <c r="L875" t="s">
        <v>2560</v>
      </c>
      <c r="M875" t="s">
        <v>2561</v>
      </c>
    </row>
    <row r="876" spans="1:13" x14ac:dyDescent="0.25">
      <c r="A876" s="24">
        <f t="shared" si="72"/>
        <v>20</v>
      </c>
      <c r="B876" s="24">
        <v>12</v>
      </c>
      <c r="C876" s="24">
        <v>112.5</v>
      </c>
      <c r="E876" s="4">
        <v>223959</v>
      </c>
      <c r="F876" s="2" t="s">
        <v>2</v>
      </c>
      <c r="G876" s="2" t="str">
        <f t="shared" si="71"/>
        <v>https://www.oreht.ru/modules.php?name=orehtPriceLS&amp;op=Search&amp;page=1&amp;stext=223959</v>
      </c>
      <c r="I876">
        <v>223959</v>
      </c>
      <c r="J876" t="s">
        <v>2</v>
      </c>
      <c r="K876" t="s">
        <v>2562</v>
      </c>
      <c r="L876" t="s">
        <v>2563</v>
      </c>
      <c r="M876" t="s">
        <v>649</v>
      </c>
    </row>
    <row r="877" spans="1:13" x14ac:dyDescent="0.25">
      <c r="A877" s="24">
        <f t="shared" si="72"/>
        <v>20</v>
      </c>
      <c r="B877" s="24">
        <v>10</v>
      </c>
      <c r="C877" s="24">
        <v>109.56</v>
      </c>
      <c r="E877" s="4">
        <v>94478</v>
      </c>
      <c r="F877" s="2" t="s">
        <v>2</v>
      </c>
      <c r="G877" s="2" t="str">
        <f t="shared" si="71"/>
        <v>https://www.oreht.ru/modules.php?name=orehtPriceLS&amp;op=Search&amp;page=1&amp;stext=94478</v>
      </c>
      <c r="I877">
        <v>94478</v>
      </c>
      <c r="J877" t="s">
        <v>2</v>
      </c>
      <c r="K877" t="s">
        <v>2564</v>
      </c>
      <c r="L877" t="s">
        <v>2565</v>
      </c>
      <c r="M877" t="s">
        <v>649</v>
      </c>
    </row>
    <row r="878" spans="1:13" x14ac:dyDescent="0.25">
      <c r="A878" s="24">
        <f t="shared" si="72"/>
        <v>20</v>
      </c>
      <c r="B878" s="24">
        <v>12</v>
      </c>
      <c r="C878" s="24">
        <v>106.62</v>
      </c>
      <c r="E878" s="4">
        <v>408046</v>
      </c>
      <c r="F878" s="2" t="s">
        <v>2</v>
      </c>
      <c r="G878" s="2" t="str">
        <f t="shared" si="71"/>
        <v>https://www.oreht.ru/modules.php?name=orehtPriceLS&amp;op=Search&amp;page=1&amp;stext=408046</v>
      </c>
      <c r="I878">
        <v>408046</v>
      </c>
      <c r="J878" t="s">
        <v>2</v>
      </c>
      <c r="K878" t="s">
        <v>2566</v>
      </c>
      <c r="L878" t="s">
        <v>2567</v>
      </c>
      <c r="M878" t="s">
        <v>649</v>
      </c>
    </row>
    <row r="879" spans="1:13" x14ac:dyDescent="0.25">
      <c r="A879" s="24">
        <f t="shared" si="72"/>
        <v>20</v>
      </c>
      <c r="B879" s="24">
        <v>12</v>
      </c>
      <c r="C879" s="24">
        <v>210</v>
      </c>
      <c r="E879" s="4">
        <v>422003</v>
      </c>
      <c r="F879" s="2" t="s">
        <v>2</v>
      </c>
      <c r="G879" s="2" t="str">
        <f t="shared" si="71"/>
        <v>https://www.oreht.ru/modules.php?name=orehtPriceLS&amp;op=Search&amp;page=1&amp;stext=422003</v>
      </c>
      <c r="I879">
        <v>422003</v>
      </c>
      <c r="J879" t="s">
        <v>2</v>
      </c>
      <c r="K879" t="s">
        <v>2568</v>
      </c>
      <c r="L879" t="s">
        <v>2569</v>
      </c>
      <c r="M879" t="s">
        <v>649</v>
      </c>
    </row>
    <row r="880" spans="1:13" x14ac:dyDescent="0.25">
      <c r="A880" s="24">
        <f t="shared" si="72"/>
        <v>20</v>
      </c>
      <c r="B880" s="24">
        <v>12</v>
      </c>
      <c r="C880" s="24">
        <v>93.35</v>
      </c>
      <c r="E880" s="4">
        <v>342488</v>
      </c>
      <c r="F880" s="2" t="s">
        <v>2</v>
      </c>
      <c r="G880" s="2" t="str">
        <f t="shared" si="71"/>
        <v>https://www.oreht.ru/modules.php?name=orehtPriceLS&amp;op=Search&amp;page=1&amp;stext=342488</v>
      </c>
      <c r="I880">
        <v>342488</v>
      </c>
      <c r="J880" t="s">
        <v>2</v>
      </c>
      <c r="K880" t="s">
        <v>2570</v>
      </c>
      <c r="L880" t="s">
        <v>2571</v>
      </c>
      <c r="M880" t="s">
        <v>649</v>
      </c>
    </row>
    <row r="881" spans="1:13" hidden="1" x14ac:dyDescent="0.25">
      <c r="A881" s="24">
        <f t="shared" si="72"/>
        <v>20</v>
      </c>
      <c r="B881" s="24">
        <v>12</v>
      </c>
      <c r="C881" s="24">
        <v>90.06</v>
      </c>
      <c r="E881" s="4">
        <v>258828</v>
      </c>
      <c r="F881" s="2" t="s">
        <v>2</v>
      </c>
      <c r="G881" s="2" t="str">
        <f t="shared" si="71"/>
        <v>https://www.oreht.ru/modules.php?name=orehtPriceLS&amp;op=Search&amp;page=1&amp;stext=258828</v>
      </c>
      <c r="I881">
        <v>258828</v>
      </c>
      <c r="J881" t="s">
        <v>2</v>
      </c>
      <c r="K881" t="s">
        <v>2572</v>
      </c>
      <c r="L881" t="s">
        <v>2573</v>
      </c>
      <c r="M881" t="s">
        <v>2574</v>
      </c>
    </row>
    <row r="882" spans="1:13" hidden="1" x14ac:dyDescent="0.25">
      <c r="A882" s="24">
        <f t="shared" si="72"/>
        <v>20</v>
      </c>
      <c r="B882" s="24">
        <v>10</v>
      </c>
      <c r="C882" s="24">
        <v>108.18</v>
      </c>
      <c r="E882" s="4">
        <v>204761</v>
      </c>
      <c r="F882" s="2" t="s">
        <v>2</v>
      </c>
      <c r="G882" s="2" t="str">
        <f t="shared" si="71"/>
        <v>https://www.oreht.ru/modules.php?name=orehtPriceLS&amp;op=Search&amp;page=1&amp;stext=204761</v>
      </c>
      <c r="I882">
        <v>204761</v>
      </c>
      <c r="J882" t="s">
        <v>2</v>
      </c>
      <c r="K882" t="s">
        <v>2575</v>
      </c>
      <c r="L882" t="s">
        <v>2576</v>
      </c>
      <c r="M882" t="s">
        <v>2577</v>
      </c>
    </row>
    <row r="883" spans="1:13" hidden="1" x14ac:dyDescent="0.25">
      <c r="A883" s="24">
        <f t="shared" si="72"/>
        <v>20</v>
      </c>
      <c r="B883" s="24">
        <v>12</v>
      </c>
      <c r="C883" s="24">
        <v>105.18</v>
      </c>
      <c r="E883" s="4">
        <v>311266</v>
      </c>
      <c r="F883" s="2" t="s">
        <v>2</v>
      </c>
      <c r="G883" s="2" t="str">
        <f t="shared" si="71"/>
        <v>https://www.oreht.ru/modules.php?name=orehtPriceLS&amp;op=Search&amp;page=1&amp;stext=311266</v>
      </c>
      <c r="I883">
        <v>311266</v>
      </c>
      <c r="J883" t="s">
        <v>2</v>
      </c>
      <c r="K883" t="s">
        <v>2578</v>
      </c>
      <c r="L883" t="s">
        <v>2579</v>
      </c>
      <c r="M883" t="s">
        <v>2580</v>
      </c>
    </row>
    <row r="884" spans="1:13" hidden="1" x14ac:dyDescent="0.25">
      <c r="A884" s="24">
        <f t="shared" si="72"/>
        <v>20</v>
      </c>
      <c r="B884" s="24">
        <v>12</v>
      </c>
      <c r="C884" s="24">
        <v>108.36</v>
      </c>
      <c r="E884" s="4">
        <v>215990</v>
      </c>
      <c r="F884" s="2" t="s">
        <v>2</v>
      </c>
      <c r="G884" s="2" t="str">
        <f t="shared" si="71"/>
        <v>https://www.oreht.ru/modules.php?name=orehtPriceLS&amp;op=Search&amp;page=1&amp;stext=215990</v>
      </c>
      <c r="I884">
        <v>215990</v>
      </c>
      <c r="J884" t="s">
        <v>2</v>
      </c>
      <c r="K884" t="s">
        <v>2581</v>
      </c>
      <c r="L884" t="s">
        <v>2582</v>
      </c>
      <c r="M884" t="s">
        <v>2583</v>
      </c>
    </row>
    <row r="885" spans="1:13" hidden="1" x14ac:dyDescent="0.25">
      <c r="A885" s="24">
        <f t="shared" si="72"/>
        <v>20</v>
      </c>
      <c r="B885" s="24">
        <v>12</v>
      </c>
      <c r="C885" s="24">
        <v>104.4</v>
      </c>
      <c r="E885" s="4">
        <v>237562</v>
      </c>
      <c r="F885" s="2" t="s">
        <v>2</v>
      </c>
      <c r="G885" s="2" t="str">
        <f t="shared" si="71"/>
        <v>https://www.oreht.ru/modules.php?name=orehtPriceLS&amp;op=Search&amp;page=1&amp;stext=237562</v>
      </c>
      <c r="I885">
        <v>237562</v>
      </c>
      <c r="J885" t="s">
        <v>2</v>
      </c>
      <c r="K885" t="s">
        <v>2584</v>
      </c>
      <c r="L885" t="s">
        <v>2585</v>
      </c>
      <c r="M885" t="s">
        <v>2580</v>
      </c>
    </row>
    <row r="886" spans="1:13" hidden="1" x14ac:dyDescent="0.25">
      <c r="A886" s="24">
        <f t="shared" si="72"/>
        <v>20</v>
      </c>
      <c r="B886" s="24">
        <v>12</v>
      </c>
      <c r="C886" s="24">
        <v>104.4</v>
      </c>
      <c r="E886" s="4">
        <v>237549</v>
      </c>
      <c r="F886" s="2" t="s">
        <v>2</v>
      </c>
      <c r="G886" s="2" t="str">
        <f t="shared" si="71"/>
        <v>https://www.oreht.ru/modules.php?name=orehtPriceLS&amp;op=Search&amp;page=1&amp;stext=237549</v>
      </c>
      <c r="I886">
        <v>237549</v>
      </c>
      <c r="J886" t="s">
        <v>2</v>
      </c>
      <c r="K886" t="s">
        <v>2586</v>
      </c>
      <c r="L886" t="s">
        <v>2587</v>
      </c>
      <c r="M886" t="s">
        <v>2580</v>
      </c>
    </row>
    <row r="887" spans="1:13" x14ac:dyDescent="0.25">
      <c r="A887" s="24">
        <f t="shared" si="72"/>
        <v>20</v>
      </c>
      <c r="B887" s="24">
        <v>10</v>
      </c>
      <c r="C887" s="24">
        <v>111.6</v>
      </c>
      <c r="E887" s="4">
        <v>423644</v>
      </c>
      <c r="F887" s="2" t="s">
        <v>2</v>
      </c>
      <c r="G887" s="2" t="str">
        <f t="shared" si="71"/>
        <v>https://www.oreht.ru/modules.php?name=orehtPriceLS&amp;op=Search&amp;page=1&amp;stext=423644</v>
      </c>
      <c r="I887">
        <v>423644</v>
      </c>
      <c r="J887" t="s">
        <v>2</v>
      </c>
      <c r="K887" t="s">
        <v>2588</v>
      </c>
      <c r="L887" t="s">
        <v>2589</v>
      </c>
      <c r="M887" t="s">
        <v>649</v>
      </c>
    </row>
    <row r="888" spans="1:13" x14ac:dyDescent="0.25">
      <c r="A888" s="24">
        <f t="shared" si="72"/>
        <v>20</v>
      </c>
      <c r="B888" s="24">
        <v>12</v>
      </c>
      <c r="C888" s="24">
        <v>115.38</v>
      </c>
      <c r="E888" s="4">
        <v>342489</v>
      </c>
      <c r="F888" s="2" t="s">
        <v>2</v>
      </c>
      <c r="G888" s="2" t="str">
        <f t="shared" si="71"/>
        <v>https://www.oreht.ru/modules.php?name=orehtPriceLS&amp;op=Search&amp;page=1&amp;stext=342489</v>
      </c>
      <c r="I888">
        <v>342489</v>
      </c>
      <c r="J888" t="s">
        <v>2</v>
      </c>
      <c r="K888" t="s">
        <v>2590</v>
      </c>
      <c r="L888" t="s">
        <v>2591</v>
      </c>
      <c r="M888" t="s">
        <v>649</v>
      </c>
    </row>
    <row r="889" spans="1:13" x14ac:dyDescent="0.25">
      <c r="A889" s="24">
        <f t="shared" si="72"/>
        <v>20</v>
      </c>
      <c r="B889" s="24">
        <v>12</v>
      </c>
      <c r="C889" s="24">
        <v>89.55</v>
      </c>
      <c r="E889" s="4">
        <v>397285</v>
      </c>
      <c r="F889" s="2" t="s">
        <v>2</v>
      </c>
      <c r="G889" s="2" t="str">
        <f t="shared" si="71"/>
        <v>https://www.oreht.ru/modules.php?name=orehtPriceLS&amp;op=Search&amp;page=1&amp;stext=397285</v>
      </c>
      <c r="I889">
        <v>397285</v>
      </c>
      <c r="J889" t="s">
        <v>2</v>
      </c>
      <c r="K889" t="s">
        <v>2592</v>
      </c>
      <c r="L889" t="s">
        <v>2593</v>
      </c>
      <c r="M889" t="s">
        <v>649</v>
      </c>
    </row>
    <row r="890" spans="1:13" x14ac:dyDescent="0.25">
      <c r="A890" s="24">
        <f t="shared" si="72"/>
        <v>20</v>
      </c>
      <c r="B890" s="24">
        <v>12</v>
      </c>
      <c r="C890" s="24">
        <v>73.150000000000006</v>
      </c>
      <c r="E890" s="4">
        <v>401149</v>
      </c>
      <c r="F890" s="2" t="s">
        <v>2</v>
      </c>
      <c r="G890" s="2" t="str">
        <f t="shared" si="71"/>
        <v>https://www.oreht.ru/modules.php?name=orehtPriceLS&amp;op=Search&amp;page=1&amp;stext=401149</v>
      </c>
      <c r="I890">
        <v>401149</v>
      </c>
      <c r="J890" t="s">
        <v>2</v>
      </c>
      <c r="K890" t="s">
        <v>2594</v>
      </c>
      <c r="L890" t="s">
        <v>2595</v>
      </c>
      <c r="M890" t="s">
        <v>649</v>
      </c>
    </row>
    <row r="891" spans="1:13" hidden="1" x14ac:dyDescent="0.25">
      <c r="A891" s="24">
        <f t="shared" si="72"/>
        <v>20</v>
      </c>
      <c r="B891" s="24">
        <v>10</v>
      </c>
      <c r="C891" s="24">
        <v>110.22</v>
      </c>
      <c r="E891" s="4">
        <v>204783</v>
      </c>
      <c r="F891" s="2" t="s">
        <v>2</v>
      </c>
      <c r="G891" s="2" t="str">
        <f t="shared" si="71"/>
        <v>https://www.oreht.ru/modules.php?name=orehtPriceLS&amp;op=Search&amp;page=1&amp;stext=204783</v>
      </c>
      <c r="I891">
        <v>204783</v>
      </c>
      <c r="J891" t="s">
        <v>2</v>
      </c>
      <c r="K891" t="s">
        <v>2596</v>
      </c>
      <c r="L891" t="s">
        <v>2597</v>
      </c>
      <c r="M891" t="s">
        <v>2598</v>
      </c>
    </row>
    <row r="892" spans="1:13" x14ac:dyDescent="0.25">
      <c r="A892" s="24">
        <f t="shared" si="72"/>
        <v>20</v>
      </c>
      <c r="B892" s="24">
        <v>11</v>
      </c>
      <c r="C892" s="24">
        <v>94.6</v>
      </c>
      <c r="E892" s="4">
        <v>371303</v>
      </c>
      <c r="F892" s="2" t="s">
        <v>2</v>
      </c>
      <c r="G892" s="2" t="str">
        <f t="shared" si="71"/>
        <v>https://www.oreht.ru/modules.php?name=orehtPriceLS&amp;op=Search&amp;page=1&amp;stext=371303</v>
      </c>
      <c r="I892">
        <v>371303</v>
      </c>
      <c r="J892" t="s">
        <v>2</v>
      </c>
      <c r="K892" t="s">
        <v>2599</v>
      </c>
      <c r="L892" t="s">
        <v>2600</v>
      </c>
      <c r="M892" t="s">
        <v>649</v>
      </c>
    </row>
    <row r="893" spans="1:13" hidden="1" x14ac:dyDescent="0.25">
      <c r="A893" s="24">
        <f t="shared" si="72"/>
        <v>20</v>
      </c>
      <c r="B893" s="24">
        <v>12</v>
      </c>
      <c r="C893" s="24">
        <v>87.4</v>
      </c>
      <c r="E893" s="4">
        <v>353969</v>
      </c>
      <c r="F893" s="2" t="s">
        <v>2</v>
      </c>
      <c r="G893" s="2" t="str">
        <f t="shared" si="71"/>
        <v>https://www.oreht.ru/modules.php?name=orehtPriceLS&amp;op=Search&amp;page=1&amp;stext=353969</v>
      </c>
      <c r="I893">
        <v>353969</v>
      </c>
      <c r="J893" t="s">
        <v>2</v>
      </c>
      <c r="K893" t="s">
        <v>2601</v>
      </c>
      <c r="L893" t="s">
        <v>2602</v>
      </c>
      <c r="M893" t="s">
        <v>2603</v>
      </c>
    </row>
    <row r="894" spans="1:13" x14ac:dyDescent="0.25">
      <c r="A894" s="24">
        <f t="shared" si="72"/>
        <v>20</v>
      </c>
      <c r="B894" s="24">
        <v>12</v>
      </c>
      <c r="C894" s="24">
        <v>106.38</v>
      </c>
      <c r="E894" s="4">
        <v>421131</v>
      </c>
      <c r="F894" s="2" t="s">
        <v>2</v>
      </c>
      <c r="G894" s="2" t="str">
        <f t="shared" si="71"/>
        <v>https://www.oreht.ru/modules.php?name=orehtPriceLS&amp;op=Search&amp;page=1&amp;stext=421131</v>
      </c>
      <c r="I894">
        <v>421131</v>
      </c>
      <c r="J894" t="s">
        <v>2</v>
      </c>
      <c r="K894" t="s">
        <v>2604</v>
      </c>
      <c r="L894" t="s">
        <v>2605</v>
      </c>
      <c r="M894" t="s">
        <v>649</v>
      </c>
    </row>
    <row r="895" spans="1:13" hidden="1" x14ac:dyDescent="0.25">
      <c r="A895" s="24">
        <f t="shared" si="72"/>
        <v>20</v>
      </c>
      <c r="B895" s="24">
        <v>10</v>
      </c>
      <c r="C895" s="24">
        <v>111.9</v>
      </c>
      <c r="E895" s="4">
        <v>407547</v>
      </c>
      <c r="F895" s="2" t="s">
        <v>2</v>
      </c>
      <c r="G895" s="2" t="str">
        <f t="shared" si="71"/>
        <v>https://www.oreht.ru/modules.php?name=orehtPriceLS&amp;op=Search&amp;page=1&amp;stext=407547</v>
      </c>
      <c r="I895">
        <v>407547</v>
      </c>
      <c r="J895" t="s">
        <v>2</v>
      </c>
      <c r="K895" t="s">
        <v>2606</v>
      </c>
      <c r="L895" t="s">
        <v>2607</v>
      </c>
      <c r="M895" t="s">
        <v>2608</v>
      </c>
    </row>
    <row r="896" spans="1:13" hidden="1" x14ac:dyDescent="0.25">
      <c r="A896" s="24">
        <f t="shared" si="72"/>
        <v>20</v>
      </c>
      <c r="B896" s="24">
        <v>12</v>
      </c>
      <c r="C896" s="24">
        <v>107.64</v>
      </c>
      <c r="E896" s="4">
        <v>184041</v>
      </c>
      <c r="F896" s="2" t="s">
        <v>2</v>
      </c>
      <c r="G896" s="2" t="str">
        <f t="shared" si="71"/>
        <v>https://www.oreht.ru/modules.php?name=orehtPriceLS&amp;op=Search&amp;page=1&amp;stext=184041</v>
      </c>
      <c r="I896">
        <v>184041</v>
      </c>
      <c r="J896" t="s">
        <v>2</v>
      </c>
      <c r="K896" t="s">
        <v>2609</v>
      </c>
      <c r="L896" t="s">
        <v>2610</v>
      </c>
      <c r="M896" t="s">
        <v>2611</v>
      </c>
    </row>
    <row r="897" spans="1:13" hidden="1" x14ac:dyDescent="0.25">
      <c r="A897" s="24">
        <f t="shared" si="72"/>
        <v>20</v>
      </c>
      <c r="B897" s="24">
        <v>12</v>
      </c>
      <c r="C897" s="24">
        <v>102.6</v>
      </c>
      <c r="E897" s="4">
        <v>405677</v>
      </c>
      <c r="F897" s="2" t="s">
        <v>2</v>
      </c>
      <c r="G897" s="2" t="str">
        <f t="shared" si="71"/>
        <v>https://www.oreht.ru/modules.php?name=orehtPriceLS&amp;op=Search&amp;page=1&amp;stext=405677</v>
      </c>
      <c r="I897">
        <v>405677</v>
      </c>
      <c r="J897" t="s">
        <v>2</v>
      </c>
      <c r="K897" t="s">
        <v>2612</v>
      </c>
      <c r="L897" t="s">
        <v>2613</v>
      </c>
      <c r="M897" t="s">
        <v>2614</v>
      </c>
    </row>
    <row r="898" spans="1:13" hidden="1" x14ac:dyDescent="0.25">
      <c r="A898" s="24">
        <f t="shared" si="72"/>
        <v>20</v>
      </c>
      <c r="B898" s="24">
        <v>12</v>
      </c>
      <c r="C898" s="24">
        <v>185</v>
      </c>
      <c r="E898" s="4">
        <v>400234</v>
      </c>
      <c r="F898" s="2" t="s">
        <v>2</v>
      </c>
      <c r="G898" s="2" t="str">
        <f t="shared" ref="G898:G961" si="73">HYPERLINK(F898&amp;E898)</f>
        <v>https://www.oreht.ru/modules.php?name=orehtPriceLS&amp;op=Search&amp;page=1&amp;stext=400234</v>
      </c>
      <c r="I898">
        <v>400234</v>
      </c>
      <c r="J898" t="s">
        <v>2</v>
      </c>
      <c r="K898" t="s">
        <v>2615</v>
      </c>
      <c r="L898" t="s">
        <v>2616</v>
      </c>
      <c r="M898" t="s">
        <v>2617</v>
      </c>
    </row>
    <row r="899" spans="1:13" hidden="1" x14ac:dyDescent="0.25">
      <c r="A899" s="24">
        <f t="shared" si="72"/>
        <v>20</v>
      </c>
      <c r="B899" s="24">
        <v>12</v>
      </c>
      <c r="C899" s="24">
        <v>107.34</v>
      </c>
      <c r="E899" s="4">
        <v>168671</v>
      </c>
      <c r="F899" s="2" t="s">
        <v>2</v>
      </c>
      <c r="G899" s="2" t="str">
        <f t="shared" si="73"/>
        <v>https://www.oreht.ru/modules.php?name=orehtPriceLS&amp;op=Search&amp;page=1&amp;stext=168671</v>
      </c>
      <c r="I899">
        <v>168671</v>
      </c>
      <c r="J899" t="s">
        <v>2</v>
      </c>
      <c r="K899" t="s">
        <v>2618</v>
      </c>
      <c r="L899" t="s">
        <v>2619</v>
      </c>
      <c r="M899" t="s">
        <v>2620</v>
      </c>
    </row>
    <row r="900" spans="1:13" x14ac:dyDescent="0.25">
      <c r="A900" s="24">
        <f t="shared" si="72"/>
        <v>20</v>
      </c>
      <c r="B900" s="24">
        <v>12</v>
      </c>
      <c r="C900" s="24">
        <v>111.24</v>
      </c>
      <c r="E900" s="4">
        <v>310787</v>
      </c>
      <c r="F900" s="2" t="s">
        <v>2</v>
      </c>
      <c r="G900" s="2" t="str">
        <f t="shared" si="73"/>
        <v>https://www.oreht.ru/modules.php?name=orehtPriceLS&amp;op=Search&amp;page=1&amp;stext=310787</v>
      </c>
      <c r="I900">
        <v>310787</v>
      </c>
      <c r="J900" t="s">
        <v>2</v>
      </c>
      <c r="K900" t="s">
        <v>2621</v>
      </c>
      <c r="L900" t="s">
        <v>2622</v>
      </c>
      <c r="M900" t="s">
        <v>649</v>
      </c>
    </row>
    <row r="901" spans="1:13" x14ac:dyDescent="0.25">
      <c r="A901" s="24">
        <f t="shared" ref="A901:A964" si="74">IF(W901*0.05&gt;=250,250,IF(W901*0.05&gt;=20,IF(W901*0.05&lt;20,20,W901*0.05),20))</f>
        <v>20</v>
      </c>
      <c r="B901" s="24">
        <v>12</v>
      </c>
      <c r="C901" s="24">
        <v>120</v>
      </c>
      <c r="E901" s="4">
        <v>374400</v>
      </c>
      <c r="F901" s="2" t="s">
        <v>2</v>
      </c>
      <c r="G901" s="2" t="str">
        <f t="shared" si="73"/>
        <v>https://www.oreht.ru/modules.php?name=orehtPriceLS&amp;op=Search&amp;page=1&amp;stext=374400</v>
      </c>
      <c r="I901">
        <v>374400</v>
      </c>
      <c r="J901" t="s">
        <v>2</v>
      </c>
      <c r="K901" t="s">
        <v>2623</v>
      </c>
      <c r="L901" t="s">
        <v>2624</v>
      </c>
      <c r="M901" t="s">
        <v>649</v>
      </c>
    </row>
    <row r="902" spans="1:13" hidden="1" x14ac:dyDescent="0.25">
      <c r="A902" s="24">
        <f t="shared" si="74"/>
        <v>20</v>
      </c>
      <c r="B902" s="24">
        <v>12</v>
      </c>
      <c r="C902" s="24">
        <v>110.4</v>
      </c>
      <c r="E902" s="4">
        <v>370296</v>
      </c>
      <c r="F902" s="2" t="s">
        <v>2</v>
      </c>
      <c r="G902" s="2" t="str">
        <f t="shared" si="73"/>
        <v>https://www.oreht.ru/modules.php?name=orehtPriceLS&amp;op=Search&amp;page=1&amp;stext=370296</v>
      </c>
      <c r="I902">
        <v>370296</v>
      </c>
      <c r="J902" t="s">
        <v>2</v>
      </c>
      <c r="K902" t="s">
        <v>2625</v>
      </c>
      <c r="L902" t="s">
        <v>2626</v>
      </c>
      <c r="M902" t="s">
        <v>2627</v>
      </c>
    </row>
    <row r="903" spans="1:13" hidden="1" x14ac:dyDescent="0.25">
      <c r="A903" s="24">
        <f t="shared" si="74"/>
        <v>20</v>
      </c>
      <c r="B903" s="24">
        <v>12</v>
      </c>
      <c r="C903" s="24">
        <v>103.56</v>
      </c>
      <c r="E903" s="4">
        <v>158939</v>
      </c>
      <c r="F903" s="2" t="s">
        <v>2</v>
      </c>
      <c r="G903" s="2" t="str">
        <f t="shared" si="73"/>
        <v>https://www.oreht.ru/modules.php?name=orehtPriceLS&amp;op=Search&amp;page=1&amp;stext=158939</v>
      </c>
      <c r="I903">
        <v>158939</v>
      </c>
      <c r="J903" t="s">
        <v>2</v>
      </c>
      <c r="K903" t="s">
        <v>2628</v>
      </c>
      <c r="L903" t="s">
        <v>2629</v>
      </c>
      <c r="M903" t="s">
        <v>2630</v>
      </c>
    </row>
    <row r="904" spans="1:13" hidden="1" x14ac:dyDescent="0.25">
      <c r="A904" s="24">
        <f t="shared" si="74"/>
        <v>20</v>
      </c>
      <c r="B904" s="24">
        <v>12</v>
      </c>
      <c r="C904" s="24">
        <v>104.58</v>
      </c>
      <c r="E904" s="4">
        <v>402607</v>
      </c>
      <c r="F904" s="2" t="s">
        <v>2</v>
      </c>
      <c r="G904" s="2" t="str">
        <f t="shared" si="73"/>
        <v>https://www.oreht.ru/modules.php?name=orehtPriceLS&amp;op=Search&amp;page=1&amp;stext=402607</v>
      </c>
      <c r="I904">
        <v>402607</v>
      </c>
      <c r="J904" t="s">
        <v>2</v>
      </c>
      <c r="K904" t="s">
        <v>2631</v>
      </c>
      <c r="L904" t="s">
        <v>2632</v>
      </c>
      <c r="M904" t="s">
        <v>2633</v>
      </c>
    </row>
    <row r="905" spans="1:13" hidden="1" x14ac:dyDescent="0.25">
      <c r="A905" s="24">
        <f t="shared" si="74"/>
        <v>20</v>
      </c>
      <c r="B905" s="24">
        <v>12</v>
      </c>
      <c r="C905" s="24">
        <v>124.98</v>
      </c>
      <c r="E905" s="4">
        <v>375096</v>
      </c>
      <c r="F905" s="2" t="s">
        <v>2</v>
      </c>
      <c r="G905" s="2" t="str">
        <f t="shared" si="73"/>
        <v>https://www.oreht.ru/modules.php?name=orehtPriceLS&amp;op=Search&amp;page=1&amp;stext=375096</v>
      </c>
      <c r="I905">
        <v>375096</v>
      </c>
      <c r="J905" t="s">
        <v>2</v>
      </c>
      <c r="K905" t="s">
        <v>2634</v>
      </c>
      <c r="L905" t="s">
        <v>2635</v>
      </c>
      <c r="M905" t="s">
        <v>2636</v>
      </c>
    </row>
    <row r="906" spans="1:13" hidden="1" x14ac:dyDescent="0.25">
      <c r="A906" s="24">
        <f t="shared" si="74"/>
        <v>20</v>
      </c>
      <c r="B906" s="24">
        <v>12</v>
      </c>
      <c r="C906" s="24">
        <v>160</v>
      </c>
      <c r="E906" s="4">
        <v>306459</v>
      </c>
      <c r="F906" s="2" t="s">
        <v>2</v>
      </c>
      <c r="G906" s="2" t="str">
        <f t="shared" si="73"/>
        <v>https://www.oreht.ru/modules.php?name=orehtPriceLS&amp;op=Search&amp;page=1&amp;stext=306459</v>
      </c>
      <c r="I906">
        <v>306459</v>
      </c>
      <c r="J906" t="s">
        <v>2</v>
      </c>
      <c r="K906" t="s">
        <v>2637</v>
      </c>
      <c r="L906" t="s">
        <v>2638</v>
      </c>
      <c r="M906" t="s">
        <v>2639</v>
      </c>
    </row>
    <row r="907" spans="1:13" x14ac:dyDescent="0.25">
      <c r="A907" s="24">
        <f t="shared" si="74"/>
        <v>20</v>
      </c>
      <c r="B907" s="24">
        <v>12</v>
      </c>
      <c r="C907" s="24">
        <v>120.42</v>
      </c>
      <c r="E907" s="4">
        <v>299484</v>
      </c>
      <c r="F907" s="2" t="s">
        <v>2</v>
      </c>
      <c r="G907" s="2" t="str">
        <f t="shared" si="73"/>
        <v>https://www.oreht.ru/modules.php?name=orehtPriceLS&amp;op=Search&amp;page=1&amp;stext=299484</v>
      </c>
      <c r="I907">
        <v>299484</v>
      </c>
      <c r="J907" t="s">
        <v>2</v>
      </c>
      <c r="K907" t="s">
        <v>2640</v>
      </c>
      <c r="L907" t="s">
        <v>2641</v>
      </c>
      <c r="M907" t="s">
        <v>649</v>
      </c>
    </row>
    <row r="908" spans="1:13" x14ac:dyDescent="0.25">
      <c r="A908" s="24">
        <f t="shared" si="74"/>
        <v>20</v>
      </c>
      <c r="B908" s="24">
        <v>12</v>
      </c>
      <c r="C908" s="24">
        <v>114</v>
      </c>
      <c r="E908" s="4">
        <v>373765</v>
      </c>
      <c r="F908" s="2" t="s">
        <v>2</v>
      </c>
      <c r="G908" s="2" t="str">
        <f t="shared" si="73"/>
        <v>https://www.oreht.ru/modules.php?name=orehtPriceLS&amp;op=Search&amp;page=1&amp;stext=373765</v>
      </c>
      <c r="I908">
        <v>373765</v>
      </c>
      <c r="J908" t="s">
        <v>2</v>
      </c>
      <c r="K908" t="s">
        <v>2642</v>
      </c>
      <c r="L908" t="s">
        <v>2643</v>
      </c>
      <c r="M908" t="s">
        <v>649</v>
      </c>
    </row>
    <row r="909" spans="1:13" x14ac:dyDescent="0.25">
      <c r="A909" s="24">
        <f t="shared" si="74"/>
        <v>20</v>
      </c>
      <c r="B909" s="24">
        <v>12</v>
      </c>
      <c r="C909" s="24">
        <v>121.02</v>
      </c>
      <c r="E909" s="4">
        <v>108286</v>
      </c>
      <c r="F909" s="2" t="s">
        <v>2</v>
      </c>
      <c r="G909" s="2" t="str">
        <f t="shared" si="73"/>
        <v>https://www.oreht.ru/modules.php?name=orehtPriceLS&amp;op=Search&amp;page=1&amp;stext=108286</v>
      </c>
      <c r="I909">
        <v>108286</v>
      </c>
      <c r="J909" t="s">
        <v>2</v>
      </c>
      <c r="K909" t="s">
        <v>2644</v>
      </c>
      <c r="L909" t="s">
        <v>2645</v>
      </c>
      <c r="M909" t="s">
        <v>649</v>
      </c>
    </row>
    <row r="910" spans="1:13" x14ac:dyDescent="0.25">
      <c r="A910" s="24">
        <f t="shared" si="74"/>
        <v>20</v>
      </c>
      <c r="B910" s="24">
        <v>12</v>
      </c>
      <c r="C910" s="24">
        <v>121.26</v>
      </c>
      <c r="E910" s="4">
        <v>342491</v>
      </c>
      <c r="F910" s="2" t="s">
        <v>2</v>
      </c>
      <c r="G910" s="2" t="str">
        <f t="shared" si="73"/>
        <v>https://www.oreht.ru/modules.php?name=orehtPriceLS&amp;op=Search&amp;page=1&amp;stext=342491</v>
      </c>
      <c r="I910">
        <v>342491</v>
      </c>
      <c r="J910" t="s">
        <v>2</v>
      </c>
      <c r="K910" t="s">
        <v>2646</v>
      </c>
      <c r="L910" t="s">
        <v>2647</v>
      </c>
      <c r="M910" t="s">
        <v>649</v>
      </c>
    </row>
    <row r="911" spans="1:13" x14ac:dyDescent="0.25">
      <c r="A911" s="24">
        <f t="shared" si="74"/>
        <v>20</v>
      </c>
      <c r="B911" s="24">
        <v>12</v>
      </c>
      <c r="C911" s="24">
        <v>121.62</v>
      </c>
      <c r="E911" s="4">
        <v>342493</v>
      </c>
      <c r="F911" s="2" t="s">
        <v>2</v>
      </c>
      <c r="G911" s="2" t="str">
        <f t="shared" si="73"/>
        <v>https://www.oreht.ru/modules.php?name=orehtPriceLS&amp;op=Search&amp;page=1&amp;stext=342493</v>
      </c>
      <c r="I911">
        <v>342493</v>
      </c>
      <c r="J911" t="s">
        <v>2</v>
      </c>
      <c r="K911" t="s">
        <v>2648</v>
      </c>
      <c r="L911" t="s">
        <v>2649</v>
      </c>
      <c r="M911" t="s">
        <v>649</v>
      </c>
    </row>
    <row r="912" spans="1:13" hidden="1" x14ac:dyDescent="0.25">
      <c r="A912" s="24">
        <f t="shared" si="74"/>
        <v>20</v>
      </c>
      <c r="B912" s="24">
        <v>12</v>
      </c>
      <c r="C912" s="24">
        <v>113.82</v>
      </c>
      <c r="E912" s="4">
        <v>378265</v>
      </c>
      <c r="F912" s="2" t="s">
        <v>2</v>
      </c>
      <c r="G912" s="2" t="str">
        <f t="shared" si="73"/>
        <v>https://www.oreht.ru/modules.php?name=orehtPriceLS&amp;op=Search&amp;page=1&amp;stext=378265</v>
      </c>
      <c r="I912">
        <v>378265</v>
      </c>
      <c r="J912" t="s">
        <v>2</v>
      </c>
      <c r="K912" t="s">
        <v>2650</v>
      </c>
      <c r="L912" t="s">
        <v>2651</v>
      </c>
      <c r="M912" t="s">
        <v>2652</v>
      </c>
    </row>
    <row r="913" spans="1:13" hidden="1" x14ac:dyDescent="0.25">
      <c r="A913" s="24">
        <f t="shared" si="74"/>
        <v>20</v>
      </c>
      <c r="B913" s="24">
        <v>12</v>
      </c>
      <c r="C913" s="24">
        <v>210</v>
      </c>
      <c r="E913" s="4">
        <v>385038</v>
      </c>
      <c r="F913" s="2" t="s">
        <v>2</v>
      </c>
      <c r="G913" s="2" t="str">
        <f t="shared" si="73"/>
        <v>https://www.oreht.ru/modules.php?name=orehtPriceLS&amp;op=Search&amp;page=1&amp;stext=385038</v>
      </c>
      <c r="I913">
        <v>385038</v>
      </c>
      <c r="J913" t="s">
        <v>2</v>
      </c>
      <c r="K913" t="s">
        <v>2653</v>
      </c>
      <c r="L913" t="s">
        <v>2654</v>
      </c>
      <c r="M913" t="s">
        <v>2655</v>
      </c>
    </row>
    <row r="914" spans="1:13" hidden="1" x14ac:dyDescent="0.25">
      <c r="A914" s="24">
        <f t="shared" si="74"/>
        <v>20</v>
      </c>
      <c r="B914" s="24">
        <v>12</v>
      </c>
      <c r="C914" s="24">
        <v>120</v>
      </c>
      <c r="E914" s="4">
        <v>351771</v>
      </c>
      <c r="F914" s="2" t="s">
        <v>2</v>
      </c>
      <c r="G914" s="2" t="str">
        <f t="shared" si="73"/>
        <v>https://www.oreht.ru/modules.php?name=orehtPriceLS&amp;op=Search&amp;page=1&amp;stext=351771</v>
      </c>
      <c r="I914">
        <v>351771</v>
      </c>
      <c r="J914" t="s">
        <v>2</v>
      </c>
      <c r="K914" t="s">
        <v>2656</v>
      </c>
      <c r="L914" t="s">
        <v>2657</v>
      </c>
      <c r="M914" t="s">
        <v>2658</v>
      </c>
    </row>
    <row r="915" spans="1:13" hidden="1" x14ac:dyDescent="0.25">
      <c r="A915" s="24">
        <f t="shared" si="74"/>
        <v>20</v>
      </c>
      <c r="B915" s="24">
        <v>12</v>
      </c>
      <c r="C915" s="24">
        <v>102.84</v>
      </c>
      <c r="E915" s="4">
        <v>353963</v>
      </c>
      <c r="F915" s="2" t="s">
        <v>2</v>
      </c>
      <c r="G915" s="2" t="str">
        <f t="shared" si="73"/>
        <v>https://www.oreht.ru/modules.php?name=orehtPriceLS&amp;op=Search&amp;page=1&amp;stext=353963</v>
      </c>
      <c r="I915">
        <v>353963</v>
      </c>
      <c r="J915" t="s">
        <v>2</v>
      </c>
      <c r="K915" t="s">
        <v>2659</v>
      </c>
      <c r="L915" t="s">
        <v>2660</v>
      </c>
      <c r="M915" t="s">
        <v>2661</v>
      </c>
    </row>
    <row r="916" spans="1:13" hidden="1" x14ac:dyDescent="0.25">
      <c r="A916" s="24">
        <f t="shared" si="74"/>
        <v>20</v>
      </c>
      <c r="B916" s="24">
        <v>12</v>
      </c>
      <c r="C916" s="24">
        <v>115.44</v>
      </c>
      <c r="E916" s="4">
        <v>124575</v>
      </c>
      <c r="F916" s="2" t="s">
        <v>2</v>
      </c>
      <c r="G916" s="2" t="str">
        <f t="shared" si="73"/>
        <v>https://www.oreht.ru/modules.php?name=orehtPriceLS&amp;op=Search&amp;page=1&amp;stext=124575</v>
      </c>
      <c r="I916">
        <v>124575</v>
      </c>
      <c r="J916" t="s">
        <v>2</v>
      </c>
      <c r="K916" t="s">
        <v>2662</v>
      </c>
      <c r="L916" t="s">
        <v>2663</v>
      </c>
      <c r="M916" t="s">
        <v>2664</v>
      </c>
    </row>
    <row r="917" spans="1:13" hidden="1" x14ac:dyDescent="0.25">
      <c r="A917" s="24">
        <f t="shared" si="74"/>
        <v>20</v>
      </c>
      <c r="B917" s="24">
        <v>12</v>
      </c>
      <c r="C917" s="24">
        <v>110.58</v>
      </c>
      <c r="E917" s="4">
        <v>244881</v>
      </c>
      <c r="F917" s="2" t="s">
        <v>2</v>
      </c>
      <c r="G917" s="2" t="str">
        <f t="shared" si="73"/>
        <v>https://www.oreht.ru/modules.php?name=orehtPriceLS&amp;op=Search&amp;page=1&amp;stext=244881</v>
      </c>
      <c r="I917">
        <v>244881</v>
      </c>
      <c r="J917" t="s">
        <v>2</v>
      </c>
      <c r="K917" t="s">
        <v>2665</v>
      </c>
      <c r="L917" t="s">
        <v>2666</v>
      </c>
      <c r="M917" t="s">
        <v>2667</v>
      </c>
    </row>
    <row r="918" spans="1:13" hidden="1" x14ac:dyDescent="0.25">
      <c r="A918" s="24">
        <f t="shared" si="74"/>
        <v>20</v>
      </c>
      <c r="B918" s="24">
        <v>12</v>
      </c>
      <c r="C918" s="24">
        <v>112.44</v>
      </c>
      <c r="E918" s="4">
        <v>297463</v>
      </c>
      <c r="F918" s="2" t="s">
        <v>2</v>
      </c>
      <c r="G918" s="2" t="str">
        <f t="shared" si="73"/>
        <v>https://www.oreht.ru/modules.php?name=orehtPriceLS&amp;op=Search&amp;page=1&amp;stext=297463</v>
      </c>
      <c r="I918">
        <v>297463</v>
      </c>
      <c r="J918" t="s">
        <v>2</v>
      </c>
      <c r="K918" t="s">
        <v>2668</v>
      </c>
      <c r="L918" t="s">
        <v>2669</v>
      </c>
      <c r="M918" t="s">
        <v>318</v>
      </c>
    </row>
    <row r="919" spans="1:13" hidden="1" x14ac:dyDescent="0.25">
      <c r="A919" s="24">
        <f t="shared" si="74"/>
        <v>20</v>
      </c>
      <c r="B919" s="24">
        <v>12</v>
      </c>
      <c r="C919" s="24">
        <v>115.56</v>
      </c>
      <c r="E919" s="4">
        <v>399070</v>
      </c>
      <c r="F919" s="2" t="s">
        <v>2</v>
      </c>
      <c r="G919" s="2" t="str">
        <f t="shared" si="73"/>
        <v>https://www.oreht.ru/modules.php?name=orehtPriceLS&amp;op=Search&amp;page=1&amp;stext=399070</v>
      </c>
      <c r="I919">
        <v>399070</v>
      </c>
      <c r="J919" t="s">
        <v>2</v>
      </c>
      <c r="K919" t="s">
        <v>2670</v>
      </c>
      <c r="L919" t="s">
        <v>2671</v>
      </c>
      <c r="M919" t="s">
        <v>2658</v>
      </c>
    </row>
    <row r="920" spans="1:13" hidden="1" x14ac:dyDescent="0.25">
      <c r="A920" s="24">
        <f t="shared" si="74"/>
        <v>20</v>
      </c>
      <c r="B920" s="24">
        <v>12</v>
      </c>
      <c r="C920" s="24">
        <v>92.6</v>
      </c>
      <c r="E920" s="4">
        <v>142382</v>
      </c>
      <c r="F920" s="2" t="s">
        <v>2</v>
      </c>
      <c r="G920" s="2" t="str">
        <f t="shared" si="73"/>
        <v>https://www.oreht.ru/modules.php?name=orehtPriceLS&amp;op=Search&amp;page=1&amp;stext=142382</v>
      </c>
      <c r="I920">
        <v>142382</v>
      </c>
      <c r="J920" t="s">
        <v>2</v>
      </c>
      <c r="K920" t="s">
        <v>2672</v>
      </c>
      <c r="L920" t="s">
        <v>2673</v>
      </c>
      <c r="M920" t="s">
        <v>2674</v>
      </c>
    </row>
    <row r="921" spans="1:13" hidden="1" x14ac:dyDescent="0.25">
      <c r="A921" s="24">
        <f t="shared" si="74"/>
        <v>20</v>
      </c>
      <c r="B921" s="24">
        <v>12</v>
      </c>
      <c r="C921" s="24">
        <v>110.88</v>
      </c>
      <c r="E921" s="4">
        <v>424383</v>
      </c>
      <c r="F921" s="2" t="s">
        <v>2</v>
      </c>
      <c r="G921" s="2" t="str">
        <f t="shared" si="73"/>
        <v>https://www.oreht.ru/modules.php?name=orehtPriceLS&amp;op=Search&amp;page=1&amp;stext=424383</v>
      </c>
      <c r="I921">
        <v>424383</v>
      </c>
      <c r="J921" t="s">
        <v>2</v>
      </c>
      <c r="K921" t="s">
        <v>2675</v>
      </c>
      <c r="L921" t="s">
        <v>2676</v>
      </c>
      <c r="M921" t="s">
        <v>2677</v>
      </c>
    </row>
    <row r="922" spans="1:13" hidden="1" x14ac:dyDescent="0.25">
      <c r="A922" s="24">
        <f t="shared" si="74"/>
        <v>20</v>
      </c>
      <c r="B922" s="24">
        <v>12</v>
      </c>
      <c r="C922" s="24">
        <v>185</v>
      </c>
      <c r="E922" s="4">
        <v>400235</v>
      </c>
      <c r="F922" s="2" t="s">
        <v>2</v>
      </c>
      <c r="G922" s="2" t="str">
        <f t="shared" si="73"/>
        <v>https://www.oreht.ru/modules.php?name=orehtPriceLS&amp;op=Search&amp;page=1&amp;stext=400235</v>
      </c>
      <c r="I922">
        <v>400235</v>
      </c>
      <c r="J922" t="s">
        <v>2</v>
      </c>
      <c r="K922" t="s">
        <v>2678</v>
      </c>
      <c r="L922" t="s">
        <v>2679</v>
      </c>
      <c r="M922" t="s">
        <v>2680</v>
      </c>
    </row>
    <row r="923" spans="1:13" hidden="1" x14ac:dyDescent="0.25">
      <c r="A923" s="24">
        <f t="shared" si="74"/>
        <v>20</v>
      </c>
      <c r="B923" s="24">
        <v>12</v>
      </c>
      <c r="C923" s="24">
        <v>115.74</v>
      </c>
      <c r="E923" s="4">
        <v>402608</v>
      </c>
      <c r="F923" s="2" t="s">
        <v>2</v>
      </c>
      <c r="G923" s="2" t="str">
        <f t="shared" si="73"/>
        <v>https://www.oreht.ru/modules.php?name=orehtPriceLS&amp;op=Search&amp;page=1&amp;stext=402608</v>
      </c>
      <c r="I923">
        <v>402608</v>
      </c>
      <c r="J923" t="s">
        <v>2</v>
      </c>
      <c r="K923" t="s">
        <v>2681</v>
      </c>
      <c r="L923" t="s">
        <v>2682</v>
      </c>
      <c r="M923" t="s">
        <v>2683</v>
      </c>
    </row>
    <row r="924" spans="1:13" x14ac:dyDescent="0.25">
      <c r="A924" s="24">
        <f t="shared" si="74"/>
        <v>20</v>
      </c>
      <c r="B924" s="24">
        <v>12</v>
      </c>
      <c r="C924" s="24">
        <v>124.08</v>
      </c>
      <c r="E924" s="4">
        <v>330702</v>
      </c>
      <c r="F924" s="2" t="s">
        <v>2</v>
      </c>
      <c r="G924" s="2" t="str">
        <f t="shared" si="73"/>
        <v>https://www.oreht.ru/modules.php?name=orehtPriceLS&amp;op=Search&amp;page=1&amp;stext=330702</v>
      </c>
      <c r="I924">
        <v>330702</v>
      </c>
      <c r="J924" t="s">
        <v>2</v>
      </c>
      <c r="K924" t="s">
        <v>2684</v>
      </c>
      <c r="L924" t="s">
        <v>2685</v>
      </c>
      <c r="M924" t="s">
        <v>649</v>
      </c>
    </row>
    <row r="925" spans="1:13" hidden="1" x14ac:dyDescent="0.25">
      <c r="A925" s="24">
        <f t="shared" si="74"/>
        <v>20</v>
      </c>
      <c r="B925" s="24">
        <v>12</v>
      </c>
      <c r="C925" s="24">
        <v>95.1</v>
      </c>
      <c r="E925" s="4">
        <v>428189</v>
      </c>
      <c r="F925" s="2" t="s">
        <v>2</v>
      </c>
      <c r="G925" s="2" t="str">
        <f t="shared" si="73"/>
        <v>https://www.oreht.ru/modules.php?name=orehtPriceLS&amp;op=Search&amp;page=1&amp;stext=428189</v>
      </c>
      <c r="I925">
        <v>428189</v>
      </c>
      <c r="J925" t="s">
        <v>2</v>
      </c>
      <c r="K925" t="s">
        <v>2686</v>
      </c>
      <c r="L925" t="s">
        <v>2687</v>
      </c>
      <c r="M925" t="s">
        <v>2688</v>
      </c>
    </row>
    <row r="926" spans="1:13" hidden="1" x14ac:dyDescent="0.25">
      <c r="A926" s="24">
        <f t="shared" si="74"/>
        <v>20</v>
      </c>
      <c r="B926" s="24">
        <v>12</v>
      </c>
      <c r="C926" s="24">
        <v>112.86</v>
      </c>
      <c r="E926" s="4">
        <v>398743</v>
      </c>
      <c r="F926" s="2" t="s">
        <v>2</v>
      </c>
      <c r="G926" s="2" t="str">
        <f t="shared" si="73"/>
        <v>https://www.oreht.ru/modules.php?name=orehtPriceLS&amp;op=Search&amp;page=1&amp;stext=398743</v>
      </c>
      <c r="I926">
        <v>398743</v>
      </c>
      <c r="J926" t="s">
        <v>2</v>
      </c>
      <c r="K926" t="s">
        <v>2689</v>
      </c>
      <c r="L926" t="s">
        <v>2690</v>
      </c>
      <c r="M926" t="s">
        <v>2691</v>
      </c>
    </row>
    <row r="927" spans="1:13" hidden="1" x14ac:dyDescent="0.25">
      <c r="A927" s="24">
        <f t="shared" si="74"/>
        <v>20</v>
      </c>
      <c r="B927" s="24">
        <v>12</v>
      </c>
      <c r="C927" s="24">
        <v>113.16</v>
      </c>
      <c r="E927" s="4">
        <v>258472</v>
      </c>
      <c r="F927" s="2" t="s">
        <v>2</v>
      </c>
      <c r="G927" s="2" t="str">
        <f t="shared" si="73"/>
        <v>https://www.oreht.ru/modules.php?name=orehtPriceLS&amp;op=Search&amp;page=1&amp;stext=258472</v>
      </c>
      <c r="I927">
        <v>258472</v>
      </c>
      <c r="J927" t="s">
        <v>2</v>
      </c>
      <c r="K927" t="s">
        <v>2692</v>
      </c>
      <c r="L927" t="s">
        <v>2693</v>
      </c>
      <c r="M927" t="s">
        <v>2694</v>
      </c>
    </row>
    <row r="928" spans="1:13" hidden="1" x14ac:dyDescent="0.25">
      <c r="A928" s="24">
        <f t="shared" si="74"/>
        <v>20</v>
      </c>
      <c r="B928" s="24">
        <v>12</v>
      </c>
      <c r="C928" s="24">
        <v>113.52</v>
      </c>
      <c r="E928" s="4">
        <v>286094</v>
      </c>
      <c r="F928" s="2" t="s">
        <v>2</v>
      </c>
      <c r="G928" s="2" t="str">
        <f t="shared" si="73"/>
        <v>https://www.oreht.ru/modules.php?name=orehtPriceLS&amp;op=Search&amp;page=1&amp;stext=286094</v>
      </c>
      <c r="I928">
        <v>286094</v>
      </c>
      <c r="J928" t="s">
        <v>2</v>
      </c>
      <c r="K928" t="s">
        <v>2695</v>
      </c>
      <c r="L928" t="s">
        <v>2696</v>
      </c>
      <c r="M928" t="s">
        <v>2697</v>
      </c>
    </row>
    <row r="929" spans="1:13" hidden="1" x14ac:dyDescent="0.25">
      <c r="A929" s="24">
        <f t="shared" si="74"/>
        <v>20</v>
      </c>
      <c r="B929" s="24">
        <v>12</v>
      </c>
      <c r="C929" s="24">
        <v>121.02</v>
      </c>
      <c r="E929" s="4">
        <v>327624</v>
      </c>
      <c r="F929" s="2" t="s">
        <v>2</v>
      </c>
      <c r="G929" s="2" t="str">
        <f t="shared" si="73"/>
        <v>https://www.oreht.ru/modules.php?name=orehtPriceLS&amp;op=Search&amp;page=1&amp;stext=327624</v>
      </c>
      <c r="I929">
        <v>327624</v>
      </c>
      <c r="J929" t="s">
        <v>2</v>
      </c>
      <c r="K929" t="s">
        <v>2698</v>
      </c>
      <c r="L929" t="s">
        <v>2699</v>
      </c>
      <c r="M929" t="s">
        <v>2700</v>
      </c>
    </row>
    <row r="930" spans="1:13" x14ac:dyDescent="0.25">
      <c r="A930" s="24">
        <f t="shared" si="74"/>
        <v>20</v>
      </c>
      <c r="B930" s="24">
        <v>12</v>
      </c>
      <c r="C930" s="24">
        <v>113.88</v>
      </c>
      <c r="E930" s="4">
        <v>400242</v>
      </c>
      <c r="F930" s="2" t="s">
        <v>2</v>
      </c>
      <c r="G930" s="2" t="str">
        <f t="shared" si="73"/>
        <v>https://www.oreht.ru/modules.php?name=orehtPriceLS&amp;op=Search&amp;page=1&amp;stext=400242</v>
      </c>
      <c r="I930">
        <v>400242</v>
      </c>
      <c r="J930" t="s">
        <v>2</v>
      </c>
      <c r="K930" t="s">
        <v>2701</v>
      </c>
      <c r="L930" t="s">
        <v>2702</v>
      </c>
      <c r="M930" t="s">
        <v>649</v>
      </c>
    </row>
    <row r="931" spans="1:13" hidden="1" x14ac:dyDescent="0.25">
      <c r="A931" s="24">
        <f t="shared" si="74"/>
        <v>20</v>
      </c>
      <c r="B931" s="24">
        <v>12</v>
      </c>
      <c r="C931" s="24">
        <v>119.64</v>
      </c>
      <c r="E931" s="4">
        <v>385064</v>
      </c>
      <c r="F931" s="2" t="s">
        <v>2</v>
      </c>
      <c r="G931" s="2" t="str">
        <f t="shared" si="73"/>
        <v>https://www.oreht.ru/modules.php?name=orehtPriceLS&amp;op=Search&amp;page=1&amp;stext=385064</v>
      </c>
      <c r="I931">
        <v>385064</v>
      </c>
      <c r="J931" t="s">
        <v>2</v>
      </c>
      <c r="K931" t="s">
        <v>2703</v>
      </c>
      <c r="L931" t="s">
        <v>2704</v>
      </c>
      <c r="M931" t="s">
        <v>2705</v>
      </c>
    </row>
    <row r="932" spans="1:13" hidden="1" x14ac:dyDescent="0.25">
      <c r="A932" s="24">
        <f t="shared" si="74"/>
        <v>20</v>
      </c>
      <c r="B932" s="24">
        <v>12</v>
      </c>
      <c r="C932" s="24">
        <v>113.88</v>
      </c>
      <c r="E932" s="4">
        <v>230256</v>
      </c>
      <c r="F932" s="2" t="s">
        <v>2</v>
      </c>
      <c r="G932" s="2" t="str">
        <f t="shared" si="73"/>
        <v>https://www.oreht.ru/modules.php?name=orehtPriceLS&amp;op=Search&amp;page=1&amp;stext=230256</v>
      </c>
      <c r="I932">
        <v>230256</v>
      </c>
      <c r="J932" t="s">
        <v>2</v>
      </c>
      <c r="K932" t="s">
        <v>2706</v>
      </c>
      <c r="L932" t="s">
        <v>2707</v>
      </c>
      <c r="M932" t="s">
        <v>2708</v>
      </c>
    </row>
    <row r="933" spans="1:13" x14ac:dyDescent="0.25">
      <c r="A933" s="24">
        <f t="shared" si="74"/>
        <v>20</v>
      </c>
      <c r="B933" s="24">
        <v>12</v>
      </c>
      <c r="C933" s="24">
        <v>120.12</v>
      </c>
      <c r="E933" s="4">
        <v>405499</v>
      </c>
      <c r="F933" s="2" t="s">
        <v>2</v>
      </c>
      <c r="G933" s="2" t="str">
        <f t="shared" si="73"/>
        <v>https://www.oreht.ru/modules.php?name=orehtPriceLS&amp;op=Search&amp;page=1&amp;stext=405499</v>
      </c>
      <c r="I933">
        <v>405499</v>
      </c>
      <c r="J933" t="s">
        <v>2</v>
      </c>
      <c r="K933" t="s">
        <v>2709</v>
      </c>
      <c r="L933" t="s">
        <v>2710</v>
      </c>
      <c r="M933" t="s">
        <v>649</v>
      </c>
    </row>
    <row r="934" spans="1:13" hidden="1" x14ac:dyDescent="0.25">
      <c r="A934" s="24">
        <f t="shared" si="74"/>
        <v>20</v>
      </c>
      <c r="B934" s="24">
        <v>12</v>
      </c>
      <c r="C934" s="24">
        <v>115.68</v>
      </c>
      <c r="E934" s="4">
        <v>237581</v>
      </c>
      <c r="F934" s="2" t="s">
        <v>2</v>
      </c>
      <c r="G934" s="2" t="str">
        <f t="shared" si="73"/>
        <v>https://www.oreht.ru/modules.php?name=orehtPriceLS&amp;op=Search&amp;page=1&amp;stext=237581</v>
      </c>
      <c r="I934">
        <v>237581</v>
      </c>
      <c r="J934" t="s">
        <v>2</v>
      </c>
      <c r="K934" t="s">
        <v>2711</v>
      </c>
      <c r="L934" t="s">
        <v>2712</v>
      </c>
      <c r="M934" t="s">
        <v>2713</v>
      </c>
    </row>
    <row r="935" spans="1:13" x14ac:dyDescent="0.25">
      <c r="A935" s="24">
        <f t="shared" si="74"/>
        <v>20</v>
      </c>
      <c r="B935" s="24">
        <v>12</v>
      </c>
      <c r="C935" s="24">
        <v>118.08</v>
      </c>
      <c r="E935" s="4">
        <v>351773</v>
      </c>
      <c r="F935" s="2" t="s">
        <v>2</v>
      </c>
      <c r="G935" s="2" t="str">
        <f t="shared" si="73"/>
        <v>https://www.oreht.ru/modules.php?name=orehtPriceLS&amp;op=Search&amp;page=1&amp;stext=351773</v>
      </c>
      <c r="I935">
        <v>351773</v>
      </c>
      <c r="J935" t="s">
        <v>2</v>
      </c>
      <c r="K935" t="s">
        <v>2714</v>
      </c>
      <c r="L935" t="s">
        <v>2715</v>
      </c>
      <c r="M935" t="s">
        <v>649</v>
      </c>
    </row>
    <row r="936" spans="1:13" hidden="1" x14ac:dyDescent="0.25">
      <c r="A936" s="24">
        <f t="shared" si="74"/>
        <v>20</v>
      </c>
      <c r="B936" s="24">
        <v>12</v>
      </c>
      <c r="C936" s="24">
        <v>122.04</v>
      </c>
      <c r="E936" s="4">
        <v>237576</v>
      </c>
      <c r="F936" s="2" t="s">
        <v>2</v>
      </c>
      <c r="G936" s="2" t="str">
        <f t="shared" si="73"/>
        <v>https://www.oreht.ru/modules.php?name=orehtPriceLS&amp;op=Search&amp;page=1&amp;stext=237576</v>
      </c>
      <c r="I936">
        <v>237576</v>
      </c>
      <c r="J936" t="s">
        <v>2</v>
      </c>
      <c r="K936" t="s">
        <v>2716</v>
      </c>
      <c r="L936" t="s">
        <v>2717</v>
      </c>
      <c r="M936" t="s">
        <v>2718</v>
      </c>
    </row>
    <row r="937" spans="1:13" hidden="1" x14ac:dyDescent="0.25">
      <c r="A937" s="24">
        <f t="shared" si="74"/>
        <v>20</v>
      </c>
      <c r="B937" s="24">
        <v>12</v>
      </c>
      <c r="C937" s="24">
        <v>114.6</v>
      </c>
      <c r="E937" s="4">
        <v>237550</v>
      </c>
      <c r="F937" s="2" t="s">
        <v>2</v>
      </c>
      <c r="G937" s="2" t="str">
        <f t="shared" si="73"/>
        <v>https://www.oreht.ru/modules.php?name=orehtPriceLS&amp;op=Search&amp;page=1&amp;stext=237550</v>
      </c>
      <c r="I937">
        <v>237550</v>
      </c>
      <c r="J937" t="s">
        <v>2</v>
      </c>
      <c r="K937" t="s">
        <v>2719</v>
      </c>
      <c r="L937" t="s">
        <v>2720</v>
      </c>
      <c r="M937" t="s">
        <v>2721</v>
      </c>
    </row>
    <row r="938" spans="1:13" hidden="1" x14ac:dyDescent="0.25">
      <c r="A938" s="24">
        <f t="shared" si="74"/>
        <v>20</v>
      </c>
      <c r="B938" s="24">
        <v>12</v>
      </c>
      <c r="C938" s="24">
        <v>113.64</v>
      </c>
      <c r="E938" s="4">
        <v>334303</v>
      </c>
      <c r="F938" s="2" t="s">
        <v>2</v>
      </c>
      <c r="G938" s="2" t="str">
        <f t="shared" si="73"/>
        <v>https://www.oreht.ru/modules.php?name=orehtPriceLS&amp;op=Search&amp;page=1&amp;stext=334303</v>
      </c>
      <c r="I938">
        <v>334303</v>
      </c>
      <c r="J938" t="s">
        <v>2</v>
      </c>
      <c r="K938" t="s">
        <v>2722</v>
      </c>
      <c r="L938" t="s">
        <v>2723</v>
      </c>
      <c r="M938" t="s">
        <v>2700</v>
      </c>
    </row>
    <row r="939" spans="1:13" hidden="1" x14ac:dyDescent="0.25">
      <c r="A939" s="24">
        <f t="shared" si="74"/>
        <v>20</v>
      </c>
      <c r="B939" s="24">
        <v>12</v>
      </c>
      <c r="C939" s="24">
        <v>118.5</v>
      </c>
      <c r="E939" s="4">
        <v>422408</v>
      </c>
      <c r="F939" s="2" t="s">
        <v>2</v>
      </c>
      <c r="G939" s="2" t="str">
        <f t="shared" si="73"/>
        <v>https://www.oreht.ru/modules.php?name=orehtPriceLS&amp;op=Search&amp;page=1&amp;stext=422408</v>
      </c>
      <c r="I939">
        <v>422408</v>
      </c>
      <c r="J939" t="s">
        <v>2</v>
      </c>
      <c r="K939" t="s">
        <v>2724</v>
      </c>
      <c r="L939" t="s">
        <v>2725</v>
      </c>
      <c r="M939" t="s">
        <v>2726</v>
      </c>
    </row>
    <row r="940" spans="1:13" hidden="1" x14ac:dyDescent="0.25">
      <c r="A940" s="24">
        <f t="shared" si="74"/>
        <v>20</v>
      </c>
      <c r="B940" s="24">
        <v>10</v>
      </c>
      <c r="C940" s="24">
        <v>122.4</v>
      </c>
      <c r="E940" s="4">
        <v>204801</v>
      </c>
      <c r="F940" s="2" t="s">
        <v>2</v>
      </c>
      <c r="G940" s="2" t="str">
        <f t="shared" si="73"/>
        <v>https://www.oreht.ru/modules.php?name=orehtPriceLS&amp;op=Search&amp;page=1&amp;stext=204801</v>
      </c>
      <c r="I940">
        <v>204801</v>
      </c>
      <c r="J940" t="s">
        <v>2</v>
      </c>
      <c r="K940" t="s">
        <v>2727</v>
      </c>
      <c r="L940" t="s">
        <v>2728</v>
      </c>
      <c r="M940" t="s">
        <v>2729</v>
      </c>
    </row>
    <row r="941" spans="1:13" hidden="1" x14ac:dyDescent="0.25">
      <c r="A941" s="24">
        <f t="shared" si="74"/>
        <v>20</v>
      </c>
      <c r="B941" s="24">
        <v>12</v>
      </c>
      <c r="C941" s="24">
        <v>135</v>
      </c>
      <c r="E941" s="4">
        <v>360127</v>
      </c>
      <c r="F941" s="2" t="s">
        <v>2</v>
      </c>
      <c r="G941" s="2" t="str">
        <f t="shared" si="73"/>
        <v>https://www.oreht.ru/modules.php?name=orehtPriceLS&amp;op=Search&amp;page=1&amp;stext=360127</v>
      </c>
      <c r="I941">
        <v>360127</v>
      </c>
      <c r="J941" t="s">
        <v>2</v>
      </c>
      <c r="K941" t="s">
        <v>2730</v>
      </c>
      <c r="L941" t="s">
        <v>2731</v>
      </c>
      <c r="M941" t="s">
        <v>2732</v>
      </c>
    </row>
    <row r="942" spans="1:13" hidden="1" x14ac:dyDescent="0.25">
      <c r="A942" s="24">
        <f t="shared" si="74"/>
        <v>20</v>
      </c>
      <c r="B942" s="24">
        <v>12</v>
      </c>
      <c r="C942" s="24">
        <v>114.84</v>
      </c>
      <c r="E942" s="4">
        <v>351770</v>
      </c>
      <c r="F942" s="2" t="s">
        <v>2</v>
      </c>
      <c r="G942" s="2" t="str">
        <f t="shared" si="73"/>
        <v>https://www.oreht.ru/modules.php?name=orehtPriceLS&amp;op=Search&amp;page=1&amp;stext=351770</v>
      </c>
      <c r="I942">
        <v>351770</v>
      </c>
      <c r="J942" t="s">
        <v>2</v>
      </c>
      <c r="K942" t="s">
        <v>2733</v>
      </c>
      <c r="L942" t="s">
        <v>2734</v>
      </c>
      <c r="M942" t="s">
        <v>2735</v>
      </c>
    </row>
    <row r="943" spans="1:13" hidden="1" x14ac:dyDescent="0.25">
      <c r="A943" s="24">
        <f t="shared" si="74"/>
        <v>20</v>
      </c>
      <c r="B943" s="24">
        <v>12</v>
      </c>
      <c r="C943" s="24">
        <v>112.98</v>
      </c>
      <c r="E943" s="4">
        <v>372464</v>
      </c>
      <c r="F943" s="2" t="s">
        <v>2</v>
      </c>
      <c r="G943" s="2" t="str">
        <f t="shared" si="73"/>
        <v>https://www.oreht.ru/modules.php?name=orehtPriceLS&amp;op=Search&amp;page=1&amp;stext=372464</v>
      </c>
      <c r="I943">
        <v>372464</v>
      </c>
      <c r="J943" t="s">
        <v>2</v>
      </c>
      <c r="K943" t="s">
        <v>2736</v>
      </c>
      <c r="L943" t="s">
        <v>2737</v>
      </c>
      <c r="M943" t="s">
        <v>2738</v>
      </c>
    </row>
    <row r="944" spans="1:13" hidden="1" x14ac:dyDescent="0.25">
      <c r="A944" s="24">
        <f t="shared" si="74"/>
        <v>20</v>
      </c>
      <c r="B944" s="24">
        <v>12</v>
      </c>
      <c r="C944" s="24">
        <v>117</v>
      </c>
      <c r="E944" s="4">
        <v>429725</v>
      </c>
      <c r="F944" s="2" t="s">
        <v>2</v>
      </c>
      <c r="G944" s="2" t="str">
        <f t="shared" si="73"/>
        <v>https://www.oreht.ru/modules.php?name=orehtPriceLS&amp;op=Search&amp;page=1&amp;stext=429725</v>
      </c>
      <c r="I944">
        <v>429725</v>
      </c>
      <c r="J944" t="s">
        <v>2</v>
      </c>
      <c r="K944" t="s">
        <v>2739</v>
      </c>
      <c r="L944" t="s">
        <v>2740</v>
      </c>
      <c r="M944" t="s">
        <v>2741</v>
      </c>
    </row>
    <row r="945" spans="1:13" hidden="1" x14ac:dyDescent="0.25">
      <c r="A945" s="24">
        <f t="shared" si="74"/>
        <v>20</v>
      </c>
      <c r="B945" s="24">
        <v>12</v>
      </c>
      <c r="C945" s="24">
        <v>135</v>
      </c>
      <c r="E945" s="4">
        <v>337836</v>
      </c>
      <c r="F945" s="2" t="s">
        <v>2</v>
      </c>
      <c r="G945" s="2" t="str">
        <f t="shared" si="73"/>
        <v>https://www.oreht.ru/modules.php?name=orehtPriceLS&amp;op=Search&amp;page=1&amp;stext=337836</v>
      </c>
      <c r="I945">
        <v>337836</v>
      </c>
      <c r="J945" t="s">
        <v>2</v>
      </c>
      <c r="K945" t="s">
        <v>2742</v>
      </c>
      <c r="L945" t="s">
        <v>2743</v>
      </c>
      <c r="M945" t="s">
        <v>2744</v>
      </c>
    </row>
    <row r="946" spans="1:13" hidden="1" x14ac:dyDescent="0.25">
      <c r="A946" s="24">
        <f t="shared" si="74"/>
        <v>20</v>
      </c>
      <c r="B946" s="24">
        <v>12</v>
      </c>
      <c r="C946" s="24">
        <v>116.3</v>
      </c>
      <c r="E946" s="4">
        <v>274227</v>
      </c>
      <c r="F946" s="2" t="s">
        <v>2</v>
      </c>
      <c r="G946" s="2" t="str">
        <f t="shared" si="73"/>
        <v>https://www.oreht.ru/modules.php?name=orehtPriceLS&amp;op=Search&amp;page=1&amp;stext=274227</v>
      </c>
      <c r="I946">
        <v>274227</v>
      </c>
      <c r="J946" t="s">
        <v>2</v>
      </c>
      <c r="K946" t="s">
        <v>2745</v>
      </c>
      <c r="L946" t="s">
        <v>2746</v>
      </c>
      <c r="M946" t="s">
        <v>319</v>
      </c>
    </row>
    <row r="947" spans="1:13" hidden="1" x14ac:dyDescent="0.25">
      <c r="A947" s="24">
        <f t="shared" si="74"/>
        <v>20</v>
      </c>
      <c r="B947" s="24">
        <v>12</v>
      </c>
      <c r="C947" s="24">
        <v>108.72</v>
      </c>
      <c r="E947" s="4">
        <v>353964</v>
      </c>
      <c r="F947" s="2" t="s">
        <v>2</v>
      </c>
      <c r="G947" s="2" t="str">
        <f t="shared" si="73"/>
        <v>https://www.oreht.ru/modules.php?name=orehtPriceLS&amp;op=Search&amp;page=1&amp;stext=353964</v>
      </c>
      <c r="I947">
        <v>353964</v>
      </c>
      <c r="J947" t="s">
        <v>2</v>
      </c>
      <c r="K947" t="s">
        <v>2747</v>
      </c>
      <c r="L947" t="s">
        <v>2748</v>
      </c>
      <c r="M947" t="s">
        <v>2749</v>
      </c>
    </row>
    <row r="948" spans="1:13" hidden="1" x14ac:dyDescent="0.25">
      <c r="A948" s="24">
        <f t="shared" si="74"/>
        <v>20</v>
      </c>
      <c r="B948" s="24">
        <v>11</v>
      </c>
      <c r="C948" s="24">
        <v>100.65</v>
      </c>
      <c r="E948" s="4">
        <v>226328</v>
      </c>
      <c r="F948" s="2" t="s">
        <v>2</v>
      </c>
      <c r="G948" s="2" t="str">
        <f t="shared" si="73"/>
        <v>https://www.oreht.ru/modules.php?name=orehtPriceLS&amp;op=Search&amp;page=1&amp;stext=226328</v>
      </c>
      <c r="I948">
        <v>226328</v>
      </c>
      <c r="J948" t="s">
        <v>2</v>
      </c>
      <c r="K948" t="s">
        <v>2750</v>
      </c>
      <c r="L948" t="s">
        <v>2751</v>
      </c>
      <c r="M948" t="s">
        <v>2752</v>
      </c>
    </row>
    <row r="949" spans="1:13" hidden="1" x14ac:dyDescent="0.25">
      <c r="A949" s="24">
        <f t="shared" si="74"/>
        <v>20</v>
      </c>
      <c r="B949" s="24">
        <v>12</v>
      </c>
      <c r="C949" s="24">
        <v>121.44</v>
      </c>
      <c r="E949" s="4">
        <v>408049</v>
      </c>
      <c r="F949" s="2" t="s">
        <v>2</v>
      </c>
      <c r="G949" s="2" t="str">
        <f t="shared" si="73"/>
        <v>https://www.oreht.ru/modules.php?name=orehtPriceLS&amp;op=Search&amp;page=1&amp;stext=408049</v>
      </c>
      <c r="I949">
        <v>408049</v>
      </c>
      <c r="J949" t="s">
        <v>2</v>
      </c>
      <c r="K949" t="s">
        <v>2753</v>
      </c>
      <c r="L949" t="s">
        <v>2754</v>
      </c>
      <c r="M949" t="s">
        <v>2755</v>
      </c>
    </row>
    <row r="950" spans="1:13" hidden="1" x14ac:dyDescent="0.25">
      <c r="A950" s="24">
        <f t="shared" si="74"/>
        <v>20</v>
      </c>
      <c r="B950" s="24">
        <v>12</v>
      </c>
      <c r="C950" s="24">
        <v>141.18</v>
      </c>
      <c r="E950" s="4">
        <v>308309</v>
      </c>
      <c r="F950" s="2" t="s">
        <v>2</v>
      </c>
      <c r="G950" s="2" t="str">
        <f t="shared" si="73"/>
        <v>https://www.oreht.ru/modules.php?name=orehtPriceLS&amp;op=Search&amp;page=1&amp;stext=308309</v>
      </c>
      <c r="I950">
        <v>308309</v>
      </c>
      <c r="J950" t="s">
        <v>2</v>
      </c>
      <c r="K950" t="s">
        <v>2756</v>
      </c>
      <c r="L950" t="s">
        <v>2757</v>
      </c>
      <c r="M950" t="s">
        <v>2758</v>
      </c>
    </row>
    <row r="951" spans="1:13" hidden="1" x14ac:dyDescent="0.25">
      <c r="A951" s="24">
        <f t="shared" si="74"/>
        <v>20</v>
      </c>
      <c r="B951" s="24">
        <v>10</v>
      </c>
      <c r="C951" s="24">
        <v>123.66</v>
      </c>
      <c r="E951" s="4">
        <v>202464</v>
      </c>
      <c r="F951" s="2" t="s">
        <v>2</v>
      </c>
      <c r="G951" s="2" t="str">
        <f t="shared" si="73"/>
        <v>https://www.oreht.ru/modules.php?name=orehtPriceLS&amp;op=Search&amp;page=1&amp;stext=202464</v>
      </c>
      <c r="I951">
        <v>202464</v>
      </c>
      <c r="J951" t="s">
        <v>2</v>
      </c>
      <c r="K951" t="s">
        <v>2759</v>
      </c>
      <c r="L951" t="s">
        <v>2760</v>
      </c>
      <c r="M951" t="s">
        <v>2761</v>
      </c>
    </row>
    <row r="952" spans="1:13" hidden="1" x14ac:dyDescent="0.25">
      <c r="A952" s="24">
        <f t="shared" si="74"/>
        <v>20</v>
      </c>
      <c r="B952" s="24">
        <v>12</v>
      </c>
      <c r="C952" s="24">
        <v>121.56</v>
      </c>
      <c r="E952" s="4">
        <v>343767</v>
      </c>
      <c r="F952" s="2" t="s">
        <v>2</v>
      </c>
      <c r="G952" s="2" t="str">
        <f t="shared" si="73"/>
        <v>https://www.oreht.ru/modules.php?name=orehtPriceLS&amp;op=Search&amp;page=1&amp;stext=343767</v>
      </c>
      <c r="I952">
        <v>343767</v>
      </c>
      <c r="J952" t="s">
        <v>2</v>
      </c>
      <c r="K952" t="s">
        <v>2762</v>
      </c>
      <c r="L952" t="s">
        <v>2763</v>
      </c>
      <c r="M952" t="s">
        <v>2764</v>
      </c>
    </row>
    <row r="953" spans="1:13" hidden="1" x14ac:dyDescent="0.25">
      <c r="A953" s="24">
        <f t="shared" si="74"/>
        <v>20</v>
      </c>
      <c r="B953" s="24">
        <v>12</v>
      </c>
      <c r="C953" s="24">
        <v>102.4</v>
      </c>
      <c r="E953" s="4">
        <v>331606</v>
      </c>
      <c r="F953" s="2" t="s">
        <v>2</v>
      </c>
      <c r="G953" s="2" t="str">
        <f t="shared" si="73"/>
        <v>https://www.oreht.ru/modules.php?name=orehtPriceLS&amp;op=Search&amp;page=1&amp;stext=331606</v>
      </c>
      <c r="I953">
        <v>331606</v>
      </c>
      <c r="J953" t="s">
        <v>2</v>
      </c>
      <c r="K953" t="s">
        <v>2765</v>
      </c>
      <c r="L953" t="s">
        <v>2766</v>
      </c>
      <c r="M953" t="s">
        <v>2767</v>
      </c>
    </row>
    <row r="954" spans="1:13" hidden="1" x14ac:dyDescent="0.25">
      <c r="A954" s="24">
        <f t="shared" si="74"/>
        <v>20</v>
      </c>
      <c r="B954" s="24">
        <v>12</v>
      </c>
      <c r="C954" s="24">
        <v>117.54</v>
      </c>
      <c r="E954" s="4">
        <v>429833</v>
      </c>
      <c r="F954" s="2" t="s">
        <v>2</v>
      </c>
      <c r="G954" s="2" t="str">
        <f t="shared" si="73"/>
        <v>https://www.oreht.ru/modules.php?name=orehtPriceLS&amp;op=Search&amp;page=1&amp;stext=429833</v>
      </c>
      <c r="I954">
        <v>429833</v>
      </c>
      <c r="J954" t="s">
        <v>2</v>
      </c>
      <c r="K954" t="s">
        <v>2768</v>
      </c>
      <c r="L954" t="s">
        <v>2769</v>
      </c>
      <c r="M954" t="s">
        <v>2770</v>
      </c>
    </row>
    <row r="955" spans="1:13" hidden="1" x14ac:dyDescent="0.25">
      <c r="A955" s="24">
        <f t="shared" si="74"/>
        <v>20</v>
      </c>
      <c r="B955" s="24">
        <v>11</v>
      </c>
      <c r="C955" s="24">
        <v>101.25</v>
      </c>
      <c r="E955" s="4">
        <v>424553</v>
      </c>
      <c r="F955" s="2" t="s">
        <v>2</v>
      </c>
      <c r="G955" s="2" t="str">
        <f t="shared" si="73"/>
        <v>https://www.oreht.ru/modules.php?name=orehtPriceLS&amp;op=Search&amp;page=1&amp;stext=424553</v>
      </c>
      <c r="I955">
        <v>424553</v>
      </c>
      <c r="J955" t="s">
        <v>2</v>
      </c>
      <c r="K955" t="s">
        <v>2771</v>
      </c>
      <c r="L955" t="s">
        <v>2772</v>
      </c>
      <c r="M955" t="s">
        <v>2773</v>
      </c>
    </row>
    <row r="956" spans="1:13" hidden="1" x14ac:dyDescent="0.25">
      <c r="A956" s="24">
        <f t="shared" si="74"/>
        <v>20</v>
      </c>
      <c r="B956" s="24">
        <v>12</v>
      </c>
      <c r="C956" s="24">
        <v>118.26</v>
      </c>
      <c r="E956" s="4">
        <v>306468</v>
      </c>
      <c r="F956" s="2" t="s">
        <v>2</v>
      </c>
      <c r="G956" s="2" t="str">
        <f t="shared" si="73"/>
        <v>https://www.oreht.ru/modules.php?name=orehtPriceLS&amp;op=Search&amp;page=1&amp;stext=306468</v>
      </c>
      <c r="I956">
        <v>306468</v>
      </c>
      <c r="J956" t="s">
        <v>2</v>
      </c>
      <c r="K956" t="s">
        <v>2774</v>
      </c>
      <c r="L956" t="s">
        <v>2775</v>
      </c>
      <c r="M956" t="s">
        <v>2776</v>
      </c>
    </row>
    <row r="957" spans="1:13" x14ac:dyDescent="0.25">
      <c r="A957" s="24">
        <f t="shared" si="74"/>
        <v>20</v>
      </c>
      <c r="B957" s="24">
        <v>12</v>
      </c>
      <c r="C957" s="24">
        <v>107.55</v>
      </c>
      <c r="E957" s="4">
        <v>337080</v>
      </c>
      <c r="F957" s="2" t="s">
        <v>2</v>
      </c>
      <c r="G957" s="2" t="str">
        <f t="shared" si="73"/>
        <v>https://www.oreht.ru/modules.php?name=orehtPriceLS&amp;op=Search&amp;page=1&amp;stext=337080</v>
      </c>
      <c r="I957">
        <v>337080</v>
      </c>
      <c r="J957" t="s">
        <v>2</v>
      </c>
      <c r="K957" t="s">
        <v>2777</v>
      </c>
      <c r="L957" t="s">
        <v>2778</v>
      </c>
      <c r="M957" t="s">
        <v>649</v>
      </c>
    </row>
    <row r="958" spans="1:13" hidden="1" x14ac:dyDescent="0.25">
      <c r="A958" s="24">
        <f t="shared" si="74"/>
        <v>20</v>
      </c>
      <c r="B958" s="24">
        <v>12</v>
      </c>
      <c r="C958" s="24">
        <v>122.46</v>
      </c>
      <c r="E958" s="4">
        <v>185731</v>
      </c>
      <c r="F958" s="2" t="s">
        <v>2</v>
      </c>
      <c r="G958" s="2" t="str">
        <f t="shared" si="73"/>
        <v>https://www.oreht.ru/modules.php?name=orehtPriceLS&amp;op=Search&amp;page=1&amp;stext=185731</v>
      </c>
      <c r="I958">
        <v>185731</v>
      </c>
      <c r="J958" t="s">
        <v>2</v>
      </c>
      <c r="K958" t="s">
        <v>2779</v>
      </c>
      <c r="L958" t="s">
        <v>2780</v>
      </c>
      <c r="M958" t="s">
        <v>2781</v>
      </c>
    </row>
    <row r="959" spans="1:13" hidden="1" x14ac:dyDescent="0.25">
      <c r="A959" s="24">
        <f t="shared" si="74"/>
        <v>20</v>
      </c>
      <c r="B959" s="24">
        <v>12</v>
      </c>
      <c r="C959" s="24">
        <v>101.7</v>
      </c>
      <c r="E959" s="4">
        <v>434912</v>
      </c>
      <c r="F959" s="2" t="s">
        <v>2</v>
      </c>
      <c r="G959" s="2" t="str">
        <f t="shared" si="73"/>
        <v>https://www.oreht.ru/modules.php?name=orehtPriceLS&amp;op=Search&amp;page=1&amp;stext=434912</v>
      </c>
      <c r="I959">
        <v>434912</v>
      </c>
      <c r="J959" t="s">
        <v>2</v>
      </c>
      <c r="K959" t="s">
        <v>2782</v>
      </c>
      <c r="L959" t="s">
        <v>2783</v>
      </c>
      <c r="M959" t="s">
        <v>2784</v>
      </c>
    </row>
    <row r="960" spans="1:13" hidden="1" x14ac:dyDescent="0.25">
      <c r="A960" s="24">
        <f t="shared" si="74"/>
        <v>20</v>
      </c>
      <c r="B960" s="24">
        <v>12</v>
      </c>
      <c r="C960" s="24">
        <v>259.98</v>
      </c>
      <c r="E960" s="4">
        <v>379892</v>
      </c>
      <c r="F960" s="2" t="s">
        <v>2</v>
      </c>
      <c r="G960" s="2" t="str">
        <f t="shared" si="73"/>
        <v>https://www.oreht.ru/modules.php?name=orehtPriceLS&amp;op=Search&amp;page=1&amp;stext=379892</v>
      </c>
      <c r="I960">
        <v>379892</v>
      </c>
      <c r="J960" t="s">
        <v>2</v>
      </c>
      <c r="K960" t="s">
        <v>2785</v>
      </c>
      <c r="L960" t="s">
        <v>2786</v>
      </c>
      <c r="M960" t="s">
        <v>2787</v>
      </c>
    </row>
    <row r="961" spans="1:13" hidden="1" x14ac:dyDescent="0.25">
      <c r="A961" s="24">
        <f t="shared" si="74"/>
        <v>20</v>
      </c>
      <c r="B961" s="24">
        <v>12</v>
      </c>
      <c r="C961" s="24">
        <v>259.98</v>
      </c>
      <c r="E961" s="4">
        <v>441396</v>
      </c>
      <c r="F961" s="2" t="s">
        <v>2</v>
      </c>
      <c r="G961" s="2" t="str">
        <f t="shared" si="73"/>
        <v>https://www.oreht.ru/modules.php?name=orehtPriceLS&amp;op=Search&amp;page=1&amp;stext=441396</v>
      </c>
      <c r="I961">
        <v>441396</v>
      </c>
      <c r="J961" t="s">
        <v>2</v>
      </c>
      <c r="K961" t="s">
        <v>2788</v>
      </c>
      <c r="L961" t="s">
        <v>2789</v>
      </c>
      <c r="M961" t="s">
        <v>2787</v>
      </c>
    </row>
    <row r="962" spans="1:13" hidden="1" x14ac:dyDescent="0.25">
      <c r="A962" s="24">
        <f t="shared" si="74"/>
        <v>20</v>
      </c>
      <c r="B962" s="24">
        <v>12</v>
      </c>
      <c r="C962" s="24">
        <v>259.98</v>
      </c>
      <c r="E962" s="4">
        <v>372071</v>
      </c>
      <c r="F962" s="2" t="s">
        <v>2</v>
      </c>
      <c r="G962" s="2" t="str">
        <f t="shared" ref="G962:G1025" si="75">HYPERLINK(F962&amp;E962)</f>
        <v>https://www.oreht.ru/modules.php?name=orehtPriceLS&amp;op=Search&amp;page=1&amp;stext=372071</v>
      </c>
      <c r="I962">
        <v>372071</v>
      </c>
      <c r="J962" t="s">
        <v>2</v>
      </c>
      <c r="K962" t="s">
        <v>2790</v>
      </c>
      <c r="L962" t="s">
        <v>2791</v>
      </c>
      <c r="M962" t="s">
        <v>2787</v>
      </c>
    </row>
    <row r="963" spans="1:13" hidden="1" x14ac:dyDescent="0.25">
      <c r="A963" s="24">
        <f t="shared" si="74"/>
        <v>20</v>
      </c>
      <c r="B963" s="24">
        <v>12</v>
      </c>
      <c r="C963" s="24">
        <v>259.98</v>
      </c>
      <c r="E963" s="4">
        <v>372072</v>
      </c>
      <c r="F963" s="2" t="s">
        <v>2</v>
      </c>
      <c r="G963" s="2" t="str">
        <f t="shared" si="75"/>
        <v>https://www.oreht.ru/modules.php?name=orehtPriceLS&amp;op=Search&amp;page=1&amp;stext=372072</v>
      </c>
      <c r="I963">
        <v>372072</v>
      </c>
      <c r="J963" t="s">
        <v>2</v>
      </c>
      <c r="K963" t="s">
        <v>2792</v>
      </c>
      <c r="L963" t="s">
        <v>2793</v>
      </c>
      <c r="M963" t="s">
        <v>2787</v>
      </c>
    </row>
    <row r="964" spans="1:13" hidden="1" x14ac:dyDescent="0.25">
      <c r="A964" s="24">
        <f t="shared" si="74"/>
        <v>20</v>
      </c>
      <c r="B964" s="24">
        <v>12</v>
      </c>
      <c r="C964" s="24">
        <v>227.88</v>
      </c>
      <c r="E964" s="4">
        <v>372073</v>
      </c>
      <c r="F964" s="2" t="s">
        <v>2</v>
      </c>
      <c r="G964" s="2" t="str">
        <f t="shared" si="75"/>
        <v>https://www.oreht.ru/modules.php?name=orehtPriceLS&amp;op=Search&amp;page=1&amp;stext=372073</v>
      </c>
      <c r="I964">
        <v>372073</v>
      </c>
      <c r="J964" t="s">
        <v>2</v>
      </c>
      <c r="K964" t="s">
        <v>2794</v>
      </c>
      <c r="L964" t="s">
        <v>2795</v>
      </c>
      <c r="M964" t="s">
        <v>2796</v>
      </c>
    </row>
    <row r="965" spans="1:13" x14ac:dyDescent="0.25">
      <c r="A965" s="24">
        <f t="shared" ref="A965:A1028" si="76">IF(W965*0.05&gt;=250,250,IF(W965*0.05&gt;=20,IF(W965*0.05&lt;20,20,W965*0.05),20))</f>
        <v>20</v>
      </c>
      <c r="B965" s="24">
        <v>12</v>
      </c>
      <c r="C965" s="24">
        <v>226.02</v>
      </c>
      <c r="E965" s="4">
        <v>427144</v>
      </c>
      <c r="F965" s="2" t="s">
        <v>2</v>
      </c>
      <c r="G965" s="2" t="str">
        <f t="shared" si="75"/>
        <v>https://www.oreht.ru/modules.php?name=orehtPriceLS&amp;op=Search&amp;page=1&amp;stext=427144</v>
      </c>
      <c r="I965">
        <v>427144</v>
      </c>
      <c r="J965" t="s">
        <v>2</v>
      </c>
      <c r="K965" t="s">
        <v>2797</v>
      </c>
      <c r="L965" t="s">
        <v>2798</v>
      </c>
      <c r="M965" t="s">
        <v>649</v>
      </c>
    </row>
    <row r="966" spans="1:13" hidden="1" x14ac:dyDescent="0.25">
      <c r="A966" s="24">
        <f t="shared" si="76"/>
        <v>20</v>
      </c>
      <c r="B966" s="24">
        <v>12</v>
      </c>
      <c r="C966" s="24">
        <v>190</v>
      </c>
      <c r="E966" s="4">
        <v>376539</v>
      </c>
      <c r="F966" s="2" t="s">
        <v>2</v>
      </c>
      <c r="G966" s="2" t="str">
        <f t="shared" si="75"/>
        <v>https://www.oreht.ru/modules.php?name=orehtPriceLS&amp;op=Search&amp;page=1&amp;stext=376539</v>
      </c>
      <c r="I966">
        <v>376539</v>
      </c>
      <c r="J966" t="s">
        <v>2</v>
      </c>
      <c r="K966" t="s">
        <v>2799</v>
      </c>
      <c r="L966" t="s">
        <v>2800</v>
      </c>
      <c r="M966" t="s">
        <v>2801</v>
      </c>
    </row>
    <row r="967" spans="1:13" hidden="1" x14ac:dyDescent="0.25">
      <c r="A967" s="24">
        <f t="shared" si="76"/>
        <v>20</v>
      </c>
      <c r="B967" s="24">
        <v>12</v>
      </c>
      <c r="C967" s="24">
        <v>255.66</v>
      </c>
      <c r="E967" s="4">
        <v>418211</v>
      </c>
      <c r="F967" s="2" t="s">
        <v>2</v>
      </c>
      <c r="G967" s="2" t="str">
        <f t="shared" si="75"/>
        <v>https://www.oreht.ru/modules.php?name=orehtPriceLS&amp;op=Search&amp;page=1&amp;stext=418211</v>
      </c>
      <c r="I967">
        <v>418211</v>
      </c>
      <c r="J967" t="s">
        <v>2</v>
      </c>
      <c r="K967" t="s">
        <v>2802</v>
      </c>
      <c r="L967" t="s">
        <v>2803</v>
      </c>
      <c r="M967" t="s">
        <v>2804</v>
      </c>
    </row>
    <row r="968" spans="1:13" hidden="1" x14ac:dyDescent="0.25">
      <c r="A968" s="24">
        <f t="shared" si="76"/>
        <v>20</v>
      </c>
      <c r="B968" s="24">
        <v>12</v>
      </c>
      <c r="C968" s="24">
        <v>140</v>
      </c>
      <c r="E968" s="4">
        <v>369980</v>
      </c>
      <c r="F968" s="2" t="s">
        <v>2</v>
      </c>
      <c r="G968" s="2" t="str">
        <f t="shared" si="75"/>
        <v>https://www.oreht.ru/modules.php?name=orehtPriceLS&amp;op=Search&amp;page=1&amp;stext=369980</v>
      </c>
      <c r="I968">
        <v>369980</v>
      </c>
      <c r="J968" t="s">
        <v>2</v>
      </c>
      <c r="K968" t="s">
        <v>2805</v>
      </c>
      <c r="L968" t="s">
        <v>2806</v>
      </c>
      <c r="M968" t="s">
        <v>2807</v>
      </c>
    </row>
    <row r="969" spans="1:13" hidden="1" x14ac:dyDescent="0.25">
      <c r="A969" s="24">
        <f t="shared" si="76"/>
        <v>20</v>
      </c>
      <c r="B969" s="24">
        <v>12</v>
      </c>
      <c r="C969" s="24">
        <v>222.9</v>
      </c>
      <c r="E969" s="4">
        <v>427137</v>
      </c>
      <c r="F969" s="2" t="s">
        <v>2</v>
      </c>
      <c r="G969" s="2" t="str">
        <f t="shared" si="75"/>
        <v>https://www.oreht.ru/modules.php?name=orehtPriceLS&amp;op=Search&amp;page=1&amp;stext=427137</v>
      </c>
      <c r="I969">
        <v>427137</v>
      </c>
      <c r="J969" t="s">
        <v>2</v>
      </c>
      <c r="K969" t="s">
        <v>2808</v>
      </c>
      <c r="L969" t="s">
        <v>2809</v>
      </c>
      <c r="M969" t="s">
        <v>2810</v>
      </c>
    </row>
    <row r="970" spans="1:13" hidden="1" x14ac:dyDescent="0.25">
      <c r="A970" s="24">
        <f t="shared" si="76"/>
        <v>20</v>
      </c>
      <c r="B970" s="24">
        <v>12</v>
      </c>
      <c r="C970" s="24">
        <v>250.8</v>
      </c>
      <c r="E970" s="4">
        <v>450503</v>
      </c>
      <c r="F970" s="2" t="s">
        <v>2</v>
      </c>
      <c r="G970" s="2" t="str">
        <f t="shared" si="75"/>
        <v>https://www.oreht.ru/modules.php?name=orehtPriceLS&amp;op=Search&amp;page=1&amp;stext=450503</v>
      </c>
      <c r="I970">
        <v>450503</v>
      </c>
      <c r="J970" t="s">
        <v>2</v>
      </c>
      <c r="K970" t="s">
        <v>2811</v>
      </c>
      <c r="L970" t="s">
        <v>2812</v>
      </c>
      <c r="M970" t="s">
        <v>2813</v>
      </c>
    </row>
    <row r="971" spans="1:13" hidden="1" x14ac:dyDescent="0.25">
      <c r="A971" s="24">
        <f t="shared" si="76"/>
        <v>20</v>
      </c>
      <c r="B971" s="24">
        <v>12</v>
      </c>
      <c r="C971" s="24">
        <v>222.36</v>
      </c>
      <c r="E971" s="4">
        <v>427139</v>
      </c>
      <c r="F971" s="2" t="s">
        <v>2</v>
      </c>
      <c r="G971" s="2" t="str">
        <f t="shared" si="75"/>
        <v>https://www.oreht.ru/modules.php?name=orehtPriceLS&amp;op=Search&amp;page=1&amp;stext=427139</v>
      </c>
      <c r="I971">
        <v>427139</v>
      </c>
      <c r="J971" t="s">
        <v>2</v>
      </c>
      <c r="K971" t="s">
        <v>2814</v>
      </c>
      <c r="L971" t="s">
        <v>2815</v>
      </c>
      <c r="M971" t="s">
        <v>2816</v>
      </c>
    </row>
    <row r="972" spans="1:13" x14ac:dyDescent="0.25">
      <c r="A972" s="24">
        <f t="shared" si="76"/>
        <v>20</v>
      </c>
      <c r="B972" s="24">
        <v>12</v>
      </c>
      <c r="C972" s="24">
        <v>255.18</v>
      </c>
      <c r="E972" s="4">
        <v>346345</v>
      </c>
      <c r="F972" s="2" t="s">
        <v>2</v>
      </c>
      <c r="G972" s="2" t="str">
        <f t="shared" si="75"/>
        <v>https://www.oreht.ru/modules.php?name=orehtPriceLS&amp;op=Search&amp;page=1&amp;stext=346345</v>
      </c>
      <c r="I972">
        <v>346345</v>
      </c>
      <c r="J972" t="s">
        <v>2</v>
      </c>
      <c r="K972" t="s">
        <v>2817</v>
      </c>
      <c r="L972" t="s">
        <v>2818</v>
      </c>
      <c r="M972" t="s">
        <v>649</v>
      </c>
    </row>
    <row r="973" spans="1:13" hidden="1" x14ac:dyDescent="0.25">
      <c r="A973" s="24">
        <f t="shared" si="76"/>
        <v>20</v>
      </c>
      <c r="B973" s="24">
        <v>12</v>
      </c>
      <c r="C973" s="24">
        <v>190</v>
      </c>
      <c r="E973" s="4">
        <v>135703</v>
      </c>
      <c r="F973" s="2" t="s">
        <v>2</v>
      </c>
      <c r="G973" s="2" t="str">
        <f t="shared" si="75"/>
        <v>https://www.oreht.ru/modules.php?name=orehtPriceLS&amp;op=Search&amp;page=1&amp;stext=135703</v>
      </c>
      <c r="I973">
        <v>135703</v>
      </c>
      <c r="J973" t="s">
        <v>2</v>
      </c>
      <c r="K973" t="s">
        <v>2819</v>
      </c>
      <c r="L973" t="s">
        <v>2820</v>
      </c>
      <c r="M973" t="s">
        <v>2821</v>
      </c>
    </row>
    <row r="974" spans="1:13" x14ac:dyDescent="0.25">
      <c r="A974" s="24">
        <f t="shared" si="76"/>
        <v>20</v>
      </c>
      <c r="B974" s="24">
        <v>12</v>
      </c>
      <c r="C974" s="24">
        <v>253.32</v>
      </c>
      <c r="E974" s="4">
        <v>448756</v>
      </c>
      <c r="F974" s="2" t="s">
        <v>2</v>
      </c>
      <c r="G974" s="2" t="str">
        <f t="shared" si="75"/>
        <v>https://www.oreht.ru/modules.php?name=orehtPriceLS&amp;op=Search&amp;page=1&amp;stext=448756</v>
      </c>
      <c r="I974">
        <v>448756</v>
      </c>
      <c r="J974" t="s">
        <v>2</v>
      </c>
      <c r="K974" t="s">
        <v>2822</v>
      </c>
      <c r="L974" t="s">
        <v>2823</v>
      </c>
      <c r="M974" t="s">
        <v>649</v>
      </c>
    </row>
    <row r="975" spans="1:13" x14ac:dyDescent="0.25">
      <c r="A975" s="24">
        <f t="shared" si="76"/>
        <v>20</v>
      </c>
      <c r="B975" s="24">
        <v>12</v>
      </c>
      <c r="C975" s="24">
        <v>253.32</v>
      </c>
      <c r="E975" s="4">
        <v>403402</v>
      </c>
      <c r="F975" s="2" t="s">
        <v>2</v>
      </c>
      <c r="G975" s="2" t="str">
        <f t="shared" si="75"/>
        <v>https://www.oreht.ru/modules.php?name=orehtPriceLS&amp;op=Search&amp;page=1&amp;stext=403402</v>
      </c>
      <c r="I975">
        <v>403402</v>
      </c>
      <c r="J975" t="s">
        <v>2</v>
      </c>
      <c r="K975" t="s">
        <v>2824</v>
      </c>
      <c r="L975" t="s">
        <v>2825</v>
      </c>
      <c r="M975" t="s">
        <v>649</v>
      </c>
    </row>
    <row r="976" spans="1:13" hidden="1" x14ac:dyDescent="0.25">
      <c r="A976" s="24">
        <f t="shared" si="76"/>
        <v>20</v>
      </c>
      <c r="B976" s="24">
        <v>12</v>
      </c>
      <c r="C976" s="24">
        <v>249.48</v>
      </c>
      <c r="E976" s="4">
        <v>88921</v>
      </c>
      <c r="F976" s="2" t="s">
        <v>2</v>
      </c>
      <c r="G976" s="2" t="str">
        <f t="shared" si="75"/>
        <v>https://www.oreht.ru/modules.php?name=orehtPriceLS&amp;op=Search&amp;page=1&amp;stext=88921</v>
      </c>
      <c r="I976">
        <v>88921</v>
      </c>
      <c r="J976" t="s">
        <v>2</v>
      </c>
      <c r="K976" t="s">
        <v>2826</v>
      </c>
      <c r="L976" t="s">
        <v>2827</v>
      </c>
      <c r="M976" t="s">
        <v>2828</v>
      </c>
    </row>
    <row r="977" spans="1:13" x14ac:dyDescent="0.25">
      <c r="A977" s="24">
        <f t="shared" si="76"/>
        <v>20</v>
      </c>
      <c r="B977" s="24">
        <v>12</v>
      </c>
      <c r="C977" s="24">
        <v>252.3</v>
      </c>
      <c r="E977" s="4">
        <v>454854</v>
      </c>
      <c r="F977" s="2" t="s">
        <v>2</v>
      </c>
      <c r="G977" s="2" t="str">
        <f t="shared" si="75"/>
        <v>https://www.oreht.ru/modules.php?name=orehtPriceLS&amp;op=Search&amp;page=1&amp;stext=454854</v>
      </c>
      <c r="I977">
        <v>454854</v>
      </c>
      <c r="J977" t="s">
        <v>2</v>
      </c>
      <c r="K977" t="s">
        <v>2829</v>
      </c>
      <c r="L977" t="s">
        <v>2830</v>
      </c>
      <c r="M977" t="s">
        <v>649</v>
      </c>
    </row>
    <row r="978" spans="1:13" hidden="1" x14ac:dyDescent="0.25">
      <c r="A978" s="24">
        <f t="shared" si="76"/>
        <v>20</v>
      </c>
      <c r="B978" s="24">
        <v>12</v>
      </c>
      <c r="C978" s="24">
        <v>175</v>
      </c>
      <c r="E978" s="4">
        <v>389616</v>
      </c>
      <c r="F978" s="2" t="s">
        <v>2</v>
      </c>
      <c r="G978" s="2" t="str">
        <f t="shared" si="75"/>
        <v>https://www.oreht.ru/modules.php?name=orehtPriceLS&amp;op=Search&amp;page=1&amp;stext=389616</v>
      </c>
      <c r="I978">
        <v>389616</v>
      </c>
      <c r="J978" t="s">
        <v>2</v>
      </c>
      <c r="K978" t="s">
        <v>2831</v>
      </c>
      <c r="L978" t="s">
        <v>2832</v>
      </c>
      <c r="M978" t="s">
        <v>2833</v>
      </c>
    </row>
    <row r="979" spans="1:13" hidden="1" x14ac:dyDescent="0.25">
      <c r="A979" s="24">
        <f t="shared" si="76"/>
        <v>20</v>
      </c>
      <c r="B979" s="24">
        <v>11</v>
      </c>
      <c r="C979" s="24">
        <v>242.64</v>
      </c>
      <c r="E979" s="4">
        <v>124476</v>
      </c>
      <c r="F979" s="2" t="s">
        <v>2</v>
      </c>
      <c r="G979" s="2" t="str">
        <f t="shared" si="75"/>
        <v>https://www.oreht.ru/modules.php?name=orehtPriceLS&amp;op=Search&amp;page=1&amp;stext=124476</v>
      </c>
      <c r="I979">
        <v>124476</v>
      </c>
      <c r="J979" t="s">
        <v>2</v>
      </c>
      <c r="K979" t="s">
        <v>2834</v>
      </c>
      <c r="L979" t="s">
        <v>2835</v>
      </c>
      <c r="M979" t="s">
        <v>2836</v>
      </c>
    </row>
    <row r="980" spans="1:13" x14ac:dyDescent="0.25">
      <c r="A980" s="24">
        <f t="shared" si="76"/>
        <v>20</v>
      </c>
      <c r="B980" s="24">
        <v>12</v>
      </c>
      <c r="C980" s="24">
        <v>175</v>
      </c>
      <c r="E980" s="4">
        <v>389614</v>
      </c>
      <c r="F980" s="2" t="s">
        <v>2</v>
      </c>
      <c r="G980" s="2" t="str">
        <f t="shared" si="75"/>
        <v>https://www.oreht.ru/modules.php?name=orehtPriceLS&amp;op=Search&amp;page=1&amp;stext=389614</v>
      </c>
      <c r="I980">
        <v>389614</v>
      </c>
      <c r="J980" t="s">
        <v>2</v>
      </c>
      <c r="K980" t="s">
        <v>2837</v>
      </c>
      <c r="L980" t="s">
        <v>2838</v>
      </c>
      <c r="M980" t="s">
        <v>649</v>
      </c>
    </row>
    <row r="981" spans="1:13" hidden="1" x14ac:dyDescent="0.25">
      <c r="A981" s="24">
        <f t="shared" si="76"/>
        <v>20</v>
      </c>
      <c r="B981" s="24">
        <v>12</v>
      </c>
      <c r="C981" s="24">
        <v>225</v>
      </c>
      <c r="E981" s="4">
        <v>440263</v>
      </c>
      <c r="F981" s="2" t="s">
        <v>2</v>
      </c>
      <c r="G981" s="2" t="str">
        <f t="shared" si="75"/>
        <v>https://www.oreht.ru/modules.php?name=orehtPriceLS&amp;op=Search&amp;page=1&amp;stext=440263</v>
      </c>
      <c r="I981">
        <v>440263</v>
      </c>
      <c r="J981" t="s">
        <v>2</v>
      </c>
      <c r="K981" t="s">
        <v>2839</v>
      </c>
      <c r="L981" t="s">
        <v>2840</v>
      </c>
      <c r="M981" t="s">
        <v>2841</v>
      </c>
    </row>
    <row r="982" spans="1:13" hidden="1" x14ac:dyDescent="0.25">
      <c r="A982" s="24">
        <f t="shared" si="76"/>
        <v>20</v>
      </c>
      <c r="B982" s="24">
        <v>12</v>
      </c>
      <c r="C982" s="24">
        <v>203.22</v>
      </c>
      <c r="E982" s="4">
        <v>251948</v>
      </c>
      <c r="F982" s="2" t="s">
        <v>2</v>
      </c>
      <c r="G982" s="2" t="str">
        <f t="shared" si="75"/>
        <v>https://www.oreht.ru/modules.php?name=orehtPriceLS&amp;op=Search&amp;page=1&amp;stext=251948</v>
      </c>
      <c r="I982">
        <v>251948</v>
      </c>
      <c r="J982" t="s">
        <v>2</v>
      </c>
      <c r="K982" t="s">
        <v>2842</v>
      </c>
      <c r="L982" t="s">
        <v>2843</v>
      </c>
      <c r="M982" t="s">
        <v>2844</v>
      </c>
    </row>
    <row r="983" spans="1:13" hidden="1" x14ac:dyDescent="0.25">
      <c r="A983" s="24">
        <f t="shared" si="76"/>
        <v>20</v>
      </c>
      <c r="B983" s="24">
        <v>12</v>
      </c>
      <c r="C983" s="24">
        <v>190</v>
      </c>
      <c r="E983" s="4">
        <v>453300</v>
      </c>
      <c r="F983" s="2" t="s">
        <v>2</v>
      </c>
      <c r="G983" s="2" t="str">
        <f t="shared" si="75"/>
        <v>https://www.oreht.ru/modules.php?name=orehtPriceLS&amp;op=Search&amp;page=1&amp;stext=453300</v>
      </c>
      <c r="I983">
        <v>453300</v>
      </c>
      <c r="J983" t="s">
        <v>2</v>
      </c>
      <c r="K983" t="s">
        <v>2845</v>
      </c>
      <c r="L983" t="s">
        <v>2846</v>
      </c>
      <c r="M983" t="s">
        <v>2847</v>
      </c>
    </row>
    <row r="984" spans="1:13" hidden="1" x14ac:dyDescent="0.25">
      <c r="A984" s="24">
        <f t="shared" si="76"/>
        <v>20</v>
      </c>
      <c r="B984" s="24">
        <v>10</v>
      </c>
      <c r="C984" s="24">
        <v>203.22</v>
      </c>
      <c r="E984" s="4">
        <v>423515</v>
      </c>
      <c r="F984" s="2" t="s">
        <v>2</v>
      </c>
      <c r="G984" s="2" t="str">
        <f t="shared" si="75"/>
        <v>https://www.oreht.ru/modules.php?name=orehtPriceLS&amp;op=Search&amp;page=1&amp;stext=423515</v>
      </c>
      <c r="I984">
        <v>423515</v>
      </c>
      <c r="J984" t="s">
        <v>2</v>
      </c>
      <c r="K984" t="s">
        <v>2848</v>
      </c>
      <c r="L984" t="s">
        <v>2849</v>
      </c>
      <c r="M984" t="s">
        <v>2850</v>
      </c>
    </row>
    <row r="985" spans="1:13" x14ac:dyDescent="0.25">
      <c r="A985" s="24">
        <f t="shared" si="76"/>
        <v>20</v>
      </c>
      <c r="B985" s="24">
        <v>12</v>
      </c>
      <c r="C985" s="24">
        <v>234.78</v>
      </c>
      <c r="E985" s="4">
        <v>346195</v>
      </c>
      <c r="F985" s="2" t="s">
        <v>2</v>
      </c>
      <c r="G985" s="2" t="str">
        <f t="shared" si="75"/>
        <v>https://www.oreht.ru/modules.php?name=orehtPriceLS&amp;op=Search&amp;page=1&amp;stext=346195</v>
      </c>
      <c r="I985">
        <v>346195</v>
      </c>
      <c r="J985" t="s">
        <v>2</v>
      </c>
      <c r="K985" t="s">
        <v>2851</v>
      </c>
      <c r="L985" t="s">
        <v>2852</v>
      </c>
      <c r="M985" t="s">
        <v>649</v>
      </c>
    </row>
    <row r="986" spans="1:13" hidden="1" x14ac:dyDescent="0.25">
      <c r="A986" s="24">
        <f t="shared" si="76"/>
        <v>20</v>
      </c>
      <c r="B986" s="24">
        <v>11</v>
      </c>
      <c r="C986" s="24">
        <v>130</v>
      </c>
      <c r="E986" s="4">
        <v>372515</v>
      </c>
      <c r="F986" s="2" t="s">
        <v>2</v>
      </c>
      <c r="G986" s="2" t="str">
        <f t="shared" si="75"/>
        <v>https://www.oreht.ru/modules.php?name=orehtPriceLS&amp;op=Search&amp;page=1&amp;stext=372515</v>
      </c>
      <c r="I986">
        <v>372515</v>
      </c>
      <c r="J986" t="s">
        <v>2</v>
      </c>
      <c r="K986" t="s">
        <v>2853</v>
      </c>
      <c r="L986" t="s">
        <v>2854</v>
      </c>
      <c r="M986" t="s">
        <v>2855</v>
      </c>
    </row>
    <row r="987" spans="1:13" x14ac:dyDescent="0.25">
      <c r="A987" s="24">
        <f t="shared" si="76"/>
        <v>20</v>
      </c>
      <c r="B987" s="24">
        <v>12</v>
      </c>
      <c r="C987" s="24">
        <v>249.96</v>
      </c>
      <c r="E987" s="4">
        <v>442585</v>
      </c>
      <c r="F987" s="2" t="s">
        <v>2</v>
      </c>
      <c r="G987" s="2" t="str">
        <f t="shared" si="75"/>
        <v>https://www.oreht.ru/modules.php?name=orehtPriceLS&amp;op=Search&amp;page=1&amp;stext=442585</v>
      </c>
      <c r="I987">
        <v>442585</v>
      </c>
      <c r="J987" t="s">
        <v>2</v>
      </c>
      <c r="K987" t="s">
        <v>2856</v>
      </c>
      <c r="L987" t="s">
        <v>2857</v>
      </c>
      <c r="M987" t="s">
        <v>649</v>
      </c>
    </row>
    <row r="988" spans="1:13" hidden="1" x14ac:dyDescent="0.25">
      <c r="A988" s="24">
        <f t="shared" si="76"/>
        <v>20</v>
      </c>
      <c r="B988" s="24">
        <v>12</v>
      </c>
      <c r="C988" s="24">
        <v>255.84</v>
      </c>
      <c r="E988" s="4">
        <v>389640</v>
      </c>
      <c r="F988" s="2" t="s">
        <v>2</v>
      </c>
      <c r="G988" s="2" t="str">
        <f t="shared" si="75"/>
        <v>https://www.oreht.ru/modules.php?name=orehtPriceLS&amp;op=Search&amp;page=1&amp;stext=389640</v>
      </c>
      <c r="I988">
        <v>389640</v>
      </c>
      <c r="J988" t="s">
        <v>2</v>
      </c>
      <c r="K988" t="s">
        <v>2858</v>
      </c>
      <c r="L988" t="s">
        <v>2859</v>
      </c>
      <c r="M988" t="s">
        <v>2860</v>
      </c>
    </row>
    <row r="989" spans="1:13" hidden="1" x14ac:dyDescent="0.25">
      <c r="A989" s="24">
        <f t="shared" si="76"/>
        <v>20</v>
      </c>
      <c r="B989" s="24">
        <v>12</v>
      </c>
      <c r="C989" s="24">
        <v>249.66</v>
      </c>
      <c r="E989" s="4">
        <v>333861</v>
      </c>
      <c r="F989" s="2" t="s">
        <v>2</v>
      </c>
      <c r="G989" s="2" t="str">
        <f t="shared" si="75"/>
        <v>https://www.oreht.ru/modules.php?name=orehtPriceLS&amp;op=Search&amp;page=1&amp;stext=333861</v>
      </c>
      <c r="I989">
        <v>333861</v>
      </c>
      <c r="J989" t="s">
        <v>2</v>
      </c>
      <c r="K989" t="s">
        <v>2861</v>
      </c>
      <c r="L989" t="s">
        <v>2862</v>
      </c>
      <c r="M989" t="s">
        <v>2863</v>
      </c>
    </row>
    <row r="990" spans="1:13" x14ac:dyDescent="0.25">
      <c r="A990" s="24">
        <f t="shared" si="76"/>
        <v>20</v>
      </c>
      <c r="B990" s="24">
        <v>12</v>
      </c>
      <c r="C990" s="24">
        <v>125</v>
      </c>
      <c r="E990" s="4">
        <v>341735</v>
      </c>
      <c r="F990" s="2" t="s">
        <v>2</v>
      </c>
      <c r="G990" s="2" t="str">
        <f t="shared" si="75"/>
        <v>https://www.oreht.ru/modules.php?name=orehtPriceLS&amp;op=Search&amp;page=1&amp;stext=341735</v>
      </c>
      <c r="I990">
        <v>341735</v>
      </c>
      <c r="J990" t="s">
        <v>2</v>
      </c>
      <c r="K990" t="s">
        <v>2864</v>
      </c>
      <c r="L990" t="s">
        <v>2865</v>
      </c>
      <c r="M990" t="s">
        <v>649</v>
      </c>
    </row>
    <row r="991" spans="1:13" hidden="1" x14ac:dyDescent="0.25">
      <c r="A991" s="24">
        <f t="shared" si="76"/>
        <v>20</v>
      </c>
      <c r="B991" s="24">
        <v>12</v>
      </c>
      <c r="C991" s="24">
        <v>240.54</v>
      </c>
      <c r="E991" s="4">
        <v>212764</v>
      </c>
      <c r="F991" s="2" t="s">
        <v>2</v>
      </c>
      <c r="G991" s="2" t="str">
        <f t="shared" si="75"/>
        <v>https://www.oreht.ru/modules.php?name=orehtPriceLS&amp;op=Search&amp;page=1&amp;stext=212764</v>
      </c>
      <c r="I991">
        <v>212764</v>
      </c>
      <c r="J991" t="s">
        <v>2</v>
      </c>
      <c r="K991" t="s">
        <v>2866</v>
      </c>
      <c r="L991" t="s">
        <v>2867</v>
      </c>
      <c r="M991" t="s">
        <v>2868</v>
      </c>
    </row>
    <row r="992" spans="1:13" hidden="1" x14ac:dyDescent="0.25">
      <c r="A992" s="24">
        <f t="shared" si="76"/>
        <v>20</v>
      </c>
      <c r="B992" s="24">
        <v>12</v>
      </c>
      <c r="C992" s="24">
        <v>216.66</v>
      </c>
      <c r="E992" s="4">
        <v>428633</v>
      </c>
      <c r="F992" s="2" t="s">
        <v>2</v>
      </c>
      <c r="G992" s="2" t="str">
        <f t="shared" si="75"/>
        <v>https://www.oreht.ru/modules.php?name=orehtPriceLS&amp;op=Search&amp;page=1&amp;stext=428633</v>
      </c>
      <c r="I992">
        <v>428633</v>
      </c>
      <c r="J992" t="s">
        <v>2</v>
      </c>
      <c r="K992" t="s">
        <v>2869</v>
      </c>
      <c r="L992" t="s">
        <v>2870</v>
      </c>
      <c r="M992" t="s">
        <v>2871</v>
      </c>
    </row>
    <row r="993" spans="1:13" hidden="1" x14ac:dyDescent="0.25">
      <c r="A993" s="24">
        <f t="shared" si="76"/>
        <v>20</v>
      </c>
      <c r="B993" s="24">
        <v>11</v>
      </c>
      <c r="C993" s="24">
        <v>175</v>
      </c>
      <c r="E993" s="4">
        <v>232528</v>
      </c>
      <c r="F993" s="2" t="s">
        <v>2</v>
      </c>
      <c r="G993" s="2" t="str">
        <f t="shared" si="75"/>
        <v>https://www.oreht.ru/modules.php?name=orehtPriceLS&amp;op=Search&amp;page=1&amp;stext=232528</v>
      </c>
      <c r="I993">
        <v>232528</v>
      </c>
      <c r="J993" t="s">
        <v>2</v>
      </c>
      <c r="K993" t="s">
        <v>2872</v>
      </c>
      <c r="L993" t="s">
        <v>2873</v>
      </c>
      <c r="M993" t="s">
        <v>2874</v>
      </c>
    </row>
    <row r="994" spans="1:13" hidden="1" x14ac:dyDescent="0.25">
      <c r="A994" s="24">
        <f t="shared" si="76"/>
        <v>20</v>
      </c>
      <c r="B994" s="24">
        <v>11</v>
      </c>
      <c r="C994" s="24">
        <v>105</v>
      </c>
      <c r="E994" s="4">
        <v>371396</v>
      </c>
      <c r="F994" s="2" t="s">
        <v>2</v>
      </c>
      <c r="G994" s="2" t="str">
        <f t="shared" si="75"/>
        <v>https://www.oreht.ru/modules.php?name=orehtPriceLS&amp;op=Search&amp;page=1&amp;stext=371396</v>
      </c>
      <c r="I994">
        <v>371396</v>
      </c>
      <c r="J994" t="s">
        <v>2</v>
      </c>
      <c r="K994" t="s">
        <v>2875</v>
      </c>
      <c r="L994" t="s">
        <v>2876</v>
      </c>
      <c r="M994" t="s">
        <v>2877</v>
      </c>
    </row>
    <row r="995" spans="1:13" hidden="1" x14ac:dyDescent="0.25">
      <c r="A995" s="24">
        <f t="shared" si="76"/>
        <v>20</v>
      </c>
      <c r="B995" s="24">
        <v>12</v>
      </c>
      <c r="C995" s="24">
        <v>247.44</v>
      </c>
      <c r="E995" s="4">
        <v>124390</v>
      </c>
      <c r="F995" s="2" t="s">
        <v>2</v>
      </c>
      <c r="G995" s="2" t="str">
        <f t="shared" si="75"/>
        <v>https://www.oreht.ru/modules.php?name=orehtPriceLS&amp;op=Search&amp;page=1&amp;stext=124390</v>
      </c>
      <c r="I995">
        <v>124390</v>
      </c>
      <c r="J995" t="s">
        <v>2</v>
      </c>
      <c r="K995" t="s">
        <v>2878</v>
      </c>
      <c r="L995" t="s">
        <v>2879</v>
      </c>
      <c r="M995" t="s">
        <v>2880</v>
      </c>
    </row>
    <row r="996" spans="1:13" x14ac:dyDescent="0.25">
      <c r="A996" s="24">
        <f t="shared" si="76"/>
        <v>20</v>
      </c>
      <c r="B996" s="24">
        <v>10</v>
      </c>
      <c r="C996" s="24">
        <v>165</v>
      </c>
      <c r="E996" s="4">
        <v>380168</v>
      </c>
      <c r="F996" s="2" t="s">
        <v>2</v>
      </c>
      <c r="G996" s="2" t="str">
        <f t="shared" si="75"/>
        <v>https://www.oreht.ru/modules.php?name=orehtPriceLS&amp;op=Search&amp;page=1&amp;stext=380168</v>
      </c>
      <c r="I996">
        <v>380168</v>
      </c>
      <c r="J996" t="s">
        <v>2</v>
      </c>
      <c r="K996" t="s">
        <v>2881</v>
      </c>
      <c r="L996" t="s">
        <v>2882</v>
      </c>
      <c r="M996" t="s">
        <v>649</v>
      </c>
    </row>
    <row r="997" spans="1:13" x14ac:dyDescent="0.25">
      <c r="A997" s="24">
        <f t="shared" si="76"/>
        <v>20</v>
      </c>
      <c r="B997" s="24">
        <v>12</v>
      </c>
      <c r="C997" s="24">
        <v>247.38</v>
      </c>
      <c r="E997" s="4">
        <v>429436</v>
      </c>
      <c r="F997" s="2" t="s">
        <v>2</v>
      </c>
      <c r="G997" s="2" t="str">
        <f t="shared" si="75"/>
        <v>https://www.oreht.ru/modules.php?name=orehtPriceLS&amp;op=Search&amp;page=1&amp;stext=429436</v>
      </c>
      <c r="I997">
        <v>429436</v>
      </c>
      <c r="J997" t="s">
        <v>2</v>
      </c>
      <c r="K997" t="s">
        <v>2883</v>
      </c>
      <c r="L997" t="s">
        <v>2884</v>
      </c>
      <c r="M997" t="s">
        <v>649</v>
      </c>
    </row>
    <row r="998" spans="1:13" x14ac:dyDescent="0.25">
      <c r="A998" s="24">
        <f t="shared" si="76"/>
        <v>20</v>
      </c>
      <c r="B998" s="24">
        <v>12</v>
      </c>
      <c r="C998" s="24">
        <v>140</v>
      </c>
      <c r="E998" s="4">
        <v>345890</v>
      </c>
      <c r="F998" s="2" t="s">
        <v>2</v>
      </c>
      <c r="G998" s="2" t="str">
        <f t="shared" si="75"/>
        <v>https://www.oreht.ru/modules.php?name=orehtPriceLS&amp;op=Search&amp;page=1&amp;stext=345890</v>
      </c>
      <c r="I998">
        <v>345890</v>
      </c>
      <c r="J998" t="s">
        <v>2</v>
      </c>
      <c r="K998" t="s">
        <v>2885</v>
      </c>
      <c r="L998" t="s">
        <v>2886</v>
      </c>
      <c r="M998" t="s">
        <v>649</v>
      </c>
    </row>
    <row r="999" spans="1:13" hidden="1" x14ac:dyDescent="0.25">
      <c r="A999" s="24">
        <f t="shared" si="76"/>
        <v>20</v>
      </c>
      <c r="B999" s="24">
        <v>12</v>
      </c>
      <c r="C999" s="24">
        <v>239.4</v>
      </c>
      <c r="E999" s="4">
        <v>321730</v>
      </c>
      <c r="F999" s="2" t="s">
        <v>2</v>
      </c>
      <c r="G999" s="2" t="str">
        <f t="shared" si="75"/>
        <v>https://www.oreht.ru/modules.php?name=orehtPriceLS&amp;op=Search&amp;page=1&amp;stext=321730</v>
      </c>
      <c r="I999">
        <v>321730</v>
      </c>
      <c r="J999" t="s">
        <v>2</v>
      </c>
      <c r="K999" t="s">
        <v>2887</v>
      </c>
      <c r="L999" t="s">
        <v>2888</v>
      </c>
      <c r="M999" t="s">
        <v>2889</v>
      </c>
    </row>
    <row r="1000" spans="1:13" hidden="1" x14ac:dyDescent="0.25">
      <c r="A1000" s="24">
        <f t="shared" si="76"/>
        <v>20</v>
      </c>
      <c r="B1000" s="24">
        <v>12</v>
      </c>
      <c r="C1000" s="24">
        <v>125</v>
      </c>
      <c r="E1000" s="4">
        <v>343370</v>
      </c>
      <c r="F1000" s="2" t="s">
        <v>2</v>
      </c>
      <c r="G1000" s="2" t="str">
        <f t="shared" si="75"/>
        <v>https://www.oreht.ru/modules.php?name=orehtPriceLS&amp;op=Search&amp;page=1&amp;stext=343370</v>
      </c>
      <c r="I1000">
        <v>343370</v>
      </c>
      <c r="J1000" t="s">
        <v>2</v>
      </c>
      <c r="K1000" t="s">
        <v>2890</v>
      </c>
      <c r="L1000" t="s">
        <v>2891</v>
      </c>
      <c r="M1000" t="s">
        <v>2892</v>
      </c>
    </row>
    <row r="1001" spans="1:13" x14ac:dyDescent="0.25">
      <c r="A1001" s="24">
        <f t="shared" si="76"/>
        <v>20</v>
      </c>
      <c r="B1001" s="24">
        <v>10</v>
      </c>
      <c r="C1001" s="24">
        <v>165</v>
      </c>
      <c r="E1001" s="4">
        <v>417494</v>
      </c>
      <c r="F1001" s="2" t="s">
        <v>2</v>
      </c>
      <c r="G1001" s="2" t="str">
        <f t="shared" si="75"/>
        <v>https://www.oreht.ru/modules.php?name=orehtPriceLS&amp;op=Search&amp;page=1&amp;stext=417494</v>
      </c>
      <c r="I1001">
        <v>417494</v>
      </c>
      <c r="J1001" t="s">
        <v>2</v>
      </c>
      <c r="K1001" t="s">
        <v>2893</v>
      </c>
      <c r="L1001" t="s">
        <v>2894</v>
      </c>
      <c r="M1001" t="s">
        <v>649</v>
      </c>
    </row>
    <row r="1002" spans="1:13" hidden="1" x14ac:dyDescent="0.25">
      <c r="A1002" s="24">
        <f t="shared" si="76"/>
        <v>20</v>
      </c>
      <c r="B1002" s="24">
        <v>12</v>
      </c>
      <c r="C1002" s="24">
        <v>244.98</v>
      </c>
      <c r="E1002" s="4">
        <v>426585</v>
      </c>
      <c r="F1002" s="2" t="s">
        <v>2</v>
      </c>
      <c r="G1002" s="2" t="str">
        <f t="shared" si="75"/>
        <v>https://www.oreht.ru/modules.php?name=orehtPriceLS&amp;op=Search&amp;page=1&amp;stext=426585</v>
      </c>
      <c r="I1002">
        <v>426585</v>
      </c>
      <c r="J1002" t="s">
        <v>2</v>
      </c>
      <c r="K1002" t="s">
        <v>2895</v>
      </c>
      <c r="L1002" t="s">
        <v>2896</v>
      </c>
      <c r="M1002" t="s">
        <v>2897</v>
      </c>
    </row>
    <row r="1003" spans="1:13" x14ac:dyDescent="0.25">
      <c r="A1003" s="24">
        <f t="shared" si="76"/>
        <v>20</v>
      </c>
      <c r="B1003" s="24">
        <v>12</v>
      </c>
      <c r="C1003" s="24">
        <v>246.24</v>
      </c>
      <c r="E1003" s="4">
        <v>430870</v>
      </c>
      <c r="F1003" s="2" t="s">
        <v>2</v>
      </c>
      <c r="G1003" s="2" t="str">
        <f t="shared" si="75"/>
        <v>https://www.oreht.ru/modules.php?name=orehtPriceLS&amp;op=Search&amp;page=1&amp;stext=430870</v>
      </c>
      <c r="I1003">
        <v>430870</v>
      </c>
      <c r="J1003" t="s">
        <v>2</v>
      </c>
      <c r="K1003" t="s">
        <v>2898</v>
      </c>
      <c r="L1003" t="s">
        <v>2899</v>
      </c>
      <c r="M1003" t="s">
        <v>649</v>
      </c>
    </row>
    <row r="1004" spans="1:13" hidden="1" x14ac:dyDescent="0.25">
      <c r="A1004" s="24">
        <f t="shared" si="76"/>
        <v>20</v>
      </c>
      <c r="B1004" s="24">
        <v>12</v>
      </c>
      <c r="C1004" s="24">
        <v>245.94</v>
      </c>
      <c r="E1004" s="4">
        <v>202272</v>
      </c>
      <c r="F1004" s="2" t="s">
        <v>2</v>
      </c>
      <c r="G1004" s="2" t="str">
        <f t="shared" si="75"/>
        <v>https://www.oreht.ru/modules.php?name=orehtPriceLS&amp;op=Search&amp;page=1&amp;stext=202272</v>
      </c>
      <c r="I1004">
        <v>202272</v>
      </c>
      <c r="J1004" t="s">
        <v>2</v>
      </c>
      <c r="K1004" t="s">
        <v>2900</v>
      </c>
      <c r="L1004" t="s">
        <v>2901</v>
      </c>
      <c r="M1004" t="s">
        <v>2902</v>
      </c>
    </row>
    <row r="1005" spans="1:13" hidden="1" x14ac:dyDescent="0.25">
      <c r="A1005" s="24">
        <f t="shared" si="76"/>
        <v>20</v>
      </c>
      <c r="B1005" s="24">
        <v>12</v>
      </c>
      <c r="C1005" s="24">
        <v>125</v>
      </c>
      <c r="E1005" s="4">
        <v>230672</v>
      </c>
      <c r="F1005" s="2" t="s">
        <v>2</v>
      </c>
      <c r="G1005" s="2" t="str">
        <f t="shared" si="75"/>
        <v>https://www.oreht.ru/modules.php?name=orehtPriceLS&amp;op=Search&amp;page=1&amp;stext=230672</v>
      </c>
      <c r="I1005">
        <v>230672</v>
      </c>
      <c r="J1005" t="s">
        <v>2</v>
      </c>
      <c r="K1005" t="s">
        <v>2903</v>
      </c>
      <c r="L1005" t="s">
        <v>2904</v>
      </c>
      <c r="M1005" t="s">
        <v>2905</v>
      </c>
    </row>
    <row r="1006" spans="1:13" x14ac:dyDescent="0.25">
      <c r="A1006" s="24">
        <f t="shared" si="76"/>
        <v>20</v>
      </c>
      <c r="B1006" s="24">
        <v>12</v>
      </c>
      <c r="C1006" s="24">
        <v>245.52</v>
      </c>
      <c r="E1006" s="4">
        <v>445501</v>
      </c>
      <c r="F1006" s="2" t="s">
        <v>2</v>
      </c>
      <c r="G1006" s="2" t="str">
        <f t="shared" si="75"/>
        <v>https://www.oreht.ru/modules.php?name=orehtPriceLS&amp;op=Search&amp;page=1&amp;stext=445501</v>
      </c>
      <c r="I1006">
        <v>445501</v>
      </c>
      <c r="J1006" t="s">
        <v>2</v>
      </c>
      <c r="K1006" t="s">
        <v>2906</v>
      </c>
      <c r="L1006" t="s">
        <v>2907</v>
      </c>
      <c r="M1006" t="s">
        <v>649</v>
      </c>
    </row>
    <row r="1007" spans="1:13" x14ac:dyDescent="0.25">
      <c r="A1007" s="24">
        <f t="shared" si="76"/>
        <v>20</v>
      </c>
      <c r="B1007" s="24">
        <v>10</v>
      </c>
      <c r="C1007" s="24">
        <v>165</v>
      </c>
      <c r="E1007" s="4">
        <v>417512</v>
      </c>
      <c r="F1007" s="2" t="s">
        <v>2</v>
      </c>
      <c r="G1007" s="2" t="str">
        <f t="shared" si="75"/>
        <v>https://www.oreht.ru/modules.php?name=orehtPriceLS&amp;op=Search&amp;page=1&amp;stext=417512</v>
      </c>
      <c r="I1007">
        <v>417512</v>
      </c>
      <c r="J1007" t="s">
        <v>2</v>
      </c>
      <c r="K1007" t="s">
        <v>2908</v>
      </c>
      <c r="L1007" t="s">
        <v>2909</v>
      </c>
      <c r="M1007" t="s">
        <v>649</v>
      </c>
    </row>
    <row r="1008" spans="1:13" hidden="1" x14ac:dyDescent="0.25">
      <c r="A1008" s="24">
        <f t="shared" si="76"/>
        <v>20</v>
      </c>
      <c r="B1008" s="24">
        <v>12</v>
      </c>
      <c r="C1008" s="24">
        <v>243.72</v>
      </c>
      <c r="E1008" s="4">
        <v>428635</v>
      </c>
      <c r="F1008" s="2" t="s">
        <v>2</v>
      </c>
      <c r="G1008" s="2" t="str">
        <f t="shared" si="75"/>
        <v>https://www.oreht.ru/modules.php?name=orehtPriceLS&amp;op=Search&amp;page=1&amp;stext=428635</v>
      </c>
      <c r="I1008">
        <v>428635</v>
      </c>
      <c r="J1008" t="s">
        <v>2</v>
      </c>
      <c r="K1008" t="s">
        <v>2910</v>
      </c>
      <c r="L1008" t="s">
        <v>2911</v>
      </c>
      <c r="M1008" t="s">
        <v>2912</v>
      </c>
    </row>
    <row r="1009" spans="1:13" hidden="1" x14ac:dyDescent="0.25">
      <c r="A1009" s="24">
        <f t="shared" si="76"/>
        <v>20</v>
      </c>
      <c r="B1009" s="24">
        <v>12</v>
      </c>
      <c r="C1009" s="24">
        <v>245.16</v>
      </c>
      <c r="E1009" s="4">
        <v>448564</v>
      </c>
      <c r="F1009" s="2" t="s">
        <v>2</v>
      </c>
      <c r="G1009" s="2" t="str">
        <f t="shared" si="75"/>
        <v>https://www.oreht.ru/modules.php?name=orehtPriceLS&amp;op=Search&amp;page=1&amp;stext=448564</v>
      </c>
      <c r="I1009">
        <v>448564</v>
      </c>
      <c r="J1009" t="s">
        <v>2</v>
      </c>
      <c r="K1009" t="s">
        <v>2913</v>
      </c>
      <c r="L1009" t="s">
        <v>2914</v>
      </c>
      <c r="M1009" t="s">
        <v>2912</v>
      </c>
    </row>
    <row r="1010" spans="1:13" hidden="1" x14ac:dyDescent="0.25">
      <c r="A1010" s="24">
        <f t="shared" si="76"/>
        <v>20</v>
      </c>
      <c r="B1010" s="24">
        <v>12</v>
      </c>
      <c r="C1010" s="24">
        <v>245.58</v>
      </c>
      <c r="E1010" s="4">
        <v>448566</v>
      </c>
      <c r="F1010" s="2" t="s">
        <v>2</v>
      </c>
      <c r="G1010" s="2" t="str">
        <f t="shared" si="75"/>
        <v>https://www.oreht.ru/modules.php?name=orehtPriceLS&amp;op=Search&amp;page=1&amp;stext=448566</v>
      </c>
      <c r="I1010">
        <v>448566</v>
      </c>
      <c r="J1010" t="s">
        <v>2</v>
      </c>
      <c r="K1010" t="s">
        <v>2915</v>
      </c>
      <c r="L1010" t="s">
        <v>2916</v>
      </c>
      <c r="M1010" t="s">
        <v>2912</v>
      </c>
    </row>
    <row r="1011" spans="1:13" hidden="1" x14ac:dyDescent="0.25">
      <c r="A1011" s="24">
        <f t="shared" si="76"/>
        <v>20</v>
      </c>
      <c r="B1011" s="24">
        <v>12</v>
      </c>
      <c r="C1011" s="24">
        <v>136.69999999999999</v>
      </c>
      <c r="E1011" s="4">
        <v>382813</v>
      </c>
      <c r="F1011" s="2" t="s">
        <v>2</v>
      </c>
      <c r="G1011" s="2" t="str">
        <f t="shared" si="75"/>
        <v>https://www.oreht.ru/modules.php?name=orehtPriceLS&amp;op=Search&amp;page=1&amp;stext=382813</v>
      </c>
      <c r="I1011">
        <v>382813</v>
      </c>
      <c r="J1011" t="s">
        <v>2</v>
      </c>
      <c r="K1011" t="s">
        <v>2917</v>
      </c>
      <c r="L1011" t="s">
        <v>2918</v>
      </c>
      <c r="M1011" t="s">
        <v>2919</v>
      </c>
    </row>
    <row r="1012" spans="1:13" x14ac:dyDescent="0.25">
      <c r="A1012" s="24">
        <f t="shared" si="76"/>
        <v>20</v>
      </c>
      <c r="B1012" s="24">
        <v>10</v>
      </c>
      <c r="C1012" s="24">
        <v>156.30000000000001</v>
      </c>
      <c r="E1012" s="4">
        <v>381458</v>
      </c>
      <c r="F1012" s="2" t="s">
        <v>2</v>
      </c>
      <c r="G1012" s="2" t="str">
        <f t="shared" si="75"/>
        <v>https://www.oreht.ru/modules.php?name=orehtPriceLS&amp;op=Search&amp;page=1&amp;stext=381458</v>
      </c>
      <c r="I1012">
        <v>381458</v>
      </c>
      <c r="J1012" t="s">
        <v>2</v>
      </c>
      <c r="K1012" t="s">
        <v>2920</v>
      </c>
      <c r="L1012" t="s">
        <v>2921</v>
      </c>
      <c r="M1012" t="s">
        <v>649</v>
      </c>
    </row>
    <row r="1013" spans="1:13" x14ac:dyDescent="0.25">
      <c r="A1013" s="24">
        <f t="shared" si="76"/>
        <v>20</v>
      </c>
      <c r="B1013" s="24">
        <v>12</v>
      </c>
      <c r="C1013" s="24">
        <v>140.63999999999999</v>
      </c>
      <c r="E1013" s="4">
        <v>418485</v>
      </c>
      <c r="F1013" s="2" t="s">
        <v>2</v>
      </c>
      <c r="G1013" s="2" t="str">
        <f t="shared" si="75"/>
        <v>https://www.oreht.ru/modules.php?name=orehtPriceLS&amp;op=Search&amp;page=1&amp;stext=418485</v>
      </c>
      <c r="I1013">
        <v>418485</v>
      </c>
      <c r="J1013" t="s">
        <v>2</v>
      </c>
      <c r="K1013" t="s">
        <v>2922</v>
      </c>
      <c r="L1013" t="s">
        <v>2923</v>
      </c>
      <c r="M1013" t="s">
        <v>649</v>
      </c>
    </row>
    <row r="1014" spans="1:13" hidden="1" x14ac:dyDescent="0.25">
      <c r="A1014" s="24">
        <f t="shared" si="76"/>
        <v>20</v>
      </c>
      <c r="B1014" s="24">
        <v>12</v>
      </c>
      <c r="C1014" s="24">
        <v>206.76</v>
      </c>
      <c r="E1014" s="4">
        <v>148830</v>
      </c>
      <c r="F1014" s="2" t="s">
        <v>2</v>
      </c>
      <c r="G1014" s="2" t="str">
        <f t="shared" si="75"/>
        <v>https://www.oreht.ru/modules.php?name=orehtPriceLS&amp;op=Search&amp;page=1&amp;stext=148830</v>
      </c>
      <c r="I1014">
        <v>148830</v>
      </c>
      <c r="J1014" t="s">
        <v>2</v>
      </c>
      <c r="K1014" t="s">
        <v>2924</v>
      </c>
      <c r="L1014" t="s">
        <v>2925</v>
      </c>
      <c r="M1014" t="s">
        <v>2926</v>
      </c>
    </row>
    <row r="1015" spans="1:13" hidden="1" x14ac:dyDescent="0.25">
      <c r="A1015" s="24">
        <f t="shared" si="76"/>
        <v>20</v>
      </c>
      <c r="B1015" s="24">
        <v>12</v>
      </c>
      <c r="C1015" s="24">
        <v>242.22</v>
      </c>
      <c r="E1015" s="4">
        <v>306016</v>
      </c>
      <c r="F1015" s="2" t="s">
        <v>2</v>
      </c>
      <c r="G1015" s="2" t="str">
        <f t="shared" si="75"/>
        <v>https://www.oreht.ru/modules.php?name=orehtPriceLS&amp;op=Search&amp;page=1&amp;stext=306016</v>
      </c>
      <c r="I1015">
        <v>306016</v>
      </c>
      <c r="J1015" t="s">
        <v>2</v>
      </c>
      <c r="K1015" t="s">
        <v>2927</v>
      </c>
      <c r="L1015" t="s">
        <v>2928</v>
      </c>
      <c r="M1015" t="s">
        <v>2929</v>
      </c>
    </row>
    <row r="1016" spans="1:13" hidden="1" x14ac:dyDescent="0.25">
      <c r="A1016" s="24">
        <f t="shared" si="76"/>
        <v>20</v>
      </c>
      <c r="B1016" s="24">
        <v>12</v>
      </c>
      <c r="C1016" s="24">
        <v>243.66</v>
      </c>
      <c r="E1016" s="4">
        <v>306017</v>
      </c>
      <c r="F1016" s="2" t="s">
        <v>2</v>
      </c>
      <c r="G1016" s="2" t="str">
        <f t="shared" si="75"/>
        <v>https://www.oreht.ru/modules.php?name=orehtPriceLS&amp;op=Search&amp;page=1&amp;stext=306017</v>
      </c>
      <c r="I1016">
        <v>306017</v>
      </c>
      <c r="J1016" t="s">
        <v>2</v>
      </c>
      <c r="K1016" t="s">
        <v>2930</v>
      </c>
      <c r="L1016" t="s">
        <v>2931</v>
      </c>
      <c r="M1016" t="s">
        <v>2929</v>
      </c>
    </row>
    <row r="1017" spans="1:13" x14ac:dyDescent="0.25">
      <c r="A1017" s="24">
        <f t="shared" si="76"/>
        <v>20</v>
      </c>
      <c r="B1017" s="24">
        <v>12</v>
      </c>
      <c r="C1017" s="24">
        <v>243.54</v>
      </c>
      <c r="E1017" s="4">
        <v>306018</v>
      </c>
      <c r="F1017" s="2" t="s">
        <v>2</v>
      </c>
      <c r="G1017" s="2" t="str">
        <f t="shared" si="75"/>
        <v>https://www.oreht.ru/modules.php?name=orehtPriceLS&amp;op=Search&amp;page=1&amp;stext=306018</v>
      </c>
      <c r="I1017">
        <v>306018</v>
      </c>
      <c r="J1017" t="s">
        <v>2</v>
      </c>
      <c r="K1017" t="s">
        <v>2932</v>
      </c>
      <c r="L1017" t="s">
        <v>2933</v>
      </c>
      <c r="M1017" t="s">
        <v>649</v>
      </c>
    </row>
    <row r="1018" spans="1:13" x14ac:dyDescent="0.25">
      <c r="A1018" s="24">
        <f t="shared" si="76"/>
        <v>20</v>
      </c>
      <c r="B1018" s="24">
        <v>12</v>
      </c>
      <c r="C1018" s="24">
        <v>244.08</v>
      </c>
      <c r="E1018" s="4">
        <v>398525</v>
      </c>
      <c r="F1018" s="2" t="s">
        <v>2</v>
      </c>
      <c r="G1018" s="2" t="str">
        <f t="shared" si="75"/>
        <v>https://www.oreht.ru/modules.php?name=orehtPriceLS&amp;op=Search&amp;page=1&amp;stext=398525</v>
      </c>
      <c r="I1018">
        <v>398525</v>
      </c>
      <c r="J1018" t="s">
        <v>2</v>
      </c>
      <c r="K1018" t="s">
        <v>2934</v>
      </c>
      <c r="L1018" t="s">
        <v>2935</v>
      </c>
      <c r="M1018" t="s">
        <v>649</v>
      </c>
    </row>
    <row r="1019" spans="1:13" hidden="1" x14ac:dyDescent="0.25">
      <c r="A1019" s="24">
        <f t="shared" si="76"/>
        <v>20</v>
      </c>
      <c r="B1019" s="24">
        <v>12</v>
      </c>
      <c r="C1019" s="24">
        <v>244.08</v>
      </c>
      <c r="E1019" s="4">
        <v>398526</v>
      </c>
      <c r="F1019" s="2" t="s">
        <v>2</v>
      </c>
      <c r="G1019" s="2" t="str">
        <f t="shared" si="75"/>
        <v>https://www.oreht.ru/modules.php?name=orehtPriceLS&amp;op=Search&amp;page=1&amp;stext=398526</v>
      </c>
      <c r="I1019">
        <v>398526</v>
      </c>
      <c r="J1019" t="s">
        <v>2</v>
      </c>
      <c r="K1019" t="s">
        <v>2936</v>
      </c>
      <c r="L1019" t="s">
        <v>2937</v>
      </c>
      <c r="M1019" t="s">
        <v>2938</v>
      </c>
    </row>
    <row r="1020" spans="1:13" hidden="1" x14ac:dyDescent="0.25">
      <c r="A1020" s="24">
        <f t="shared" si="76"/>
        <v>20</v>
      </c>
      <c r="B1020" s="24">
        <v>12</v>
      </c>
      <c r="C1020" s="24">
        <v>217.98</v>
      </c>
      <c r="E1020" s="4">
        <v>298277</v>
      </c>
      <c r="F1020" s="2" t="s">
        <v>2</v>
      </c>
      <c r="G1020" s="2" t="str">
        <f t="shared" si="75"/>
        <v>https://www.oreht.ru/modules.php?name=orehtPriceLS&amp;op=Search&amp;page=1&amp;stext=298277</v>
      </c>
      <c r="I1020">
        <v>298277</v>
      </c>
      <c r="J1020" t="s">
        <v>2</v>
      </c>
      <c r="K1020" t="s">
        <v>2939</v>
      </c>
      <c r="L1020" t="s">
        <v>2940</v>
      </c>
      <c r="M1020" t="s">
        <v>2941</v>
      </c>
    </row>
    <row r="1021" spans="1:13" hidden="1" x14ac:dyDescent="0.25">
      <c r="A1021" s="24">
        <f t="shared" si="76"/>
        <v>20</v>
      </c>
      <c r="B1021" s="24">
        <v>12</v>
      </c>
      <c r="C1021" s="24">
        <v>216</v>
      </c>
      <c r="E1021" s="4">
        <v>178388</v>
      </c>
      <c r="F1021" s="2" t="s">
        <v>2</v>
      </c>
      <c r="G1021" s="2" t="str">
        <f t="shared" si="75"/>
        <v>https://www.oreht.ru/modules.php?name=orehtPriceLS&amp;op=Search&amp;page=1&amp;stext=178388</v>
      </c>
      <c r="I1021">
        <v>178388</v>
      </c>
      <c r="J1021" t="s">
        <v>2</v>
      </c>
      <c r="K1021" t="s">
        <v>2942</v>
      </c>
      <c r="L1021" t="s">
        <v>2943</v>
      </c>
      <c r="M1021" t="s">
        <v>2944</v>
      </c>
    </row>
    <row r="1022" spans="1:13" hidden="1" x14ac:dyDescent="0.25">
      <c r="A1022" s="24">
        <f t="shared" si="76"/>
        <v>20</v>
      </c>
      <c r="B1022" s="24">
        <v>12</v>
      </c>
      <c r="C1022" s="24">
        <v>175</v>
      </c>
      <c r="E1022" s="4">
        <v>429194</v>
      </c>
      <c r="F1022" s="2" t="s">
        <v>2</v>
      </c>
      <c r="G1022" s="2" t="str">
        <f t="shared" si="75"/>
        <v>https://www.oreht.ru/modules.php?name=orehtPriceLS&amp;op=Search&amp;page=1&amp;stext=429194</v>
      </c>
      <c r="I1022">
        <v>429194</v>
      </c>
      <c r="J1022" t="s">
        <v>2</v>
      </c>
      <c r="K1022" t="s">
        <v>2945</v>
      </c>
      <c r="L1022" t="s">
        <v>2946</v>
      </c>
      <c r="M1022" t="s">
        <v>2947</v>
      </c>
    </row>
    <row r="1023" spans="1:13" hidden="1" x14ac:dyDescent="0.25">
      <c r="A1023" s="24">
        <f t="shared" si="76"/>
        <v>20</v>
      </c>
      <c r="B1023" s="24">
        <v>12</v>
      </c>
      <c r="C1023" s="24">
        <v>243</v>
      </c>
      <c r="E1023" s="4">
        <v>239511</v>
      </c>
      <c r="F1023" s="2" t="s">
        <v>2</v>
      </c>
      <c r="G1023" s="2" t="str">
        <f t="shared" si="75"/>
        <v>https://www.oreht.ru/modules.php?name=orehtPriceLS&amp;op=Search&amp;page=1&amp;stext=239511</v>
      </c>
      <c r="I1023">
        <v>239511</v>
      </c>
      <c r="J1023" t="s">
        <v>2</v>
      </c>
      <c r="K1023" t="s">
        <v>2948</v>
      </c>
      <c r="L1023" t="s">
        <v>2949</v>
      </c>
      <c r="M1023" t="s">
        <v>2950</v>
      </c>
    </row>
    <row r="1024" spans="1:13" hidden="1" x14ac:dyDescent="0.25">
      <c r="A1024" s="24">
        <f t="shared" si="76"/>
        <v>20</v>
      </c>
      <c r="B1024" s="24">
        <v>12</v>
      </c>
      <c r="C1024" s="24">
        <v>135</v>
      </c>
      <c r="E1024" s="4">
        <v>424384</v>
      </c>
      <c r="F1024" s="2" t="s">
        <v>2</v>
      </c>
      <c r="G1024" s="2" t="str">
        <f t="shared" si="75"/>
        <v>https://www.oreht.ru/modules.php?name=orehtPriceLS&amp;op=Search&amp;page=1&amp;stext=424384</v>
      </c>
      <c r="I1024">
        <v>424384</v>
      </c>
      <c r="J1024" t="s">
        <v>2</v>
      </c>
      <c r="K1024" t="s">
        <v>2951</v>
      </c>
      <c r="L1024" t="s">
        <v>2952</v>
      </c>
      <c r="M1024" t="s">
        <v>2953</v>
      </c>
    </row>
    <row r="1025" spans="1:13" hidden="1" x14ac:dyDescent="0.25">
      <c r="A1025" s="24">
        <f t="shared" si="76"/>
        <v>20</v>
      </c>
      <c r="B1025" s="24">
        <v>12</v>
      </c>
      <c r="C1025" s="24">
        <v>210</v>
      </c>
      <c r="E1025" s="4">
        <v>427728</v>
      </c>
      <c r="F1025" s="2" t="s">
        <v>2</v>
      </c>
      <c r="G1025" s="2" t="str">
        <f t="shared" si="75"/>
        <v>https://www.oreht.ru/modules.php?name=orehtPriceLS&amp;op=Search&amp;page=1&amp;stext=427728</v>
      </c>
      <c r="I1025">
        <v>427728</v>
      </c>
      <c r="J1025" t="s">
        <v>2</v>
      </c>
      <c r="K1025" t="s">
        <v>2954</v>
      </c>
      <c r="L1025" t="s">
        <v>2955</v>
      </c>
      <c r="M1025" t="s">
        <v>2956</v>
      </c>
    </row>
    <row r="1026" spans="1:13" x14ac:dyDescent="0.25">
      <c r="A1026" s="24">
        <f t="shared" si="76"/>
        <v>20</v>
      </c>
      <c r="B1026" s="24">
        <v>12</v>
      </c>
      <c r="C1026" s="24">
        <v>237.24</v>
      </c>
      <c r="E1026" s="4">
        <v>450497</v>
      </c>
      <c r="F1026" s="2" t="s">
        <v>2</v>
      </c>
      <c r="G1026" s="2" t="str">
        <f t="shared" ref="G1026:G1089" si="77">HYPERLINK(F1026&amp;E1026)</f>
        <v>https://www.oreht.ru/modules.php?name=orehtPriceLS&amp;op=Search&amp;page=1&amp;stext=450497</v>
      </c>
      <c r="I1026">
        <v>450497</v>
      </c>
      <c r="J1026" t="s">
        <v>2</v>
      </c>
      <c r="K1026" t="s">
        <v>2957</v>
      </c>
      <c r="L1026" t="s">
        <v>2958</v>
      </c>
      <c r="M1026" t="s">
        <v>649</v>
      </c>
    </row>
    <row r="1027" spans="1:13" hidden="1" x14ac:dyDescent="0.25">
      <c r="A1027" s="24">
        <f t="shared" si="76"/>
        <v>20</v>
      </c>
      <c r="B1027" s="24">
        <v>12</v>
      </c>
      <c r="C1027" s="24">
        <v>100</v>
      </c>
      <c r="E1027" s="4">
        <v>299886</v>
      </c>
      <c r="F1027" s="2" t="s">
        <v>2</v>
      </c>
      <c r="G1027" s="2" t="str">
        <f t="shared" si="77"/>
        <v>https://www.oreht.ru/modules.php?name=orehtPriceLS&amp;op=Search&amp;page=1&amp;stext=299886</v>
      </c>
      <c r="I1027">
        <v>299886</v>
      </c>
      <c r="J1027" t="s">
        <v>2</v>
      </c>
      <c r="K1027" t="s">
        <v>2959</v>
      </c>
      <c r="L1027" t="s">
        <v>2960</v>
      </c>
      <c r="M1027" t="s">
        <v>2961</v>
      </c>
    </row>
    <row r="1028" spans="1:13" hidden="1" x14ac:dyDescent="0.25">
      <c r="A1028" s="24">
        <f t="shared" si="76"/>
        <v>20</v>
      </c>
      <c r="B1028" s="24">
        <v>12</v>
      </c>
      <c r="C1028" s="24">
        <v>239.16</v>
      </c>
      <c r="E1028" s="4">
        <v>413582</v>
      </c>
      <c r="F1028" s="2" t="s">
        <v>2</v>
      </c>
      <c r="G1028" s="2" t="str">
        <f t="shared" si="77"/>
        <v>https://www.oreht.ru/modules.php?name=orehtPriceLS&amp;op=Search&amp;page=1&amp;stext=413582</v>
      </c>
      <c r="I1028">
        <v>413582</v>
      </c>
      <c r="J1028" t="s">
        <v>2</v>
      </c>
      <c r="K1028" t="s">
        <v>2962</v>
      </c>
      <c r="L1028" t="s">
        <v>2963</v>
      </c>
      <c r="M1028" t="s">
        <v>2964</v>
      </c>
    </row>
    <row r="1029" spans="1:13" hidden="1" x14ac:dyDescent="0.25">
      <c r="A1029" s="24">
        <f t="shared" ref="A1029:A1092" si="78">IF(W1029*0.05&gt;=250,250,IF(W1029*0.05&gt;=20,IF(W1029*0.05&lt;20,20,W1029*0.05),20))</f>
        <v>20</v>
      </c>
      <c r="B1029" s="24">
        <v>11</v>
      </c>
      <c r="C1029" s="24">
        <v>214.98</v>
      </c>
      <c r="E1029" s="4">
        <v>359991</v>
      </c>
      <c r="F1029" s="2" t="s">
        <v>2</v>
      </c>
      <c r="G1029" s="2" t="str">
        <f t="shared" si="77"/>
        <v>https://www.oreht.ru/modules.php?name=orehtPriceLS&amp;op=Search&amp;page=1&amp;stext=359991</v>
      </c>
      <c r="I1029">
        <v>359991</v>
      </c>
      <c r="J1029" t="s">
        <v>2</v>
      </c>
      <c r="K1029" t="s">
        <v>2965</v>
      </c>
      <c r="L1029" t="s">
        <v>2966</v>
      </c>
      <c r="M1029" t="s">
        <v>2967</v>
      </c>
    </row>
    <row r="1030" spans="1:13" hidden="1" x14ac:dyDescent="0.25">
      <c r="A1030" s="24">
        <f t="shared" si="78"/>
        <v>20</v>
      </c>
      <c r="B1030" s="24">
        <v>12</v>
      </c>
      <c r="C1030" s="24">
        <v>241.8</v>
      </c>
      <c r="E1030" s="4">
        <v>345271</v>
      </c>
      <c r="F1030" s="2" t="s">
        <v>2</v>
      </c>
      <c r="G1030" s="2" t="str">
        <f t="shared" si="77"/>
        <v>https://www.oreht.ru/modules.php?name=orehtPriceLS&amp;op=Search&amp;page=1&amp;stext=345271</v>
      </c>
      <c r="I1030">
        <v>345271</v>
      </c>
      <c r="J1030" t="s">
        <v>2</v>
      </c>
      <c r="K1030" t="s">
        <v>2968</v>
      </c>
      <c r="L1030" t="s">
        <v>2969</v>
      </c>
      <c r="M1030" t="s">
        <v>2970</v>
      </c>
    </row>
    <row r="1031" spans="1:13" x14ac:dyDescent="0.25">
      <c r="A1031" s="24">
        <f t="shared" si="78"/>
        <v>20</v>
      </c>
      <c r="B1031" s="24">
        <v>12</v>
      </c>
      <c r="C1031" s="24">
        <v>226.74</v>
      </c>
      <c r="E1031" s="4">
        <v>334598</v>
      </c>
      <c r="F1031" s="2" t="s">
        <v>2</v>
      </c>
      <c r="G1031" s="2" t="str">
        <f t="shared" si="77"/>
        <v>https://www.oreht.ru/modules.php?name=orehtPriceLS&amp;op=Search&amp;page=1&amp;stext=334598</v>
      </c>
      <c r="I1031">
        <v>334598</v>
      </c>
      <c r="J1031" t="s">
        <v>2</v>
      </c>
      <c r="K1031" t="s">
        <v>2971</v>
      </c>
      <c r="L1031" t="s">
        <v>2972</v>
      </c>
      <c r="M1031" t="s">
        <v>649</v>
      </c>
    </row>
    <row r="1032" spans="1:13" hidden="1" x14ac:dyDescent="0.25">
      <c r="A1032" s="24">
        <f t="shared" si="78"/>
        <v>20</v>
      </c>
      <c r="B1032" s="24">
        <v>12</v>
      </c>
      <c r="C1032" s="24">
        <v>209.4</v>
      </c>
      <c r="E1032" s="4">
        <v>427138</v>
      </c>
      <c r="F1032" s="2" t="s">
        <v>2</v>
      </c>
      <c r="G1032" s="2" t="str">
        <f t="shared" si="77"/>
        <v>https://www.oreht.ru/modules.php?name=orehtPriceLS&amp;op=Search&amp;page=1&amp;stext=427138</v>
      </c>
      <c r="I1032">
        <v>427138</v>
      </c>
      <c r="J1032" t="s">
        <v>2</v>
      </c>
      <c r="K1032" t="s">
        <v>2973</v>
      </c>
      <c r="L1032" t="s">
        <v>2974</v>
      </c>
      <c r="M1032" t="s">
        <v>2975</v>
      </c>
    </row>
    <row r="1033" spans="1:13" x14ac:dyDescent="0.25">
      <c r="A1033" s="24">
        <f t="shared" si="78"/>
        <v>20</v>
      </c>
      <c r="B1033" s="24">
        <v>12</v>
      </c>
      <c r="C1033" s="24">
        <v>155</v>
      </c>
      <c r="E1033" s="4">
        <v>372543</v>
      </c>
      <c r="F1033" s="2" t="s">
        <v>2</v>
      </c>
      <c r="G1033" s="2" t="str">
        <f t="shared" si="77"/>
        <v>https://www.oreht.ru/modules.php?name=orehtPriceLS&amp;op=Search&amp;page=1&amp;stext=372543</v>
      </c>
      <c r="I1033">
        <v>372543</v>
      </c>
      <c r="J1033" t="s">
        <v>2</v>
      </c>
      <c r="K1033" t="s">
        <v>2976</v>
      </c>
      <c r="L1033" t="s">
        <v>2977</v>
      </c>
      <c r="M1033" t="s">
        <v>649</v>
      </c>
    </row>
    <row r="1034" spans="1:13" hidden="1" x14ac:dyDescent="0.25">
      <c r="A1034" s="24">
        <f t="shared" si="78"/>
        <v>20</v>
      </c>
      <c r="B1034" s="24">
        <v>12</v>
      </c>
      <c r="C1034" s="24">
        <v>219</v>
      </c>
      <c r="E1034" s="4">
        <v>314787</v>
      </c>
      <c r="F1034" s="2" t="s">
        <v>2</v>
      </c>
      <c r="G1034" s="2" t="str">
        <f t="shared" si="77"/>
        <v>https://www.oreht.ru/modules.php?name=orehtPriceLS&amp;op=Search&amp;page=1&amp;stext=314787</v>
      </c>
      <c r="I1034">
        <v>314787</v>
      </c>
      <c r="J1034" t="s">
        <v>2</v>
      </c>
      <c r="K1034" t="s">
        <v>2978</v>
      </c>
      <c r="L1034" t="s">
        <v>2979</v>
      </c>
      <c r="M1034" t="s">
        <v>2980</v>
      </c>
    </row>
    <row r="1035" spans="1:13" hidden="1" x14ac:dyDescent="0.25">
      <c r="A1035" s="24">
        <f t="shared" si="78"/>
        <v>20</v>
      </c>
      <c r="B1035" s="24">
        <v>12</v>
      </c>
      <c r="C1035" s="24">
        <v>210.36</v>
      </c>
      <c r="E1035" s="4">
        <v>334215</v>
      </c>
      <c r="F1035" s="2" t="s">
        <v>2</v>
      </c>
      <c r="G1035" s="2" t="str">
        <f t="shared" si="77"/>
        <v>https://www.oreht.ru/modules.php?name=orehtPriceLS&amp;op=Search&amp;page=1&amp;stext=334215</v>
      </c>
      <c r="I1035">
        <v>334215</v>
      </c>
      <c r="J1035" t="s">
        <v>2</v>
      </c>
      <c r="K1035" t="s">
        <v>2981</v>
      </c>
      <c r="L1035" t="s">
        <v>2982</v>
      </c>
      <c r="M1035" t="s">
        <v>2983</v>
      </c>
    </row>
    <row r="1036" spans="1:13" hidden="1" x14ac:dyDescent="0.25">
      <c r="A1036" s="24">
        <f t="shared" si="78"/>
        <v>20</v>
      </c>
      <c r="B1036" s="24">
        <v>12</v>
      </c>
      <c r="C1036" s="24">
        <v>208.8</v>
      </c>
      <c r="E1036" s="4">
        <v>437235</v>
      </c>
      <c r="F1036" s="2" t="s">
        <v>2</v>
      </c>
      <c r="G1036" s="2" t="str">
        <f t="shared" si="77"/>
        <v>https://www.oreht.ru/modules.php?name=orehtPriceLS&amp;op=Search&amp;page=1&amp;stext=437235</v>
      </c>
      <c r="I1036">
        <v>437235</v>
      </c>
      <c r="J1036" t="s">
        <v>2</v>
      </c>
      <c r="K1036" t="s">
        <v>2984</v>
      </c>
      <c r="L1036" t="s">
        <v>2985</v>
      </c>
      <c r="M1036" t="s">
        <v>2986</v>
      </c>
    </row>
    <row r="1037" spans="1:13" hidden="1" x14ac:dyDescent="0.25">
      <c r="A1037" s="24">
        <f t="shared" si="78"/>
        <v>20</v>
      </c>
      <c r="B1037" s="24">
        <v>12</v>
      </c>
      <c r="C1037" s="24">
        <v>206.88</v>
      </c>
      <c r="E1037" s="4">
        <v>437234</v>
      </c>
      <c r="F1037" s="2" t="s">
        <v>2</v>
      </c>
      <c r="G1037" s="2" t="str">
        <f t="shared" si="77"/>
        <v>https://www.oreht.ru/modules.php?name=orehtPriceLS&amp;op=Search&amp;page=1&amp;stext=437234</v>
      </c>
      <c r="I1037">
        <v>437234</v>
      </c>
      <c r="J1037" t="s">
        <v>2</v>
      </c>
      <c r="K1037" t="s">
        <v>2987</v>
      </c>
      <c r="L1037" t="s">
        <v>2988</v>
      </c>
      <c r="M1037" t="s">
        <v>2989</v>
      </c>
    </row>
    <row r="1038" spans="1:13" hidden="1" x14ac:dyDescent="0.25">
      <c r="A1038" s="24">
        <f t="shared" si="78"/>
        <v>20</v>
      </c>
      <c r="B1038" s="24">
        <v>12</v>
      </c>
      <c r="C1038" s="24">
        <v>195.66</v>
      </c>
      <c r="E1038" s="4">
        <v>455012</v>
      </c>
      <c r="F1038" s="2" t="s">
        <v>2</v>
      </c>
      <c r="G1038" s="2" t="str">
        <f t="shared" si="77"/>
        <v>https://www.oreht.ru/modules.php?name=orehtPriceLS&amp;op=Search&amp;page=1&amp;stext=455012</v>
      </c>
      <c r="I1038">
        <v>455012</v>
      </c>
      <c r="J1038" t="s">
        <v>2</v>
      </c>
      <c r="K1038" t="s">
        <v>2990</v>
      </c>
      <c r="L1038" t="s">
        <v>2991</v>
      </c>
      <c r="M1038" t="s">
        <v>2992</v>
      </c>
    </row>
    <row r="1039" spans="1:13" hidden="1" x14ac:dyDescent="0.25">
      <c r="A1039" s="24">
        <f t="shared" si="78"/>
        <v>20</v>
      </c>
      <c r="B1039" s="24">
        <v>12</v>
      </c>
      <c r="C1039" s="24">
        <v>155</v>
      </c>
      <c r="E1039" s="4">
        <v>391090</v>
      </c>
      <c r="F1039" s="2" t="s">
        <v>2</v>
      </c>
      <c r="G1039" s="2" t="str">
        <f t="shared" si="77"/>
        <v>https://www.oreht.ru/modules.php?name=orehtPriceLS&amp;op=Search&amp;page=1&amp;stext=391090</v>
      </c>
      <c r="I1039">
        <v>391090</v>
      </c>
      <c r="J1039" t="s">
        <v>2</v>
      </c>
      <c r="K1039" t="s">
        <v>2993</v>
      </c>
      <c r="L1039" t="s">
        <v>2994</v>
      </c>
      <c r="M1039" t="s">
        <v>2841</v>
      </c>
    </row>
    <row r="1040" spans="1:13" hidden="1" x14ac:dyDescent="0.25">
      <c r="A1040" s="24">
        <f t="shared" si="78"/>
        <v>20</v>
      </c>
      <c r="B1040" s="24">
        <v>12</v>
      </c>
      <c r="C1040" s="24">
        <v>190</v>
      </c>
      <c r="E1040" s="4">
        <v>391091</v>
      </c>
      <c r="F1040" s="2" t="s">
        <v>2</v>
      </c>
      <c r="G1040" s="2" t="str">
        <f t="shared" si="77"/>
        <v>https://www.oreht.ru/modules.php?name=orehtPriceLS&amp;op=Search&amp;page=1&amp;stext=391091</v>
      </c>
      <c r="I1040">
        <v>391091</v>
      </c>
      <c r="J1040" t="s">
        <v>2</v>
      </c>
      <c r="K1040" t="s">
        <v>2995</v>
      </c>
      <c r="L1040" t="s">
        <v>2996</v>
      </c>
      <c r="M1040" t="s">
        <v>2997</v>
      </c>
    </row>
    <row r="1041" spans="1:13" hidden="1" x14ac:dyDescent="0.25">
      <c r="A1041" s="24">
        <f t="shared" si="78"/>
        <v>20</v>
      </c>
      <c r="B1041" s="24">
        <v>11</v>
      </c>
      <c r="C1041" s="24">
        <v>233.52</v>
      </c>
      <c r="E1041" s="4">
        <v>369935</v>
      </c>
      <c r="F1041" s="2" t="s">
        <v>2</v>
      </c>
      <c r="G1041" s="2" t="str">
        <f t="shared" si="77"/>
        <v>https://www.oreht.ru/modules.php?name=orehtPriceLS&amp;op=Search&amp;page=1&amp;stext=369935</v>
      </c>
      <c r="I1041">
        <v>369935</v>
      </c>
      <c r="J1041" t="s">
        <v>2</v>
      </c>
      <c r="K1041" t="s">
        <v>2998</v>
      </c>
      <c r="L1041" t="s">
        <v>2999</v>
      </c>
      <c r="M1041" t="s">
        <v>3000</v>
      </c>
    </row>
    <row r="1042" spans="1:13" hidden="1" x14ac:dyDescent="0.25">
      <c r="A1042" s="24">
        <f t="shared" si="78"/>
        <v>20</v>
      </c>
      <c r="B1042" s="24">
        <v>12</v>
      </c>
      <c r="C1042" s="24">
        <v>202.08</v>
      </c>
      <c r="E1042" s="4">
        <v>123707</v>
      </c>
      <c r="F1042" s="2" t="s">
        <v>2</v>
      </c>
      <c r="G1042" s="2" t="str">
        <f t="shared" si="77"/>
        <v>https://www.oreht.ru/modules.php?name=orehtPriceLS&amp;op=Search&amp;page=1&amp;stext=123707</v>
      </c>
      <c r="I1042">
        <v>123707</v>
      </c>
      <c r="J1042" t="s">
        <v>2</v>
      </c>
      <c r="K1042" t="s">
        <v>3001</v>
      </c>
      <c r="L1042" t="s">
        <v>3002</v>
      </c>
      <c r="M1042" t="s">
        <v>3003</v>
      </c>
    </row>
    <row r="1043" spans="1:13" hidden="1" x14ac:dyDescent="0.25">
      <c r="A1043" s="24">
        <f t="shared" si="78"/>
        <v>20</v>
      </c>
      <c r="B1043" s="24">
        <v>12</v>
      </c>
      <c r="C1043" s="24">
        <v>208.26</v>
      </c>
      <c r="E1043" s="4">
        <v>105283</v>
      </c>
      <c r="F1043" s="2" t="s">
        <v>2</v>
      </c>
      <c r="G1043" s="2" t="str">
        <f t="shared" si="77"/>
        <v>https://www.oreht.ru/modules.php?name=orehtPriceLS&amp;op=Search&amp;page=1&amp;stext=105283</v>
      </c>
      <c r="I1043">
        <v>105283</v>
      </c>
      <c r="J1043" t="s">
        <v>2</v>
      </c>
      <c r="K1043" t="s">
        <v>3004</v>
      </c>
      <c r="L1043" t="s">
        <v>3005</v>
      </c>
      <c r="M1043" t="s">
        <v>3006</v>
      </c>
    </row>
    <row r="1044" spans="1:13" hidden="1" x14ac:dyDescent="0.25">
      <c r="A1044" s="24">
        <f t="shared" si="78"/>
        <v>20</v>
      </c>
      <c r="B1044" s="24">
        <v>12</v>
      </c>
      <c r="C1044" s="24">
        <v>209.94</v>
      </c>
      <c r="E1044" s="4">
        <v>124392</v>
      </c>
      <c r="F1044" s="2" t="s">
        <v>2</v>
      </c>
      <c r="G1044" s="2" t="str">
        <f t="shared" si="77"/>
        <v>https://www.oreht.ru/modules.php?name=orehtPriceLS&amp;op=Search&amp;page=1&amp;stext=124392</v>
      </c>
      <c r="I1044">
        <v>124392</v>
      </c>
      <c r="J1044" t="s">
        <v>2</v>
      </c>
      <c r="K1044" t="s">
        <v>3007</v>
      </c>
      <c r="L1044" t="s">
        <v>3008</v>
      </c>
      <c r="M1044" t="s">
        <v>3009</v>
      </c>
    </row>
    <row r="1045" spans="1:13" hidden="1" x14ac:dyDescent="0.25">
      <c r="A1045" s="24">
        <f t="shared" si="78"/>
        <v>20</v>
      </c>
      <c r="B1045" s="24">
        <v>12</v>
      </c>
      <c r="C1045" s="24">
        <v>236.7</v>
      </c>
      <c r="E1045" s="4">
        <v>345492</v>
      </c>
      <c r="F1045" s="2" t="s">
        <v>2</v>
      </c>
      <c r="G1045" s="2" t="str">
        <f t="shared" si="77"/>
        <v>https://www.oreht.ru/modules.php?name=orehtPriceLS&amp;op=Search&amp;page=1&amp;stext=345492</v>
      </c>
      <c r="I1045">
        <v>345492</v>
      </c>
      <c r="J1045" t="s">
        <v>2</v>
      </c>
      <c r="K1045" t="s">
        <v>3010</v>
      </c>
      <c r="L1045" t="s">
        <v>3011</v>
      </c>
      <c r="M1045" t="s">
        <v>3012</v>
      </c>
    </row>
    <row r="1046" spans="1:13" x14ac:dyDescent="0.25">
      <c r="A1046" s="24">
        <f t="shared" si="78"/>
        <v>20</v>
      </c>
      <c r="B1046" s="24">
        <v>12</v>
      </c>
      <c r="C1046" s="24">
        <v>237.72</v>
      </c>
      <c r="E1046" s="4">
        <v>372544</v>
      </c>
      <c r="F1046" s="2" t="s">
        <v>2</v>
      </c>
      <c r="G1046" s="2" t="str">
        <f t="shared" si="77"/>
        <v>https://www.oreht.ru/modules.php?name=orehtPriceLS&amp;op=Search&amp;page=1&amp;stext=372544</v>
      </c>
      <c r="I1046">
        <v>372544</v>
      </c>
      <c r="J1046" t="s">
        <v>2</v>
      </c>
      <c r="K1046" t="s">
        <v>3013</v>
      </c>
      <c r="L1046" t="s">
        <v>3014</v>
      </c>
      <c r="M1046" t="s">
        <v>649</v>
      </c>
    </row>
    <row r="1047" spans="1:13" x14ac:dyDescent="0.25">
      <c r="A1047" s="24">
        <f t="shared" si="78"/>
        <v>20</v>
      </c>
      <c r="B1047" s="24">
        <v>12</v>
      </c>
      <c r="C1047" s="24">
        <v>237.3</v>
      </c>
      <c r="E1047" s="4">
        <v>425185</v>
      </c>
      <c r="F1047" s="2" t="s">
        <v>2</v>
      </c>
      <c r="G1047" s="2" t="str">
        <f t="shared" si="77"/>
        <v>https://www.oreht.ru/modules.php?name=orehtPriceLS&amp;op=Search&amp;page=1&amp;stext=425185</v>
      </c>
      <c r="I1047">
        <v>425185</v>
      </c>
      <c r="J1047" t="s">
        <v>2</v>
      </c>
      <c r="K1047" t="s">
        <v>3015</v>
      </c>
      <c r="L1047" t="s">
        <v>3016</v>
      </c>
      <c r="M1047" t="s">
        <v>649</v>
      </c>
    </row>
    <row r="1048" spans="1:13" hidden="1" x14ac:dyDescent="0.25">
      <c r="A1048" s="24">
        <f t="shared" si="78"/>
        <v>20</v>
      </c>
      <c r="B1048" s="24">
        <v>12</v>
      </c>
      <c r="C1048" s="24">
        <v>229.02</v>
      </c>
      <c r="E1048" s="4">
        <v>160371</v>
      </c>
      <c r="F1048" s="2" t="s">
        <v>2</v>
      </c>
      <c r="G1048" s="2" t="str">
        <f t="shared" si="77"/>
        <v>https://www.oreht.ru/modules.php?name=orehtPriceLS&amp;op=Search&amp;page=1&amp;stext=160371</v>
      </c>
      <c r="I1048">
        <v>160371</v>
      </c>
      <c r="J1048" t="s">
        <v>2</v>
      </c>
      <c r="K1048" t="s">
        <v>3017</v>
      </c>
      <c r="L1048" t="s">
        <v>3018</v>
      </c>
      <c r="M1048" t="s">
        <v>3019</v>
      </c>
    </row>
    <row r="1049" spans="1:13" hidden="1" x14ac:dyDescent="0.25">
      <c r="A1049" s="24">
        <f t="shared" si="78"/>
        <v>20</v>
      </c>
      <c r="B1049" s="24">
        <v>12</v>
      </c>
      <c r="C1049" s="24">
        <v>175</v>
      </c>
      <c r="E1049" s="4">
        <v>123720</v>
      </c>
      <c r="F1049" s="2" t="s">
        <v>2</v>
      </c>
      <c r="G1049" s="2" t="str">
        <f t="shared" si="77"/>
        <v>https://www.oreht.ru/modules.php?name=orehtPriceLS&amp;op=Search&amp;page=1&amp;stext=123720</v>
      </c>
      <c r="I1049">
        <v>123720</v>
      </c>
      <c r="J1049" t="s">
        <v>2</v>
      </c>
      <c r="K1049" t="s">
        <v>3020</v>
      </c>
      <c r="L1049" t="s">
        <v>3021</v>
      </c>
      <c r="M1049" t="s">
        <v>3022</v>
      </c>
    </row>
    <row r="1050" spans="1:13" hidden="1" x14ac:dyDescent="0.25">
      <c r="A1050" s="24">
        <f t="shared" si="78"/>
        <v>20</v>
      </c>
      <c r="B1050" s="24">
        <v>12</v>
      </c>
      <c r="C1050" s="24">
        <v>225.6</v>
      </c>
      <c r="E1050" s="4">
        <v>287998</v>
      </c>
      <c r="F1050" s="2" t="s">
        <v>2</v>
      </c>
      <c r="G1050" s="2" t="str">
        <f t="shared" si="77"/>
        <v>https://www.oreht.ru/modules.php?name=orehtPriceLS&amp;op=Search&amp;page=1&amp;stext=287998</v>
      </c>
      <c r="I1050">
        <v>287998</v>
      </c>
      <c r="J1050" t="s">
        <v>2</v>
      </c>
      <c r="K1050" t="s">
        <v>3023</v>
      </c>
      <c r="L1050" t="s">
        <v>3024</v>
      </c>
      <c r="M1050" t="s">
        <v>3025</v>
      </c>
    </row>
    <row r="1051" spans="1:13" hidden="1" x14ac:dyDescent="0.25">
      <c r="A1051" s="24">
        <f t="shared" si="78"/>
        <v>20</v>
      </c>
      <c r="B1051" s="24">
        <v>12</v>
      </c>
      <c r="C1051" s="24">
        <v>235.38</v>
      </c>
      <c r="E1051" s="4">
        <v>351224</v>
      </c>
      <c r="F1051" s="2" t="s">
        <v>2</v>
      </c>
      <c r="G1051" s="2" t="str">
        <f t="shared" si="77"/>
        <v>https://www.oreht.ru/modules.php?name=orehtPriceLS&amp;op=Search&amp;page=1&amp;stext=351224</v>
      </c>
      <c r="I1051">
        <v>351224</v>
      </c>
      <c r="J1051" t="s">
        <v>2</v>
      </c>
      <c r="K1051" t="s">
        <v>3026</v>
      </c>
      <c r="L1051" t="s">
        <v>3027</v>
      </c>
      <c r="M1051" t="s">
        <v>3028</v>
      </c>
    </row>
    <row r="1052" spans="1:13" hidden="1" x14ac:dyDescent="0.25">
      <c r="A1052" s="24">
        <f t="shared" si="78"/>
        <v>20</v>
      </c>
      <c r="B1052" s="24">
        <v>12</v>
      </c>
      <c r="C1052" s="24">
        <v>175</v>
      </c>
      <c r="E1052" s="4">
        <v>148852</v>
      </c>
      <c r="F1052" s="2" t="s">
        <v>2</v>
      </c>
      <c r="G1052" s="2" t="str">
        <f t="shared" si="77"/>
        <v>https://www.oreht.ru/modules.php?name=orehtPriceLS&amp;op=Search&amp;page=1&amp;stext=148852</v>
      </c>
      <c r="I1052">
        <v>148852</v>
      </c>
      <c r="J1052" t="s">
        <v>2</v>
      </c>
      <c r="K1052" t="s">
        <v>3029</v>
      </c>
      <c r="L1052" t="s">
        <v>3030</v>
      </c>
      <c r="M1052" t="s">
        <v>3031</v>
      </c>
    </row>
    <row r="1053" spans="1:13" hidden="1" x14ac:dyDescent="0.25">
      <c r="A1053" s="24">
        <f t="shared" si="78"/>
        <v>20</v>
      </c>
      <c r="B1053" s="24">
        <v>12</v>
      </c>
      <c r="C1053" s="24">
        <v>125</v>
      </c>
      <c r="E1053" s="4">
        <v>329158</v>
      </c>
      <c r="F1053" s="2" t="s">
        <v>2</v>
      </c>
      <c r="G1053" s="2" t="str">
        <f t="shared" si="77"/>
        <v>https://www.oreht.ru/modules.php?name=orehtPriceLS&amp;op=Search&amp;page=1&amp;stext=329158</v>
      </c>
      <c r="I1053">
        <v>329158</v>
      </c>
      <c r="J1053" t="s">
        <v>2</v>
      </c>
      <c r="K1053" t="s">
        <v>3032</v>
      </c>
      <c r="L1053" t="s">
        <v>3033</v>
      </c>
      <c r="M1053" t="s">
        <v>3034</v>
      </c>
    </row>
    <row r="1054" spans="1:13" hidden="1" x14ac:dyDescent="0.25">
      <c r="A1054" s="24">
        <f t="shared" si="78"/>
        <v>20</v>
      </c>
      <c r="B1054" s="24">
        <v>12</v>
      </c>
      <c r="C1054" s="24">
        <v>145</v>
      </c>
      <c r="E1054" s="4">
        <v>371839</v>
      </c>
      <c r="F1054" s="2" t="s">
        <v>2</v>
      </c>
      <c r="G1054" s="2" t="str">
        <f t="shared" si="77"/>
        <v>https://www.oreht.ru/modules.php?name=orehtPriceLS&amp;op=Search&amp;page=1&amp;stext=371839</v>
      </c>
      <c r="I1054">
        <v>371839</v>
      </c>
      <c r="J1054" t="s">
        <v>2</v>
      </c>
      <c r="K1054" t="s">
        <v>3035</v>
      </c>
      <c r="L1054" t="s">
        <v>3036</v>
      </c>
      <c r="M1054" t="s">
        <v>3037</v>
      </c>
    </row>
    <row r="1055" spans="1:13" hidden="1" x14ac:dyDescent="0.25">
      <c r="A1055" s="24">
        <f t="shared" si="78"/>
        <v>20</v>
      </c>
      <c r="B1055" s="24">
        <v>12</v>
      </c>
      <c r="C1055" s="24">
        <v>196.2</v>
      </c>
      <c r="E1055" s="4">
        <v>124459</v>
      </c>
      <c r="F1055" s="2" t="s">
        <v>2</v>
      </c>
      <c r="G1055" s="2" t="str">
        <f t="shared" si="77"/>
        <v>https://www.oreht.ru/modules.php?name=orehtPriceLS&amp;op=Search&amp;page=1&amp;stext=124459</v>
      </c>
      <c r="I1055">
        <v>124459</v>
      </c>
      <c r="J1055" t="s">
        <v>2</v>
      </c>
      <c r="K1055" t="s">
        <v>3038</v>
      </c>
      <c r="L1055" t="s">
        <v>3039</v>
      </c>
      <c r="M1055" t="s">
        <v>3040</v>
      </c>
    </row>
    <row r="1056" spans="1:13" x14ac:dyDescent="0.25">
      <c r="A1056" s="24">
        <f t="shared" si="78"/>
        <v>20</v>
      </c>
      <c r="B1056" s="24">
        <v>12</v>
      </c>
      <c r="C1056" s="24">
        <v>120</v>
      </c>
      <c r="E1056" s="4">
        <v>187069</v>
      </c>
      <c r="F1056" s="2" t="s">
        <v>2</v>
      </c>
      <c r="G1056" s="2" t="str">
        <f t="shared" si="77"/>
        <v>https://www.oreht.ru/modules.php?name=orehtPriceLS&amp;op=Search&amp;page=1&amp;stext=187069</v>
      </c>
      <c r="I1056">
        <v>187069</v>
      </c>
      <c r="J1056" t="s">
        <v>2</v>
      </c>
      <c r="K1056" t="s">
        <v>3041</v>
      </c>
      <c r="L1056" t="s">
        <v>3042</v>
      </c>
      <c r="M1056" t="s">
        <v>649</v>
      </c>
    </row>
    <row r="1057" spans="1:13" hidden="1" x14ac:dyDescent="0.25">
      <c r="A1057" s="24">
        <f t="shared" si="78"/>
        <v>20</v>
      </c>
      <c r="B1057" s="24">
        <v>12</v>
      </c>
      <c r="C1057" s="24">
        <v>235.02</v>
      </c>
      <c r="E1057" s="4">
        <v>333263</v>
      </c>
      <c r="F1057" s="2" t="s">
        <v>2</v>
      </c>
      <c r="G1057" s="2" t="str">
        <f t="shared" si="77"/>
        <v>https://www.oreht.ru/modules.php?name=orehtPriceLS&amp;op=Search&amp;page=1&amp;stext=333263</v>
      </c>
      <c r="I1057">
        <v>333263</v>
      </c>
      <c r="J1057" t="s">
        <v>2</v>
      </c>
      <c r="K1057" t="s">
        <v>3043</v>
      </c>
      <c r="L1057" t="s">
        <v>3044</v>
      </c>
      <c r="M1057" t="s">
        <v>3045</v>
      </c>
    </row>
    <row r="1058" spans="1:13" hidden="1" x14ac:dyDescent="0.25">
      <c r="A1058" s="24">
        <f t="shared" si="78"/>
        <v>20</v>
      </c>
      <c r="B1058" s="24">
        <v>12</v>
      </c>
      <c r="C1058" s="24">
        <v>222.36</v>
      </c>
      <c r="E1058" s="4">
        <v>402602</v>
      </c>
      <c r="F1058" s="2" t="s">
        <v>2</v>
      </c>
      <c r="G1058" s="2" t="str">
        <f t="shared" si="77"/>
        <v>https://www.oreht.ru/modules.php?name=orehtPriceLS&amp;op=Search&amp;page=1&amp;stext=402602</v>
      </c>
      <c r="I1058">
        <v>402602</v>
      </c>
      <c r="J1058" t="s">
        <v>2</v>
      </c>
      <c r="K1058" t="s">
        <v>3046</v>
      </c>
      <c r="L1058" t="s">
        <v>3047</v>
      </c>
      <c r="M1058" t="s">
        <v>3048</v>
      </c>
    </row>
    <row r="1059" spans="1:13" hidden="1" x14ac:dyDescent="0.25">
      <c r="A1059" s="24">
        <f t="shared" si="78"/>
        <v>20</v>
      </c>
      <c r="B1059" s="24">
        <v>12</v>
      </c>
      <c r="C1059" s="24">
        <v>213.6</v>
      </c>
      <c r="E1059" s="4">
        <v>139353</v>
      </c>
      <c r="F1059" s="2" t="s">
        <v>2</v>
      </c>
      <c r="G1059" s="2" t="str">
        <f t="shared" si="77"/>
        <v>https://www.oreht.ru/modules.php?name=orehtPriceLS&amp;op=Search&amp;page=1&amp;stext=139353</v>
      </c>
      <c r="I1059">
        <v>139353</v>
      </c>
      <c r="J1059" t="s">
        <v>2</v>
      </c>
      <c r="K1059" t="s">
        <v>3049</v>
      </c>
      <c r="L1059" t="s">
        <v>3050</v>
      </c>
      <c r="M1059" t="s">
        <v>3051</v>
      </c>
    </row>
    <row r="1060" spans="1:13" hidden="1" x14ac:dyDescent="0.25">
      <c r="A1060" s="24">
        <f t="shared" si="78"/>
        <v>20</v>
      </c>
      <c r="B1060" s="24">
        <v>12</v>
      </c>
      <c r="C1060" s="24">
        <v>232.5</v>
      </c>
      <c r="E1060" s="4">
        <v>401991</v>
      </c>
      <c r="F1060" s="2" t="s">
        <v>2</v>
      </c>
      <c r="G1060" s="2" t="str">
        <f t="shared" si="77"/>
        <v>https://www.oreht.ru/modules.php?name=orehtPriceLS&amp;op=Search&amp;page=1&amp;stext=401991</v>
      </c>
      <c r="I1060">
        <v>401991</v>
      </c>
      <c r="J1060" t="s">
        <v>2</v>
      </c>
      <c r="K1060" t="s">
        <v>3052</v>
      </c>
      <c r="L1060" t="s">
        <v>3053</v>
      </c>
      <c r="M1060" t="s">
        <v>3054</v>
      </c>
    </row>
    <row r="1061" spans="1:13" hidden="1" x14ac:dyDescent="0.25">
      <c r="A1061" s="24">
        <f t="shared" si="78"/>
        <v>20</v>
      </c>
      <c r="B1061" s="24">
        <v>12</v>
      </c>
      <c r="C1061" s="24">
        <v>219.24</v>
      </c>
      <c r="E1061" s="4">
        <v>123686</v>
      </c>
      <c r="F1061" s="2" t="s">
        <v>2</v>
      </c>
      <c r="G1061" s="2" t="str">
        <f t="shared" si="77"/>
        <v>https://www.oreht.ru/modules.php?name=orehtPriceLS&amp;op=Search&amp;page=1&amp;stext=123686</v>
      </c>
      <c r="I1061">
        <v>123686</v>
      </c>
      <c r="J1061" t="s">
        <v>2</v>
      </c>
      <c r="K1061" t="s">
        <v>3055</v>
      </c>
      <c r="L1061" t="s">
        <v>3056</v>
      </c>
      <c r="M1061" t="s">
        <v>3057</v>
      </c>
    </row>
    <row r="1062" spans="1:13" hidden="1" x14ac:dyDescent="0.25">
      <c r="A1062" s="24">
        <f t="shared" si="78"/>
        <v>20</v>
      </c>
      <c r="B1062" s="24">
        <v>12</v>
      </c>
      <c r="C1062" s="24">
        <v>233.94</v>
      </c>
      <c r="E1062" s="4">
        <v>383583</v>
      </c>
      <c r="F1062" s="2" t="s">
        <v>2</v>
      </c>
      <c r="G1062" s="2" t="str">
        <f t="shared" si="77"/>
        <v>https://www.oreht.ru/modules.php?name=orehtPriceLS&amp;op=Search&amp;page=1&amp;stext=383583</v>
      </c>
      <c r="I1062">
        <v>383583</v>
      </c>
      <c r="J1062" t="s">
        <v>2</v>
      </c>
      <c r="K1062" t="s">
        <v>3058</v>
      </c>
      <c r="L1062" t="s">
        <v>3059</v>
      </c>
      <c r="M1062" t="s">
        <v>3060</v>
      </c>
    </row>
    <row r="1063" spans="1:13" hidden="1" x14ac:dyDescent="0.25">
      <c r="A1063" s="24">
        <f t="shared" si="78"/>
        <v>20</v>
      </c>
      <c r="B1063" s="24">
        <v>12</v>
      </c>
      <c r="C1063" s="24">
        <v>225</v>
      </c>
      <c r="E1063" s="4">
        <v>359741</v>
      </c>
      <c r="F1063" s="2" t="s">
        <v>2</v>
      </c>
      <c r="G1063" s="2" t="str">
        <f t="shared" si="77"/>
        <v>https://www.oreht.ru/modules.php?name=orehtPriceLS&amp;op=Search&amp;page=1&amp;stext=359741</v>
      </c>
      <c r="I1063">
        <v>359741</v>
      </c>
      <c r="J1063" t="s">
        <v>2</v>
      </c>
      <c r="K1063" t="s">
        <v>3061</v>
      </c>
      <c r="L1063" t="s">
        <v>3062</v>
      </c>
      <c r="M1063" t="s">
        <v>3060</v>
      </c>
    </row>
    <row r="1064" spans="1:13" hidden="1" x14ac:dyDescent="0.25">
      <c r="A1064" s="24">
        <f t="shared" si="78"/>
        <v>20</v>
      </c>
      <c r="B1064" s="24">
        <v>12</v>
      </c>
      <c r="C1064" s="24">
        <v>197.88</v>
      </c>
      <c r="E1064" s="4">
        <v>148831</v>
      </c>
      <c r="F1064" s="2" t="s">
        <v>2</v>
      </c>
      <c r="G1064" s="2" t="str">
        <f t="shared" si="77"/>
        <v>https://www.oreht.ru/modules.php?name=orehtPriceLS&amp;op=Search&amp;page=1&amp;stext=148831</v>
      </c>
      <c r="I1064">
        <v>148831</v>
      </c>
      <c r="J1064" t="s">
        <v>2</v>
      </c>
      <c r="K1064" t="s">
        <v>3063</v>
      </c>
      <c r="L1064" t="s">
        <v>3064</v>
      </c>
      <c r="M1064" t="s">
        <v>3065</v>
      </c>
    </row>
    <row r="1065" spans="1:13" x14ac:dyDescent="0.25">
      <c r="A1065" s="24">
        <f t="shared" si="78"/>
        <v>20</v>
      </c>
      <c r="B1065" s="24">
        <v>12</v>
      </c>
      <c r="C1065" s="24">
        <v>229.38</v>
      </c>
      <c r="E1065" s="4">
        <v>249446</v>
      </c>
      <c r="F1065" s="2" t="s">
        <v>2</v>
      </c>
      <c r="G1065" s="2" t="str">
        <f t="shared" si="77"/>
        <v>https://www.oreht.ru/modules.php?name=orehtPriceLS&amp;op=Search&amp;page=1&amp;stext=249446</v>
      </c>
      <c r="I1065">
        <v>249446</v>
      </c>
      <c r="J1065" t="s">
        <v>2</v>
      </c>
      <c r="K1065" t="s">
        <v>3066</v>
      </c>
      <c r="L1065" t="s">
        <v>3067</v>
      </c>
      <c r="M1065" t="s">
        <v>649</v>
      </c>
    </row>
    <row r="1066" spans="1:13" hidden="1" x14ac:dyDescent="0.25">
      <c r="A1066" s="24">
        <f t="shared" si="78"/>
        <v>20</v>
      </c>
      <c r="B1066" s="24">
        <v>12</v>
      </c>
      <c r="C1066" s="24">
        <v>218.1</v>
      </c>
      <c r="E1066" s="4">
        <v>298278</v>
      </c>
      <c r="F1066" s="2" t="s">
        <v>2</v>
      </c>
      <c r="G1066" s="2" t="str">
        <f t="shared" si="77"/>
        <v>https://www.oreht.ru/modules.php?name=orehtPriceLS&amp;op=Search&amp;page=1&amp;stext=298278</v>
      </c>
      <c r="I1066">
        <v>298278</v>
      </c>
      <c r="J1066" t="s">
        <v>2</v>
      </c>
      <c r="K1066" t="s">
        <v>3068</v>
      </c>
      <c r="L1066" t="s">
        <v>3069</v>
      </c>
      <c r="M1066" t="s">
        <v>3070</v>
      </c>
    </row>
    <row r="1067" spans="1:13" x14ac:dyDescent="0.25">
      <c r="A1067" s="24">
        <f t="shared" si="78"/>
        <v>20</v>
      </c>
      <c r="B1067" s="24">
        <v>12</v>
      </c>
      <c r="C1067" s="24">
        <v>212.94</v>
      </c>
      <c r="E1067" s="4">
        <v>317019</v>
      </c>
      <c r="F1067" s="2" t="s">
        <v>2</v>
      </c>
      <c r="G1067" s="2" t="str">
        <f t="shared" si="77"/>
        <v>https://www.oreht.ru/modules.php?name=orehtPriceLS&amp;op=Search&amp;page=1&amp;stext=317019</v>
      </c>
      <c r="I1067">
        <v>317019</v>
      </c>
      <c r="J1067" t="s">
        <v>2</v>
      </c>
      <c r="K1067" t="s">
        <v>3071</v>
      </c>
      <c r="L1067" t="s">
        <v>3072</v>
      </c>
      <c r="M1067" t="s">
        <v>649</v>
      </c>
    </row>
    <row r="1068" spans="1:13" x14ac:dyDescent="0.25">
      <c r="A1068" s="24">
        <f t="shared" si="78"/>
        <v>20</v>
      </c>
      <c r="B1068" s="24">
        <v>12</v>
      </c>
      <c r="C1068" s="24">
        <v>233.7</v>
      </c>
      <c r="E1068" s="4">
        <v>425187</v>
      </c>
      <c r="F1068" s="2" t="s">
        <v>2</v>
      </c>
      <c r="G1068" s="2" t="str">
        <f t="shared" si="77"/>
        <v>https://www.oreht.ru/modules.php?name=orehtPriceLS&amp;op=Search&amp;page=1&amp;stext=425187</v>
      </c>
      <c r="I1068">
        <v>425187</v>
      </c>
      <c r="J1068" t="s">
        <v>2</v>
      </c>
      <c r="K1068" t="s">
        <v>3073</v>
      </c>
      <c r="L1068" t="s">
        <v>3074</v>
      </c>
      <c r="M1068" t="s">
        <v>649</v>
      </c>
    </row>
    <row r="1069" spans="1:13" hidden="1" x14ac:dyDescent="0.25">
      <c r="A1069" s="24">
        <f t="shared" si="78"/>
        <v>20</v>
      </c>
      <c r="B1069" s="24">
        <v>12</v>
      </c>
      <c r="C1069" s="24">
        <v>231.72</v>
      </c>
      <c r="E1069" s="4">
        <v>372077</v>
      </c>
      <c r="F1069" s="2" t="s">
        <v>2</v>
      </c>
      <c r="G1069" s="2" t="str">
        <f t="shared" si="77"/>
        <v>https://www.oreht.ru/modules.php?name=orehtPriceLS&amp;op=Search&amp;page=1&amp;stext=372077</v>
      </c>
      <c r="I1069">
        <v>372077</v>
      </c>
      <c r="J1069" t="s">
        <v>2</v>
      </c>
      <c r="K1069" t="s">
        <v>3075</v>
      </c>
      <c r="L1069" t="s">
        <v>3076</v>
      </c>
      <c r="M1069" t="s">
        <v>3077</v>
      </c>
    </row>
    <row r="1070" spans="1:13" hidden="1" x14ac:dyDescent="0.25">
      <c r="A1070" s="24">
        <f t="shared" si="78"/>
        <v>20</v>
      </c>
      <c r="B1070" s="24">
        <v>12</v>
      </c>
      <c r="C1070" s="24">
        <v>179.88</v>
      </c>
      <c r="E1070" s="4">
        <v>422673</v>
      </c>
      <c r="F1070" s="2" t="s">
        <v>2</v>
      </c>
      <c r="G1070" s="2" t="str">
        <f t="shared" si="77"/>
        <v>https://www.oreht.ru/modules.php?name=orehtPriceLS&amp;op=Search&amp;page=1&amp;stext=422673</v>
      </c>
      <c r="I1070">
        <v>422673</v>
      </c>
      <c r="J1070" t="s">
        <v>2</v>
      </c>
      <c r="K1070" t="s">
        <v>3078</v>
      </c>
      <c r="L1070" t="s">
        <v>3079</v>
      </c>
      <c r="M1070" t="s">
        <v>3080</v>
      </c>
    </row>
    <row r="1071" spans="1:13" hidden="1" x14ac:dyDescent="0.25">
      <c r="A1071" s="24">
        <f t="shared" si="78"/>
        <v>20</v>
      </c>
      <c r="B1071" s="24">
        <v>12</v>
      </c>
      <c r="C1071" s="24">
        <v>179.88</v>
      </c>
      <c r="E1071" s="4">
        <v>448740</v>
      </c>
      <c r="F1071" s="2" t="s">
        <v>2</v>
      </c>
      <c r="G1071" s="2" t="str">
        <f t="shared" si="77"/>
        <v>https://www.oreht.ru/modules.php?name=orehtPriceLS&amp;op=Search&amp;page=1&amp;stext=448740</v>
      </c>
      <c r="I1071">
        <v>448740</v>
      </c>
      <c r="J1071" t="s">
        <v>2</v>
      </c>
      <c r="K1071" t="s">
        <v>3081</v>
      </c>
      <c r="L1071" t="s">
        <v>3082</v>
      </c>
      <c r="M1071" t="s">
        <v>3080</v>
      </c>
    </row>
    <row r="1072" spans="1:13" hidden="1" x14ac:dyDescent="0.25">
      <c r="A1072" s="24">
        <f t="shared" si="78"/>
        <v>20</v>
      </c>
      <c r="B1072" s="24">
        <v>12</v>
      </c>
      <c r="C1072" s="24">
        <v>221.76</v>
      </c>
      <c r="E1072" s="4">
        <v>358994</v>
      </c>
      <c r="F1072" s="2" t="s">
        <v>2</v>
      </c>
      <c r="G1072" s="2" t="str">
        <f t="shared" si="77"/>
        <v>https://www.oreht.ru/modules.php?name=orehtPriceLS&amp;op=Search&amp;page=1&amp;stext=358994</v>
      </c>
      <c r="I1072">
        <v>358994</v>
      </c>
      <c r="J1072" t="s">
        <v>2</v>
      </c>
      <c r="K1072" t="s">
        <v>3083</v>
      </c>
      <c r="L1072" t="s">
        <v>3084</v>
      </c>
      <c r="M1072" t="s">
        <v>3085</v>
      </c>
    </row>
    <row r="1073" spans="1:13" hidden="1" x14ac:dyDescent="0.25">
      <c r="A1073" s="24">
        <f t="shared" si="78"/>
        <v>20</v>
      </c>
      <c r="B1073" s="24">
        <v>12</v>
      </c>
      <c r="C1073" s="24">
        <v>233.28</v>
      </c>
      <c r="E1073" s="4">
        <v>401967</v>
      </c>
      <c r="F1073" s="2" t="s">
        <v>2</v>
      </c>
      <c r="G1073" s="2" t="str">
        <f t="shared" si="77"/>
        <v>https://www.oreht.ru/modules.php?name=orehtPriceLS&amp;op=Search&amp;page=1&amp;stext=401967</v>
      </c>
      <c r="I1073">
        <v>401967</v>
      </c>
      <c r="J1073" t="s">
        <v>2</v>
      </c>
      <c r="K1073" t="s">
        <v>3086</v>
      </c>
      <c r="L1073" t="s">
        <v>3087</v>
      </c>
      <c r="M1073" t="s">
        <v>3088</v>
      </c>
    </row>
    <row r="1074" spans="1:13" hidden="1" x14ac:dyDescent="0.25">
      <c r="A1074" s="24">
        <f t="shared" si="78"/>
        <v>20</v>
      </c>
      <c r="B1074" s="24">
        <v>12</v>
      </c>
      <c r="C1074" s="24">
        <v>225</v>
      </c>
      <c r="E1074" s="4">
        <v>321686</v>
      </c>
      <c r="F1074" s="2" t="s">
        <v>2</v>
      </c>
      <c r="G1074" s="2" t="str">
        <f t="shared" si="77"/>
        <v>https://www.oreht.ru/modules.php?name=orehtPriceLS&amp;op=Search&amp;page=1&amp;stext=321686</v>
      </c>
      <c r="I1074">
        <v>321686</v>
      </c>
      <c r="J1074" t="s">
        <v>2</v>
      </c>
      <c r="K1074" t="s">
        <v>3089</v>
      </c>
      <c r="L1074" t="s">
        <v>3090</v>
      </c>
      <c r="M1074" t="s">
        <v>3091</v>
      </c>
    </row>
    <row r="1075" spans="1:13" hidden="1" x14ac:dyDescent="0.25">
      <c r="A1075" s="24">
        <f t="shared" si="78"/>
        <v>20</v>
      </c>
      <c r="B1075" s="24">
        <v>12</v>
      </c>
      <c r="C1075" s="24">
        <v>179.7</v>
      </c>
      <c r="E1075" s="4">
        <v>395559</v>
      </c>
      <c r="F1075" s="2" t="s">
        <v>2</v>
      </c>
      <c r="G1075" s="2" t="str">
        <f t="shared" si="77"/>
        <v>https://www.oreht.ru/modules.php?name=orehtPriceLS&amp;op=Search&amp;page=1&amp;stext=395559</v>
      </c>
      <c r="I1075">
        <v>395559</v>
      </c>
      <c r="J1075" t="s">
        <v>2</v>
      </c>
      <c r="K1075" t="s">
        <v>3092</v>
      </c>
      <c r="L1075" t="s">
        <v>3093</v>
      </c>
      <c r="M1075" t="s">
        <v>3094</v>
      </c>
    </row>
    <row r="1076" spans="1:13" hidden="1" x14ac:dyDescent="0.25">
      <c r="A1076" s="24">
        <f t="shared" si="78"/>
        <v>20</v>
      </c>
      <c r="B1076" s="24">
        <v>12</v>
      </c>
      <c r="C1076" s="24">
        <v>225</v>
      </c>
      <c r="E1076" s="4">
        <v>282924</v>
      </c>
      <c r="F1076" s="2" t="s">
        <v>2</v>
      </c>
      <c r="G1076" s="2" t="str">
        <f t="shared" si="77"/>
        <v>https://www.oreht.ru/modules.php?name=orehtPriceLS&amp;op=Search&amp;page=1&amp;stext=282924</v>
      </c>
      <c r="I1076">
        <v>282924</v>
      </c>
      <c r="J1076" t="s">
        <v>2</v>
      </c>
      <c r="K1076" t="s">
        <v>3095</v>
      </c>
      <c r="L1076" t="s">
        <v>3096</v>
      </c>
      <c r="M1076" t="s">
        <v>3097</v>
      </c>
    </row>
    <row r="1077" spans="1:13" hidden="1" x14ac:dyDescent="0.25">
      <c r="A1077" s="24">
        <f t="shared" si="78"/>
        <v>20</v>
      </c>
      <c r="B1077" s="24">
        <v>12</v>
      </c>
      <c r="C1077" s="24">
        <v>210.18</v>
      </c>
      <c r="E1077" s="4">
        <v>357869</v>
      </c>
      <c r="F1077" s="2" t="s">
        <v>2</v>
      </c>
      <c r="G1077" s="2" t="str">
        <f t="shared" si="77"/>
        <v>https://www.oreht.ru/modules.php?name=orehtPriceLS&amp;op=Search&amp;page=1&amp;stext=357869</v>
      </c>
      <c r="I1077">
        <v>357869</v>
      </c>
      <c r="J1077" t="s">
        <v>2</v>
      </c>
      <c r="K1077" t="s">
        <v>3098</v>
      </c>
      <c r="L1077" t="s">
        <v>3099</v>
      </c>
      <c r="M1077" t="s">
        <v>3100</v>
      </c>
    </row>
    <row r="1078" spans="1:13" hidden="1" x14ac:dyDescent="0.25">
      <c r="A1078" s="24">
        <f t="shared" si="78"/>
        <v>20</v>
      </c>
      <c r="B1078" s="24">
        <v>12</v>
      </c>
      <c r="C1078" s="24">
        <v>158.82</v>
      </c>
      <c r="E1078" s="4">
        <v>371541</v>
      </c>
      <c r="F1078" s="2" t="s">
        <v>2</v>
      </c>
      <c r="G1078" s="2" t="str">
        <f t="shared" si="77"/>
        <v>https://www.oreht.ru/modules.php?name=orehtPriceLS&amp;op=Search&amp;page=1&amp;stext=371541</v>
      </c>
      <c r="I1078">
        <v>371541</v>
      </c>
      <c r="J1078" t="s">
        <v>2</v>
      </c>
      <c r="K1078" t="s">
        <v>3101</v>
      </c>
      <c r="L1078" t="s">
        <v>3102</v>
      </c>
      <c r="M1078" t="s">
        <v>3103</v>
      </c>
    </row>
    <row r="1079" spans="1:13" hidden="1" x14ac:dyDescent="0.25">
      <c r="A1079" s="24">
        <f t="shared" si="78"/>
        <v>20</v>
      </c>
      <c r="B1079" s="24">
        <v>12</v>
      </c>
      <c r="C1079" s="24">
        <v>213.72</v>
      </c>
      <c r="E1079" s="4">
        <v>394778</v>
      </c>
      <c r="F1079" s="2" t="s">
        <v>2</v>
      </c>
      <c r="G1079" s="2" t="str">
        <f t="shared" si="77"/>
        <v>https://www.oreht.ru/modules.php?name=orehtPriceLS&amp;op=Search&amp;page=1&amp;stext=394778</v>
      </c>
      <c r="I1079">
        <v>394778</v>
      </c>
      <c r="J1079" t="s">
        <v>2</v>
      </c>
      <c r="K1079" t="s">
        <v>3104</v>
      </c>
      <c r="L1079" t="s">
        <v>3105</v>
      </c>
      <c r="M1079" t="s">
        <v>3106</v>
      </c>
    </row>
    <row r="1080" spans="1:13" hidden="1" x14ac:dyDescent="0.25">
      <c r="A1080" s="24">
        <f t="shared" si="78"/>
        <v>20</v>
      </c>
      <c r="B1080" s="24">
        <v>12</v>
      </c>
      <c r="C1080" s="24">
        <v>211.26</v>
      </c>
      <c r="E1080" s="4">
        <v>381130</v>
      </c>
      <c r="F1080" s="2" t="s">
        <v>2</v>
      </c>
      <c r="G1080" s="2" t="str">
        <f t="shared" si="77"/>
        <v>https://www.oreht.ru/modules.php?name=orehtPriceLS&amp;op=Search&amp;page=1&amp;stext=381130</v>
      </c>
      <c r="I1080">
        <v>381130</v>
      </c>
      <c r="J1080" t="s">
        <v>2</v>
      </c>
      <c r="K1080" t="s">
        <v>3107</v>
      </c>
      <c r="L1080" t="s">
        <v>3108</v>
      </c>
      <c r="M1080" t="s">
        <v>3109</v>
      </c>
    </row>
    <row r="1081" spans="1:13" hidden="1" x14ac:dyDescent="0.25">
      <c r="A1081" s="24">
        <f t="shared" si="78"/>
        <v>20</v>
      </c>
      <c r="B1081" s="24">
        <v>12</v>
      </c>
      <c r="C1081" s="24">
        <v>230.58</v>
      </c>
      <c r="E1081" s="4">
        <v>282921</v>
      </c>
      <c r="F1081" s="2" t="s">
        <v>2</v>
      </c>
      <c r="G1081" s="2" t="str">
        <f t="shared" si="77"/>
        <v>https://www.oreht.ru/modules.php?name=orehtPriceLS&amp;op=Search&amp;page=1&amp;stext=282921</v>
      </c>
      <c r="I1081">
        <v>282921</v>
      </c>
      <c r="J1081" t="s">
        <v>2</v>
      </c>
      <c r="K1081" t="s">
        <v>3110</v>
      </c>
      <c r="L1081" t="s">
        <v>3111</v>
      </c>
      <c r="M1081" t="s">
        <v>3112</v>
      </c>
    </row>
    <row r="1082" spans="1:13" hidden="1" x14ac:dyDescent="0.25">
      <c r="A1082" s="24">
        <f t="shared" si="78"/>
        <v>20</v>
      </c>
      <c r="B1082" s="24">
        <v>12</v>
      </c>
      <c r="C1082" s="24">
        <v>130</v>
      </c>
      <c r="E1082" s="4">
        <v>299907</v>
      </c>
      <c r="F1082" s="2" t="s">
        <v>2</v>
      </c>
      <c r="G1082" s="2" t="str">
        <f t="shared" si="77"/>
        <v>https://www.oreht.ru/modules.php?name=orehtPriceLS&amp;op=Search&amp;page=1&amp;stext=299907</v>
      </c>
      <c r="I1082">
        <v>299907</v>
      </c>
      <c r="J1082" t="s">
        <v>2</v>
      </c>
      <c r="K1082" t="s">
        <v>3113</v>
      </c>
      <c r="L1082" t="s">
        <v>3114</v>
      </c>
      <c r="M1082" t="s">
        <v>3115</v>
      </c>
    </row>
    <row r="1083" spans="1:13" x14ac:dyDescent="0.25">
      <c r="A1083" s="24">
        <f t="shared" si="78"/>
        <v>20</v>
      </c>
      <c r="B1083" s="24">
        <v>12</v>
      </c>
      <c r="C1083" s="24">
        <v>185.1</v>
      </c>
      <c r="E1083" s="4">
        <v>227650</v>
      </c>
      <c r="F1083" s="2" t="s">
        <v>2</v>
      </c>
      <c r="G1083" s="2" t="str">
        <f t="shared" si="77"/>
        <v>https://www.oreht.ru/modules.php?name=orehtPriceLS&amp;op=Search&amp;page=1&amp;stext=227650</v>
      </c>
      <c r="I1083">
        <v>227650</v>
      </c>
      <c r="J1083" t="s">
        <v>2</v>
      </c>
      <c r="K1083" t="s">
        <v>3116</v>
      </c>
      <c r="L1083" t="s">
        <v>3117</v>
      </c>
      <c r="M1083" t="s">
        <v>649</v>
      </c>
    </row>
    <row r="1084" spans="1:13" hidden="1" x14ac:dyDescent="0.25">
      <c r="A1084" s="24">
        <f t="shared" si="78"/>
        <v>20</v>
      </c>
      <c r="B1084" s="24">
        <v>12</v>
      </c>
      <c r="C1084" s="24">
        <v>231</v>
      </c>
      <c r="E1084" s="4">
        <v>109238</v>
      </c>
      <c r="F1084" s="2" t="s">
        <v>2</v>
      </c>
      <c r="G1084" s="2" t="str">
        <f t="shared" si="77"/>
        <v>https://www.oreht.ru/modules.php?name=orehtPriceLS&amp;op=Search&amp;page=1&amp;stext=109238</v>
      </c>
      <c r="I1084">
        <v>109238</v>
      </c>
      <c r="J1084" t="s">
        <v>2</v>
      </c>
      <c r="K1084" t="s">
        <v>3118</v>
      </c>
      <c r="L1084" t="s">
        <v>3119</v>
      </c>
      <c r="M1084" t="s">
        <v>3120</v>
      </c>
    </row>
    <row r="1085" spans="1:13" hidden="1" x14ac:dyDescent="0.25">
      <c r="A1085" s="24">
        <f t="shared" si="78"/>
        <v>20</v>
      </c>
      <c r="B1085" s="24">
        <v>12</v>
      </c>
      <c r="C1085" s="24">
        <v>125</v>
      </c>
      <c r="E1085" s="4">
        <v>303256</v>
      </c>
      <c r="F1085" s="2" t="s">
        <v>2</v>
      </c>
      <c r="G1085" s="2" t="str">
        <f t="shared" si="77"/>
        <v>https://www.oreht.ru/modules.php?name=orehtPriceLS&amp;op=Search&amp;page=1&amp;stext=303256</v>
      </c>
      <c r="I1085">
        <v>303256</v>
      </c>
      <c r="J1085" t="s">
        <v>2</v>
      </c>
      <c r="K1085" t="s">
        <v>3121</v>
      </c>
      <c r="L1085" t="s">
        <v>3122</v>
      </c>
      <c r="M1085" t="s">
        <v>3120</v>
      </c>
    </row>
    <row r="1086" spans="1:13" hidden="1" x14ac:dyDescent="0.25">
      <c r="A1086" s="24">
        <f t="shared" si="78"/>
        <v>20</v>
      </c>
      <c r="B1086" s="24">
        <v>12</v>
      </c>
      <c r="C1086" s="24">
        <v>212.64</v>
      </c>
      <c r="E1086" s="4">
        <v>224101</v>
      </c>
      <c r="F1086" s="2" t="s">
        <v>2</v>
      </c>
      <c r="G1086" s="2" t="str">
        <f t="shared" si="77"/>
        <v>https://www.oreht.ru/modules.php?name=orehtPriceLS&amp;op=Search&amp;page=1&amp;stext=224101</v>
      </c>
      <c r="I1086">
        <v>224101</v>
      </c>
      <c r="J1086" t="s">
        <v>2</v>
      </c>
      <c r="K1086" t="s">
        <v>3123</v>
      </c>
      <c r="L1086" t="s">
        <v>3124</v>
      </c>
      <c r="M1086" t="s">
        <v>3125</v>
      </c>
    </row>
    <row r="1087" spans="1:13" hidden="1" x14ac:dyDescent="0.25">
      <c r="A1087" s="24">
        <f t="shared" si="78"/>
        <v>20</v>
      </c>
      <c r="B1087" s="24">
        <v>12</v>
      </c>
      <c r="C1087" s="24">
        <v>209.64</v>
      </c>
      <c r="E1087" s="4">
        <v>303264</v>
      </c>
      <c r="F1087" s="2" t="s">
        <v>2</v>
      </c>
      <c r="G1087" s="2" t="str">
        <f t="shared" si="77"/>
        <v>https://www.oreht.ru/modules.php?name=orehtPriceLS&amp;op=Search&amp;page=1&amp;stext=303264</v>
      </c>
      <c r="I1087">
        <v>303264</v>
      </c>
      <c r="J1087" t="s">
        <v>2</v>
      </c>
      <c r="K1087" t="s">
        <v>3126</v>
      </c>
      <c r="L1087" t="s">
        <v>3127</v>
      </c>
      <c r="M1087" t="s">
        <v>3128</v>
      </c>
    </row>
    <row r="1088" spans="1:13" hidden="1" x14ac:dyDescent="0.25">
      <c r="A1088" s="24">
        <f t="shared" si="78"/>
        <v>20</v>
      </c>
      <c r="B1088" s="24">
        <v>12</v>
      </c>
      <c r="C1088" s="24">
        <v>230.34</v>
      </c>
      <c r="E1088" s="4">
        <v>202271</v>
      </c>
      <c r="F1088" s="2" t="s">
        <v>2</v>
      </c>
      <c r="G1088" s="2" t="str">
        <f t="shared" si="77"/>
        <v>https://www.oreht.ru/modules.php?name=orehtPriceLS&amp;op=Search&amp;page=1&amp;stext=202271</v>
      </c>
      <c r="I1088">
        <v>202271</v>
      </c>
      <c r="J1088" t="s">
        <v>2</v>
      </c>
      <c r="K1088" t="s">
        <v>3129</v>
      </c>
      <c r="L1088" t="s">
        <v>3130</v>
      </c>
      <c r="M1088" t="s">
        <v>3131</v>
      </c>
    </row>
    <row r="1089" spans="1:13" hidden="1" x14ac:dyDescent="0.25">
      <c r="A1089" s="24">
        <f t="shared" si="78"/>
        <v>20</v>
      </c>
      <c r="B1089" s="24">
        <v>12</v>
      </c>
      <c r="C1089" s="24">
        <v>226.38</v>
      </c>
      <c r="E1089" s="4">
        <v>116432</v>
      </c>
      <c r="F1089" s="2" t="s">
        <v>2</v>
      </c>
      <c r="G1089" s="2" t="str">
        <f t="shared" si="77"/>
        <v>https://www.oreht.ru/modules.php?name=orehtPriceLS&amp;op=Search&amp;page=1&amp;stext=116432</v>
      </c>
      <c r="I1089">
        <v>116432</v>
      </c>
      <c r="J1089" t="s">
        <v>2</v>
      </c>
      <c r="K1089" t="s">
        <v>3132</v>
      </c>
      <c r="L1089" t="s">
        <v>3133</v>
      </c>
      <c r="M1089" t="s">
        <v>3134</v>
      </c>
    </row>
    <row r="1090" spans="1:13" hidden="1" x14ac:dyDescent="0.25">
      <c r="A1090" s="24">
        <f t="shared" si="78"/>
        <v>20</v>
      </c>
      <c r="B1090" s="24">
        <v>12</v>
      </c>
      <c r="C1090" s="24">
        <v>215.22</v>
      </c>
      <c r="E1090" s="4">
        <v>430886</v>
      </c>
      <c r="F1090" s="2" t="s">
        <v>2</v>
      </c>
      <c r="G1090" s="2" t="str">
        <f t="shared" ref="G1090:G1153" si="79">HYPERLINK(F1090&amp;E1090)</f>
        <v>https://www.oreht.ru/modules.php?name=orehtPriceLS&amp;op=Search&amp;page=1&amp;stext=430886</v>
      </c>
      <c r="I1090">
        <v>430886</v>
      </c>
      <c r="J1090" t="s">
        <v>2</v>
      </c>
      <c r="K1090" t="s">
        <v>3135</v>
      </c>
      <c r="L1090" t="s">
        <v>3136</v>
      </c>
      <c r="M1090" t="s">
        <v>3137</v>
      </c>
    </row>
    <row r="1091" spans="1:13" x14ac:dyDescent="0.25">
      <c r="A1091" s="24">
        <f t="shared" si="78"/>
        <v>20</v>
      </c>
      <c r="B1091" s="24">
        <v>12</v>
      </c>
      <c r="C1091" s="24">
        <v>112.95</v>
      </c>
      <c r="E1091" s="4">
        <v>418490</v>
      </c>
      <c r="F1091" s="2" t="s">
        <v>2</v>
      </c>
      <c r="G1091" s="2" t="str">
        <f t="shared" si="79"/>
        <v>https://www.oreht.ru/modules.php?name=orehtPriceLS&amp;op=Search&amp;page=1&amp;stext=418490</v>
      </c>
      <c r="I1091">
        <v>418490</v>
      </c>
      <c r="J1091" t="s">
        <v>2</v>
      </c>
      <c r="K1091" t="s">
        <v>3138</v>
      </c>
      <c r="L1091" t="s">
        <v>3139</v>
      </c>
      <c r="M1091" t="s">
        <v>649</v>
      </c>
    </row>
    <row r="1092" spans="1:13" x14ac:dyDescent="0.25">
      <c r="A1092" s="24">
        <f t="shared" si="78"/>
        <v>20</v>
      </c>
      <c r="B1092" s="24">
        <v>12</v>
      </c>
      <c r="C1092" s="24">
        <v>148.13999999999999</v>
      </c>
      <c r="E1092" s="4">
        <v>382818</v>
      </c>
      <c r="F1092" s="2" t="s">
        <v>2</v>
      </c>
      <c r="G1092" s="2" t="str">
        <f t="shared" si="79"/>
        <v>https://www.oreht.ru/modules.php?name=orehtPriceLS&amp;op=Search&amp;page=1&amp;stext=382818</v>
      </c>
      <c r="I1092">
        <v>382818</v>
      </c>
      <c r="J1092" t="s">
        <v>2</v>
      </c>
      <c r="K1092" t="s">
        <v>3140</v>
      </c>
      <c r="L1092" t="s">
        <v>3141</v>
      </c>
      <c r="M1092" t="s">
        <v>649</v>
      </c>
    </row>
    <row r="1093" spans="1:13" hidden="1" x14ac:dyDescent="0.25">
      <c r="A1093" s="24">
        <f t="shared" ref="A1093:A1156" si="80">IF(W1093*0.05&gt;=250,250,IF(W1093*0.05&gt;=20,IF(W1093*0.05&lt;20,20,W1093*0.05),20))</f>
        <v>20</v>
      </c>
      <c r="B1093" s="24">
        <v>10</v>
      </c>
      <c r="C1093" s="24">
        <v>136.08000000000001</v>
      </c>
      <c r="E1093" s="4">
        <v>230670</v>
      </c>
      <c r="F1093" s="2" t="s">
        <v>2</v>
      </c>
      <c r="G1093" s="2" t="str">
        <f t="shared" si="79"/>
        <v>https://www.oreht.ru/modules.php?name=orehtPriceLS&amp;op=Search&amp;page=1&amp;stext=230670</v>
      </c>
      <c r="I1093">
        <v>230670</v>
      </c>
      <c r="J1093" t="s">
        <v>2</v>
      </c>
      <c r="K1093" t="s">
        <v>3142</v>
      </c>
      <c r="L1093" t="s">
        <v>3143</v>
      </c>
      <c r="M1093" t="s">
        <v>3144</v>
      </c>
    </row>
    <row r="1094" spans="1:13" x14ac:dyDescent="0.25">
      <c r="A1094" s="24">
        <f t="shared" si="80"/>
        <v>20</v>
      </c>
      <c r="B1094" s="24">
        <v>12</v>
      </c>
      <c r="C1094" s="24">
        <v>139.02000000000001</v>
      </c>
      <c r="E1094" s="4">
        <v>139957</v>
      </c>
      <c r="F1094" s="2" t="s">
        <v>2</v>
      </c>
      <c r="G1094" s="2" t="str">
        <f t="shared" si="79"/>
        <v>https://www.oreht.ru/modules.php?name=orehtPriceLS&amp;op=Search&amp;page=1&amp;stext=139957</v>
      </c>
      <c r="I1094">
        <v>139957</v>
      </c>
      <c r="J1094" t="s">
        <v>2</v>
      </c>
      <c r="K1094" t="s">
        <v>3145</v>
      </c>
      <c r="L1094" t="s">
        <v>3146</v>
      </c>
      <c r="M1094" t="s">
        <v>649</v>
      </c>
    </row>
    <row r="1095" spans="1:13" x14ac:dyDescent="0.25">
      <c r="A1095" s="24">
        <f t="shared" si="80"/>
        <v>20</v>
      </c>
      <c r="B1095" s="24">
        <v>12</v>
      </c>
      <c r="C1095" s="24">
        <v>127.68</v>
      </c>
      <c r="E1095" s="4">
        <v>418487</v>
      </c>
      <c r="F1095" s="2" t="s">
        <v>2</v>
      </c>
      <c r="G1095" s="2" t="str">
        <f t="shared" si="79"/>
        <v>https://www.oreht.ru/modules.php?name=orehtPriceLS&amp;op=Search&amp;page=1&amp;stext=418487</v>
      </c>
      <c r="I1095">
        <v>418487</v>
      </c>
      <c r="J1095" t="s">
        <v>2</v>
      </c>
      <c r="K1095" t="s">
        <v>3147</v>
      </c>
      <c r="L1095" t="s">
        <v>3148</v>
      </c>
      <c r="M1095" t="s">
        <v>649</v>
      </c>
    </row>
    <row r="1096" spans="1:13" x14ac:dyDescent="0.25">
      <c r="A1096" s="24">
        <f t="shared" si="80"/>
        <v>20</v>
      </c>
      <c r="B1096" s="24">
        <v>12</v>
      </c>
      <c r="C1096" s="24">
        <v>138.12</v>
      </c>
      <c r="E1096" s="4">
        <v>418488</v>
      </c>
      <c r="F1096" s="2" t="s">
        <v>2</v>
      </c>
      <c r="G1096" s="2" t="str">
        <f t="shared" si="79"/>
        <v>https://www.oreht.ru/modules.php?name=orehtPriceLS&amp;op=Search&amp;page=1&amp;stext=418488</v>
      </c>
      <c r="I1096">
        <v>418488</v>
      </c>
      <c r="J1096" t="s">
        <v>2</v>
      </c>
      <c r="K1096" t="s">
        <v>3149</v>
      </c>
      <c r="L1096" t="s">
        <v>3150</v>
      </c>
      <c r="M1096" t="s">
        <v>649</v>
      </c>
    </row>
    <row r="1097" spans="1:13" x14ac:dyDescent="0.25">
      <c r="A1097" s="24">
        <f t="shared" si="80"/>
        <v>20</v>
      </c>
      <c r="B1097" s="24">
        <v>10</v>
      </c>
      <c r="C1097" s="24">
        <v>132.66</v>
      </c>
      <c r="E1097" s="4">
        <v>417464</v>
      </c>
      <c r="F1097" s="2" t="s">
        <v>2</v>
      </c>
      <c r="G1097" s="2" t="str">
        <f t="shared" si="79"/>
        <v>https://www.oreht.ru/modules.php?name=orehtPriceLS&amp;op=Search&amp;page=1&amp;stext=417464</v>
      </c>
      <c r="I1097">
        <v>417464</v>
      </c>
      <c r="J1097" t="s">
        <v>2</v>
      </c>
      <c r="K1097" t="s">
        <v>3151</v>
      </c>
      <c r="L1097" t="s">
        <v>3152</v>
      </c>
      <c r="M1097" t="s">
        <v>649</v>
      </c>
    </row>
    <row r="1098" spans="1:13" hidden="1" x14ac:dyDescent="0.25">
      <c r="A1098" s="24">
        <f t="shared" si="80"/>
        <v>20</v>
      </c>
      <c r="B1098" s="24">
        <v>12</v>
      </c>
      <c r="C1098" s="24">
        <v>98.4</v>
      </c>
      <c r="E1098" s="4">
        <v>453296</v>
      </c>
      <c r="F1098" s="2" t="s">
        <v>2</v>
      </c>
      <c r="G1098" s="2" t="str">
        <f t="shared" si="79"/>
        <v>https://www.oreht.ru/modules.php?name=orehtPriceLS&amp;op=Search&amp;page=1&amp;stext=453296</v>
      </c>
      <c r="I1098">
        <v>453296</v>
      </c>
      <c r="J1098" t="s">
        <v>2</v>
      </c>
      <c r="K1098" t="s">
        <v>3153</v>
      </c>
      <c r="L1098" t="s">
        <v>3154</v>
      </c>
      <c r="M1098" t="s">
        <v>3155</v>
      </c>
    </row>
    <row r="1099" spans="1:13" hidden="1" x14ac:dyDescent="0.25">
      <c r="A1099" s="24">
        <f t="shared" si="80"/>
        <v>20</v>
      </c>
      <c r="B1099" s="24">
        <v>12</v>
      </c>
      <c r="C1099" s="24">
        <v>128.63999999999999</v>
      </c>
      <c r="E1099" s="4">
        <v>453277</v>
      </c>
      <c r="F1099" s="2" t="s">
        <v>2</v>
      </c>
      <c r="G1099" s="2" t="str">
        <f t="shared" si="79"/>
        <v>https://www.oreht.ru/modules.php?name=orehtPriceLS&amp;op=Search&amp;page=1&amp;stext=453277</v>
      </c>
      <c r="I1099">
        <v>453277</v>
      </c>
      <c r="J1099" t="s">
        <v>2</v>
      </c>
      <c r="K1099" t="s">
        <v>3156</v>
      </c>
      <c r="L1099" t="s">
        <v>3157</v>
      </c>
      <c r="M1099" t="s">
        <v>3155</v>
      </c>
    </row>
    <row r="1100" spans="1:13" x14ac:dyDescent="0.25">
      <c r="A1100" s="24">
        <f t="shared" si="80"/>
        <v>20</v>
      </c>
      <c r="B1100" s="24">
        <v>12</v>
      </c>
      <c r="C1100" s="24">
        <v>128.16</v>
      </c>
      <c r="E1100" s="4">
        <v>453260</v>
      </c>
      <c r="F1100" s="2" t="s">
        <v>2</v>
      </c>
      <c r="G1100" s="2" t="str">
        <f t="shared" si="79"/>
        <v>https://www.oreht.ru/modules.php?name=orehtPriceLS&amp;op=Search&amp;page=1&amp;stext=453260</v>
      </c>
      <c r="I1100">
        <v>453260</v>
      </c>
      <c r="J1100" t="s">
        <v>2</v>
      </c>
      <c r="K1100" t="s">
        <v>3158</v>
      </c>
      <c r="L1100" t="s">
        <v>3159</v>
      </c>
      <c r="M1100" t="s">
        <v>649</v>
      </c>
    </row>
    <row r="1101" spans="1:13" hidden="1" x14ac:dyDescent="0.25">
      <c r="A1101" s="24">
        <f t="shared" si="80"/>
        <v>20</v>
      </c>
      <c r="B1101" s="24">
        <v>12</v>
      </c>
      <c r="C1101" s="24">
        <v>116.4</v>
      </c>
      <c r="E1101" s="4">
        <v>417465</v>
      </c>
      <c r="F1101" s="2" t="s">
        <v>2</v>
      </c>
      <c r="G1101" s="2" t="str">
        <f t="shared" si="79"/>
        <v>https://www.oreht.ru/modules.php?name=orehtPriceLS&amp;op=Search&amp;page=1&amp;stext=417465</v>
      </c>
      <c r="I1101">
        <v>417465</v>
      </c>
      <c r="J1101" t="s">
        <v>2</v>
      </c>
      <c r="K1101" t="s">
        <v>3160</v>
      </c>
      <c r="L1101" t="s">
        <v>3161</v>
      </c>
      <c r="M1101" t="s">
        <v>320</v>
      </c>
    </row>
    <row r="1102" spans="1:13" hidden="1" x14ac:dyDescent="0.25">
      <c r="A1102" s="24">
        <f t="shared" si="80"/>
        <v>20</v>
      </c>
      <c r="B1102" s="24">
        <v>10</v>
      </c>
      <c r="C1102" s="24">
        <v>118.08</v>
      </c>
      <c r="E1102" s="4">
        <v>227133</v>
      </c>
      <c r="F1102" s="2" t="s">
        <v>2</v>
      </c>
      <c r="G1102" s="2" t="str">
        <f t="shared" si="79"/>
        <v>https://www.oreht.ru/modules.php?name=orehtPriceLS&amp;op=Search&amp;page=1&amp;stext=227133</v>
      </c>
      <c r="I1102">
        <v>227133</v>
      </c>
      <c r="J1102" t="s">
        <v>2</v>
      </c>
      <c r="K1102" t="s">
        <v>3162</v>
      </c>
      <c r="L1102" t="s">
        <v>3163</v>
      </c>
      <c r="M1102" t="s">
        <v>2655</v>
      </c>
    </row>
    <row r="1103" spans="1:13" x14ac:dyDescent="0.25">
      <c r="A1103" s="24">
        <f t="shared" si="80"/>
        <v>20</v>
      </c>
      <c r="B1103" s="24">
        <v>12</v>
      </c>
      <c r="C1103" s="24">
        <v>160</v>
      </c>
      <c r="E1103" s="4">
        <v>381197</v>
      </c>
      <c r="F1103" s="2" t="s">
        <v>2</v>
      </c>
      <c r="G1103" s="2" t="str">
        <f t="shared" si="79"/>
        <v>https://www.oreht.ru/modules.php?name=orehtPriceLS&amp;op=Search&amp;page=1&amp;stext=381197</v>
      </c>
      <c r="I1103">
        <v>381197</v>
      </c>
      <c r="J1103" t="s">
        <v>2</v>
      </c>
      <c r="K1103" t="s">
        <v>3164</v>
      </c>
      <c r="L1103" t="s">
        <v>3165</v>
      </c>
      <c r="M1103" t="s">
        <v>649</v>
      </c>
    </row>
    <row r="1104" spans="1:13" x14ac:dyDescent="0.25">
      <c r="A1104" s="24">
        <f t="shared" si="80"/>
        <v>20</v>
      </c>
      <c r="B1104" s="24">
        <v>12</v>
      </c>
      <c r="C1104" s="24">
        <v>118.8</v>
      </c>
      <c r="E1104" s="4">
        <v>418493</v>
      </c>
      <c r="F1104" s="2" t="s">
        <v>2</v>
      </c>
      <c r="G1104" s="2" t="str">
        <f t="shared" si="79"/>
        <v>https://www.oreht.ru/modules.php?name=orehtPriceLS&amp;op=Search&amp;page=1&amp;stext=418493</v>
      </c>
      <c r="I1104">
        <v>418493</v>
      </c>
      <c r="J1104" t="s">
        <v>2</v>
      </c>
      <c r="K1104" t="s">
        <v>3166</v>
      </c>
      <c r="L1104" t="s">
        <v>3167</v>
      </c>
      <c r="M1104" t="s">
        <v>649</v>
      </c>
    </row>
    <row r="1105" spans="1:13" hidden="1" x14ac:dyDescent="0.25">
      <c r="A1105" s="24">
        <f t="shared" si="80"/>
        <v>20</v>
      </c>
      <c r="B1105" s="24">
        <v>12</v>
      </c>
      <c r="C1105" s="24">
        <v>88.6</v>
      </c>
      <c r="E1105" s="4">
        <v>453303</v>
      </c>
      <c r="F1105" s="2" t="s">
        <v>2</v>
      </c>
      <c r="G1105" s="2" t="str">
        <f t="shared" si="79"/>
        <v>https://www.oreht.ru/modules.php?name=orehtPriceLS&amp;op=Search&amp;page=1&amp;stext=453303</v>
      </c>
      <c r="I1105">
        <v>453303</v>
      </c>
      <c r="J1105" t="s">
        <v>2</v>
      </c>
      <c r="K1105" t="s">
        <v>3168</v>
      </c>
      <c r="L1105" t="s">
        <v>3169</v>
      </c>
      <c r="M1105" t="s">
        <v>3170</v>
      </c>
    </row>
    <row r="1106" spans="1:13" hidden="1" x14ac:dyDescent="0.25">
      <c r="A1106" s="24">
        <f t="shared" si="80"/>
        <v>20</v>
      </c>
      <c r="B1106" s="24">
        <v>12</v>
      </c>
      <c r="C1106" s="24">
        <v>90.2</v>
      </c>
      <c r="E1106" s="4">
        <v>453302</v>
      </c>
      <c r="F1106" s="2" t="s">
        <v>2</v>
      </c>
      <c r="G1106" s="2" t="str">
        <f t="shared" si="79"/>
        <v>https://www.oreht.ru/modules.php?name=orehtPriceLS&amp;op=Search&amp;page=1&amp;stext=453302</v>
      </c>
      <c r="I1106">
        <v>453302</v>
      </c>
      <c r="J1106" t="s">
        <v>2</v>
      </c>
      <c r="K1106" t="s">
        <v>3171</v>
      </c>
      <c r="L1106" t="s">
        <v>3172</v>
      </c>
      <c r="M1106" t="s">
        <v>3170</v>
      </c>
    </row>
    <row r="1107" spans="1:13" x14ac:dyDescent="0.25">
      <c r="A1107" s="24">
        <f t="shared" si="80"/>
        <v>20</v>
      </c>
      <c r="B1107" s="24">
        <v>12</v>
      </c>
      <c r="C1107" s="24">
        <v>85.35</v>
      </c>
      <c r="E1107" s="4">
        <v>385319</v>
      </c>
      <c r="F1107" s="2" t="s">
        <v>2</v>
      </c>
      <c r="G1107" s="2" t="str">
        <f t="shared" si="79"/>
        <v>https://www.oreht.ru/modules.php?name=orehtPriceLS&amp;op=Search&amp;page=1&amp;stext=385319</v>
      </c>
      <c r="I1107">
        <v>385319</v>
      </c>
      <c r="J1107" t="s">
        <v>2</v>
      </c>
      <c r="K1107" t="s">
        <v>3173</v>
      </c>
      <c r="L1107" t="s">
        <v>3174</v>
      </c>
      <c r="M1107" t="s">
        <v>649</v>
      </c>
    </row>
    <row r="1108" spans="1:13" x14ac:dyDescent="0.25">
      <c r="A1108" s="24">
        <f t="shared" si="80"/>
        <v>20</v>
      </c>
      <c r="B1108" s="24">
        <v>12</v>
      </c>
      <c r="C1108" s="24">
        <v>93.85</v>
      </c>
      <c r="E1108" s="4">
        <v>453298</v>
      </c>
      <c r="F1108" s="2" t="s">
        <v>2</v>
      </c>
      <c r="G1108" s="2" t="str">
        <f t="shared" si="79"/>
        <v>https://www.oreht.ru/modules.php?name=orehtPriceLS&amp;op=Search&amp;page=1&amp;stext=453298</v>
      </c>
      <c r="I1108">
        <v>453298</v>
      </c>
      <c r="J1108" t="s">
        <v>2</v>
      </c>
      <c r="K1108" t="s">
        <v>3175</v>
      </c>
      <c r="L1108" t="s">
        <v>3176</v>
      </c>
      <c r="M1108" t="s">
        <v>649</v>
      </c>
    </row>
    <row r="1109" spans="1:13" x14ac:dyDescent="0.25">
      <c r="A1109" s="24">
        <f t="shared" si="80"/>
        <v>20</v>
      </c>
      <c r="B1109" s="24">
        <v>12</v>
      </c>
      <c r="C1109" s="24">
        <v>160</v>
      </c>
      <c r="E1109" s="4">
        <v>418486</v>
      </c>
      <c r="F1109" s="2" t="s">
        <v>2</v>
      </c>
      <c r="G1109" s="2" t="str">
        <f t="shared" si="79"/>
        <v>https://www.oreht.ru/modules.php?name=orehtPriceLS&amp;op=Search&amp;page=1&amp;stext=418486</v>
      </c>
      <c r="I1109">
        <v>418486</v>
      </c>
      <c r="J1109" t="s">
        <v>2</v>
      </c>
      <c r="K1109" t="s">
        <v>3177</v>
      </c>
      <c r="L1109" t="s">
        <v>3178</v>
      </c>
      <c r="M1109" t="s">
        <v>649</v>
      </c>
    </row>
    <row r="1110" spans="1:13" x14ac:dyDescent="0.25">
      <c r="A1110" s="24">
        <f t="shared" si="80"/>
        <v>20</v>
      </c>
      <c r="B1110" s="24">
        <v>10</v>
      </c>
      <c r="C1110" s="24">
        <v>95.1</v>
      </c>
      <c r="E1110" s="4">
        <v>417520</v>
      </c>
      <c r="F1110" s="2" t="s">
        <v>2</v>
      </c>
      <c r="G1110" s="2" t="str">
        <f t="shared" si="79"/>
        <v>https://www.oreht.ru/modules.php?name=orehtPriceLS&amp;op=Search&amp;page=1&amp;stext=417520</v>
      </c>
      <c r="I1110">
        <v>417520</v>
      </c>
      <c r="J1110" t="s">
        <v>2</v>
      </c>
      <c r="K1110" t="s">
        <v>3179</v>
      </c>
      <c r="L1110" t="s">
        <v>3180</v>
      </c>
      <c r="M1110" t="s">
        <v>649</v>
      </c>
    </row>
    <row r="1111" spans="1:13" x14ac:dyDescent="0.25">
      <c r="A1111" s="24">
        <f t="shared" si="80"/>
        <v>20</v>
      </c>
      <c r="B1111" s="24">
        <v>12</v>
      </c>
      <c r="C1111" s="24">
        <v>102</v>
      </c>
      <c r="E1111" s="4">
        <v>418492</v>
      </c>
      <c r="F1111" s="2" t="s">
        <v>2</v>
      </c>
      <c r="G1111" s="2" t="str">
        <f t="shared" si="79"/>
        <v>https://www.oreht.ru/modules.php?name=orehtPriceLS&amp;op=Search&amp;page=1&amp;stext=418492</v>
      </c>
      <c r="I1111">
        <v>418492</v>
      </c>
      <c r="J1111" t="s">
        <v>2</v>
      </c>
      <c r="K1111" t="s">
        <v>3181</v>
      </c>
      <c r="L1111" t="s">
        <v>3182</v>
      </c>
      <c r="M1111" t="s">
        <v>649</v>
      </c>
    </row>
    <row r="1112" spans="1:13" x14ac:dyDescent="0.25">
      <c r="A1112" s="24">
        <f t="shared" si="80"/>
        <v>20</v>
      </c>
      <c r="B1112" s="24">
        <v>12</v>
      </c>
      <c r="C1112" s="24">
        <v>93.24</v>
      </c>
      <c r="E1112" s="4">
        <v>418479</v>
      </c>
      <c r="F1112" s="2" t="s">
        <v>2</v>
      </c>
      <c r="G1112" s="2" t="str">
        <f t="shared" si="79"/>
        <v>https://www.oreht.ru/modules.php?name=orehtPriceLS&amp;op=Search&amp;page=1&amp;stext=418479</v>
      </c>
      <c r="I1112">
        <v>418479</v>
      </c>
      <c r="J1112" t="s">
        <v>2</v>
      </c>
      <c r="K1112" t="s">
        <v>3183</v>
      </c>
      <c r="L1112" t="s">
        <v>3184</v>
      </c>
      <c r="M1112" t="s">
        <v>649</v>
      </c>
    </row>
    <row r="1113" spans="1:13" x14ac:dyDescent="0.25">
      <c r="A1113" s="24">
        <f t="shared" si="80"/>
        <v>20</v>
      </c>
      <c r="B1113" s="24">
        <v>12</v>
      </c>
      <c r="C1113" s="24">
        <v>80.099999999999994</v>
      </c>
      <c r="E1113" s="4">
        <v>422433</v>
      </c>
      <c r="F1113" s="2" t="s">
        <v>2</v>
      </c>
      <c r="G1113" s="2" t="str">
        <f t="shared" si="79"/>
        <v>https://www.oreht.ru/modules.php?name=orehtPriceLS&amp;op=Search&amp;page=1&amp;stext=422433</v>
      </c>
      <c r="I1113">
        <v>422433</v>
      </c>
      <c r="J1113" t="s">
        <v>2</v>
      </c>
      <c r="K1113" t="s">
        <v>3185</v>
      </c>
      <c r="L1113" t="s">
        <v>3186</v>
      </c>
      <c r="M1113" t="s">
        <v>649</v>
      </c>
    </row>
    <row r="1114" spans="1:13" x14ac:dyDescent="0.25">
      <c r="A1114" s="24">
        <f t="shared" si="80"/>
        <v>20</v>
      </c>
      <c r="B1114" s="24">
        <v>12</v>
      </c>
      <c r="C1114" s="24">
        <v>78.150000000000006</v>
      </c>
      <c r="E1114" s="4">
        <v>417488</v>
      </c>
      <c r="F1114" s="2" t="s">
        <v>2</v>
      </c>
      <c r="G1114" s="2" t="str">
        <f t="shared" si="79"/>
        <v>https://www.oreht.ru/modules.php?name=orehtPriceLS&amp;op=Search&amp;page=1&amp;stext=417488</v>
      </c>
      <c r="I1114">
        <v>417488</v>
      </c>
      <c r="J1114" t="s">
        <v>2</v>
      </c>
      <c r="K1114" t="s">
        <v>3187</v>
      </c>
      <c r="L1114" t="s">
        <v>3188</v>
      </c>
      <c r="M1114" t="s">
        <v>649</v>
      </c>
    </row>
    <row r="1115" spans="1:13" x14ac:dyDescent="0.25">
      <c r="A1115" s="24">
        <f t="shared" si="80"/>
        <v>20</v>
      </c>
      <c r="B1115" s="24">
        <v>12</v>
      </c>
      <c r="C1115" s="24">
        <v>93.54</v>
      </c>
      <c r="E1115" s="4">
        <v>417505</v>
      </c>
      <c r="F1115" s="2" t="s">
        <v>2</v>
      </c>
      <c r="G1115" s="2" t="str">
        <f t="shared" si="79"/>
        <v>https://www.oreht.ru/modules.php?name=orehtPriceLS&amp;op=Search&amp;page=1&amp;stext=417505</v>
      </c>
      <c r="I1115">
        <v>417505</v>
      </c>
      <c r="J1115" t="s">
        <v>2</v>
      </c>
      <c r="K1115" t="s">
        <v>3189</v>
      </c>
      <c r="L1115" t="s">
        <v>3190</v>
      </c>
      <c r="M1115" t="s">
        <v>649</v>
      </c>
    </row>
    <row r="1116" spans="1:13" hidden="1" x14ac:dyDescent="0.25">
      <c r="A1116" s="24">
        <f t="shared" si="80"/>
        <v>20</v>
      </c>
      <c r="B1116" s="24">
        <v>12</v>
      </c>
      <c r="C1116" s="24">
        <v>74.849999999999994</v>
      </c>
      <c r="E1116" s="4">
        <v>418480</v>
      </c>
      <c r="F1116" s="2" t="s">
        <v>2</v>
      </c>
      <c r="G1116" s="2" t="str">
        <f t="shared" si="79"/>
        <v>https://www.oreht.ru/modules.php?name=orehtPriceLS&amp;op=Search&amp;page=1&amp;stext=418480</v>
      </c>
      <c r="I1116">
        <v>418480</v>
      </c>
      <c r="J1116" t="s">
        <v>2</v>
      </c>
      <c r="K1116" t="s">
        <v>3191</v>
      </c>
      <c r="L1116" t="s">
        <v>3192</v>
      </c>
      <c r="M1116" t="s">
        <v>3193</v>
      </c>
    </row>
    <row r="1117" spans="1:13" x14ac:dyDescent="0.25">
      <c r="A1117" s="24">
        <f t="shared" si="80"/>
        <v>20</v>
      </c>
      <c r="B1117" s="24">
        <v>12</v>
      </c>
      <c r="C1117" s="24">
        <v>79.8</v>
      </c>
      <c r="E1117" s="4">
        <v>456034</v>
      </c>
      <c r="F1117" s="2" t="s">
        <v>2</v>
      </c>
      <c r="G1117" s="2" t="str">
        <f t="shared" si="79"/>
        <v>https://www.oreht.ru/modules.php?name=orehtPriceLS&amp;op=Search&amp;page=1&amp;stext=456034</v>
      </c>
      <c r="I1117">
        <v>456034</v>
      </c>
      <c r="J1117" t="s">
        <v>2</v>
      </c>
      <c r="K1117" t="s">
        <v>3194</v>
      </c>
      <c r="L1117" t="s">
        <v>3195</v>
      </c>
      <c r="M1117" t="s">
        <v>649</v>
      </c>
    </row>
    <row r="1118" spans="1:13" hidden="1" x14ac:dyDescent="0.25">
      <c r="A1118" s="24">
        <f t="shared" si="80"/>
        <v>20</v>
      </c>
      <c r="B1118" s="24">
        <v>12</v>
      </c>
      <c r="C1118" s="24">
        <v>79.739999999999995</v>
      </c>
      <c r="E1118" s="4">
        <v>456030</v>
      </c>
      <c r="F1118" s="2" t="s">
        <v>2</v>
      </c>
      <c r="G1118" s="2" t="str">
        <f t="shared" si="79"/>
        <v>https://www.oreht.ru/modules.php?name=orehtPriceLS&amp;op=Search&amp;page=1&amp;stext=456030</v>
      </c>
      <c r="I1118">
        <v>456030</v>
      </c>
      <c r="J1118" t="s">
        <v>2</v>
      </c>
      <c r="K1118" t="s">
        <v>3196</v>
      </c>
      <c r="L1118" t="s">
        <v>3197</v>
      </c>
      <c r="M1118" t="s">
        <v>3198</v>
      </c>
    </row>
    <row r="1119" spans="1:13" x14ac:dyDescent="0.25">
      <c r="A1119" s="24">
        <f t="shared" si="80"/>
        <v>20</v>
      </c>
      <c r="B1119" s="24">
        <v>12</v>
      </c>
      <c r="C1119" s="24">
        <v>79.56</v>
      </c>
      <c r="E1119" s="4">
        <v>418482</v>
      </c>
      <c r="F1119" s="2" t="s">
        <v>2</v>
      </c>
      <c r="G1119" s="2" t="str">
        <f t="shared" si="79"/>
        <v>https://www.oreht.ru/modules.php?name=orehtPriceLS&amp;op=Search&amp;page=1&amp;stext=418482</v>
      </c>
      <c r="I1119">
        <v>418482</v>
      </c>
      <c r="J1119" t="s">
        <v>2</v>
      </c>
      <c r="K1119" t="s">
        <v>3199</v>
      </c>
      <c r="L1119" t="s">
        <v>3200</v>
      </c>
      <c r="M1119" t="s">
        <v>649</v>
      </c>
    </row>
    <row r="1120" spans="1:13" x14ac:dyDescent="0.25">
      <c r="A1120" s="24">
        <f t="shared" si="80"/>
        <v>20</v>
      </c>
      <c r="B1120" s="24">
        <v>12</v>
      </c>
      <c r="C1120" s="24">
        <v>78.06</v>
      </c>
      <c r="E1120" s="4">
        <v>418489</v>
      </c>
      <c r="F1120" s="2" t="s">
        <v>2</v>
      </c>
      <c r="G1120" s="2" t="str">
        <f t="shared" si="79"/>
        <v>https://www.oreht.ru/modules.php?name=orehtPriceLS&amp;op=Search&amp;page=1&amp;stext=418489</v>
      </c>
      <c r="I1120">
        <v>418489</v>
      </c>
      <c r="J1120" t="s">
        <v>2</v>
      </c>
      <c r="K1120" t="s">
        <v>3201</v>
      </c>
      <c r="L1120" t="s">
        <v>3202</v>
      </c>
      <c r="M1120" t="s">
        <v>649</v>
      </c>
    </row>
    <row r="1121" spans="1:13" x14ac:dyDescent="0.25">
      <c r="A1121" s="24">
        <f t="shared" si="80"/>
        <v>20</v>
      </c>
      <c r="B1121" s="24">
        <v>12</v>
      </c>
      <c r="C1121" s="24">
        <v>69.8</v>
      </c>
      <c r="E1121" s="4">
        <v>305186</v>
      </c>
      <c r="F1121" s="2" t="s">
        <v>2</v>
      </c>
      <c r="G1121" s="2" t="str">
        <f t="shared" si="79"/>
        <v>https://www.oreht.ru/modules.php?name=orehtPriceLS&amp;op=Search&amp;page=1&amp;stext=305186</v>
      </c>
      <c r="I1121">
        <v>305186</v>
      </c>
      <c r="J1121" t="s">
        <v>2</v>
      </c>
      <c r="K1121" t="s">
        <v>3203</v>
      </c>
      <c r="L1121" t="s">
        <v>3204</v>
      </c>
      <c r="M1121" t="s">
        <v>649</v>
      </c>
    </row>
    <row r="1122" spans="1:13" hidden="1" x14ac:dyDescent="0.25">
      <c r="A1122" s="24">
        <f t="shared" si="80"/>
        <v>20</v>
      </c>
      <c r="B1122" s="24">
        <v>12</v>
      </c>
      <c r="C1122" s="24">
        <v>75.3</v>
      </c>
      <c r="E1122" s="4">
        <v>420436</v>
      </c>
      <c r="F1122" s="2" t="s">
        <v>2</v>
      </c>
      <c r="G1122" s="2" t="str">
        <f t="shared" si="79"/>
        <v>https://www.oreht.ru/modules.php?name=orehtPriceLS&amp;op=Search&amp;page=1&amp;stext=420436</v>
      </c>
      <c r="I1122">
        <v>420436</v>
      </c>
      <c r="J1122" t="s">
        <v>2</v>
      </c>
      <c r="K1122" t="s">
        <v>3205</v>
      </c>
      <c r="L1122" t="s">
        <v>3206</v>
      </c>
      <c r="M1122" t="s">
        <v>3207</v>
      </c>
    </row>
    <row r="1123" spans="1:13" hidden="1" x14ac:dyDescent="0.25">
      <c r="A1123" s="24">
        <f t="shared" si="80"/>
        <v>20</v>
      </c>
      <c r="B1123" s="24">
        <v>12</v>
      </c>
      <c r="C1123" s="24">
        <v>75.599999999999994</v>
      </c>
      <c r="E1123" s="4">
        <v>420438</v>
      </c>
      <c r="F1123" s="2" t="s">
        <v>2</v>
      </c>
      <c r="G1123" s="2" t="str">
        <f t="shared" si="79"/>
        <v>https://www.oreht.ru/modules.php?name=orehtPriceLS&amp;op=Search&amp;page=1&amp;stext=420438</v>
      </c>
      <c r="I1123">
        <v>420438</v>
      </c>
      <c r="J1123" t="s">
        <v>2</v>
      </c>
      <c r="K1123" t="s">
        <v>3208</v>
      </c>
      <c r="L1123" t="s">
        <v>3209</v>
      </c>
      <c r="M1123" t="s">
        <v>3207</v>
      </c>
    </row>
    <row r="1124" spans="1:13" x14ac:dyDescent="0.25">
      <c r="A1124" s="24">
        <f t="shared" si="80"/>
        <v>20</v>
      </c>
      <c r="B1124" s="24">
        <v>12</v>
      </c>
      <c r="C1124" s="24">
        <v>67.8</v>
      </c>
      <c r="E1124" s="4">
        <v>453266</v>
      </c>
      <c r="F1124" s="2" t="s">
        <v>2</v>
      </c>
      <c r="G1124" s="2" t="str">
        <f t="shared" si="79"/>
        <v>https://www.oreht.ru/modules.php?name=orehtPriceLS&amp;op=Search&amp;page=1&amp;stext=453266</v>
      </c>
      <c r="I1124">
        <v>453266</v>
      </c>
      <c r="J1124" t="s">
        <v>2</v>
      </c>
      <c r="K1124" t="s">
        <v>3210</v>
      </c>
      <c r="L1124" t="s">
        <v>3211</v>
      </c>
      <c r="M1124" t="s">
        <v>649</v>
      </c>
    </row>
    <row r="1125" spans="1:13" x14ac:dyDescent="0.25">
      <c r="A1125" s="24">
        <f t="shared" si="80"/>
        <v>20</v>
      </c>
      <c r="B1125" s="24">
        <v>12</v>
      </c>
      <c r="C1125" s="24">
        <v>74.7</v>
      </c>
      <c r="E1125" s="4">
        <v>452108</v>
      </c>
      <c r="F1125" s="2" t="s">
        <v>2</v>
      </c>
      <c r="G1125" s="2" t="str">
        <f t="shared" si="79"/>
        <v>https://www.oreht.ru/modules.php?name=orehtPriceLS&amp;op=Search&amp;page=1&amp;stext=452108</v>
      </c>
      <c r="I1125">
        <v>452108</v>
      </c>
      <c r="J1125" t="s">
        <v>2</v>
      </c>
      <c r="K1125" t="s">
        <v>3212</v>
      </c>
      <c r="L1125" t="s">
        <v>3213</v>
      </c>
      <c r="M1125" t="s">
        <v>649</v>
      </c>
    </row>
    <row r="1126" spans="1:13" hidden="1" x14ac:dyDescent="0.25">
      <c r="A1126" s="24">
        <f t="shared" si="80"/>
        <v>20</v>
      </c>
      <c r="B1126" s="24">
        <v>12</v>
      </c>
      <c r="C1126" s="24">
        <v>63.65</v>
      </c>
      <c r="E1126" s="4">
        <v>417523</v>
      </c>
      <c r="F1126" s="2" t="s">
        <v>2</v>
      </c>
      <c r="G1126" s="2" t="str">
        <f t="shared" si="79"/>
        <v>https://www.oreht.ru/modules.php?name=orehtPriceLS&amp;op=Search&amp;page=1&amp;stext=417523</v>
      </c>
      <c r="I1126">
        <v>417523</v>
      </c>
      <c r="J1126" t="s">
        <v>2</v>
      </c>
      <c r="K1126" t="s">
        <v>3214</v>
      </c>
      <c r="L1126" t="s">
        <v>3215</v>
      </c>
      <c r="M1126" t="s">
        <v>2158</v>
      </c>
    </row>
    <row r="1127" spans="1:13" hidden="1" x14ac:dyDescent="0.25">
      <c r="A1127" s="24">
        <f t="shared" si="80"/>
        <v>20</v>
      </c>
      <c r="B1127" s="24">
        <v>12</v>
      </c>
      <c r="C1127" s="24">
        <v>59.75</v>
      </c>
      <c r="E1127" s="4">
        <v>453280</v>
      </c>
      <c r="F1127" s="2" t="s">
        <v>2</v>
      </c>
      <c r="G1127" s="2" t="str">
        <f t="shared" si="79"/>
        <v>https://www.oreht.ru/modules.php?name=orehtPriceLS&amp;op=Search&amp;page=1&amp;stext=453280</v>
      </c>
      <c r="I1127">
        <v>453280</v>
      </c>
      <c r="J1127" t="s">
        <v>2</v>
      </c>
      <c r="K1127" t="s">
        <v>3216</v>
      </c>
      <c r="L1127" t="s">
        <v>3217</v>
      </c>
      <c r="M1127" t="s">
        <v>3218</v>
      </c>
    </row>
    <row r="1128" spans="1:13" x14ac:dyDescent="0.25">
      <c r="A1128" s="24">
        <f t="shared" si="80"/>
        <v>20</v>
      </c>
      <c r="B1128" s="24">
        <v>12</v>
      </c>
      <c r="C1128" s="24">
        <v>65.400000000000006</v>
      </c>
      <c r="E1128" s="4">
        <v>417577</v>
      </c>
      <c r="F1128" s="2" t="s">
        <v>2</v>
      </c>
      <c r="G1128" s="2" t="str">
        <f t="shared" si="79"/>
        <v>https://www.oreht.ru/modules.php?name=orehtPriceLS&amp;op=Search&amp;page=1&amp;stext=417577</v>
      </c>
      <c r="I1128">
        <v>417577</v>
      </c>
      <c r="J1128" t="s">
        <v>2</v>
      </c>
      <c r="K1128" t="s">
        <v>3219</v>
      </c>
      <c r="L1128" t="s">
        <v>3220</v>
      </c>
      <c r="M1128" t="s">
        <v>649</v>
      </c>
    </row>
    <row r="1129" spans="1:13" hidden="1" x14ac:dyDescent="0.25">
      <c r="A1129" s="24">
        <f t="shared" si="80"/>
        <v>20</v>
      </c>
      <c r="B1129" s="24">
        <v>12</v>
      </c>
      <c r="C1129" s="24">
        <v>63.85</v>
      </c>
      <c r="E1129" s="4">
        <v>451465</v>
      </c>
      <c r="F1129" s="2" t="s">
        <v>2</v>
      </c>
      <c r="G1129" s="2" t="str">
        <f t="shared" si="79"/>
        <v>https://www.oreht.ru/modules.php?name=orehtPriceLS&amp;op=Search&amp;page=1&amp;stext=451465</v>
      </c>
      <c r="I1129">
        <v>451465</v>
      </c>
      <c r="J1129" t="s">
        <v>2</v>
      </c>
      <c r="K1129" t="s">
        <v>3221</v>
      </c>
      <c r="L1129" t="s">
        <v>3222</v>
      </c>
      <c r="M1129" t="s">
        <v>3223</v>
      </c>
    </row>
    <row r="1130" spans="1:13" hidden="1" x14ac:dyDescent="0.25">
      <c r="A1130" s="24">
        <f t="shared" si="80"/>
        <v>20</v>
      </c>
      <c r="B1130" s="24">
        <v>12</v>
      </c>
      <c r="C1130" s="24">
        <v>120</v>
      </c>
      <c r="E1130" s="4">
        <v>418475</v>
      </c>
      <c r="F1130" s="2" t="s">
        <v>2</v>
      </c>
      <c r="G1130" s="2" t="str">
        <f t="shared" si="79"/>
        <v>https://www.oreht.ru/modules.php?name=orehtPriceLS&amp;op=Search&amp;page=1&amp;stext=418475</v>
      </c>
      <c r="I1130">
        <v>418475</v>
      </c>
      <c r="J1130" t="s">
        <v>2</v>
      </c>
      <c r="K1130" t="s">
        <v>3224</v>
      </c>
      <c r="L1130" t="s">
        <v>3225</v>
      </c>
      <c r="M1130" t="s">
        <v>3223</v>
      </c>
    </row>
    <row r="1131" spans="1:13" x14ac:dyDescent="0.25">
      <c r="A1131" s="24">
        <f t="shared" si="80"/>
        <v>20</v>
      </c>
      <c r="B1131" s="24">
        <v>12</v>
      </c>
      <c r="C1131" s="24">
        <v>58</v>
      </c>
      <c r="E1131" s="4">
        <v>418481</v>
      </c>
      <c r="F1131" s="2" t="s">
        <v>2</v>
      </c>
      <c r="G1131" s="2" t="str">
        <f t="shared" si="79"/>
        <v>https://www.oreht.ru/modules.php?name=orehtPriceLS&amp;op=Search&amp;page=1&amp;stext=418481</v>
      </c>
      <c r="I1131">
        <v>418481</v>
      </c>
      <c r="J1131" t="s">
        <v>2</v>
      </c>
      <c r="K1131" t="s">
        <v>3226</v>
      </c>
      <c r="L1131" t="s">
        <v>3227</v>
      </c>
      <c r="M1131" t="s">
        <v>649</v>
      </c>
    </row>
    <row r="1132" spans="1:13" x14ac:dyDescent="0.25">
      <c r="A1132" s="24">
        <f t="shared" si="80"/>
        <v>20</v>
      </c>
      <c r="B1132" s="24">
        <v>12</v>
      </c>
      <c r="C1132" s="24">
        <v>61.15</v>
      </c>
      <c r="E1132" s="4">
        <v>453306</v>
      </c>
      <c r="F1132" s="2" t="s">
        <v>2</v>
      </c>
      <c r="G1132" s="2" t="str">
        <f t="shared" si="79"/>
        <v>https://www.oreht.ru/modules.php?name=orehtPriceLS&amp;op=Search&amp;page=1&amp;stext=453306</v>
      </c>
      <c r="I1132">
        <v>453306</v>
      </c>
      <c r="J1132" t="s">
        <v>2</v>
      </c>
      <c r="K1132" t="s">
        <v>3228</v>
      </c>
      <c r="L1132" t="s">
        <v>3229</v>
      </c>
      <c r="M1132" t="s">
        <v>649</v>
      </c>
    </row>
    <row r="1133" spans="1:13" hidden="1" x14ac:dyDescent="0.25">
      <c r="A1133" s="24">
        <f t="shared" si="80"/>
        <v>20</v>
      </c>
      <c r="B1133" s="24">
        <v>12</v>
      </c>
      <c r="C1133" s="24">
        <v>65</v>
      </c>
      <c r="E1133" s="4">
        <v>453268</v>
      </c>
      <c r="F1133" s="2" t="s">
        <v>2</v>
      </c>
      <c r="G1133" s="2" t="str">
        <f t="shared" si="79"/>
        <v>https://www.oreht.ru/modules.php?name=orehtPriceLS&amp;op=Search&amp;page=1&amp;stext=453268</v>
      </c>
      <c r="I1133">
        <v>453268</v>
      </c>
      <c r="J1133" t="s">
        <v>2</v>
      </c>
      <c r="K1133" t="s">
        <v>3230</v>
      </c>
      <c r="L1133" t="s">
        <v>3231</v>
      </c>
      <c r="M1133" t="s">
        <v>3232</v>
      </c>
    </row>
    <row r="1134" spans="1:13" x14ac:dyDescent="0.25">
      <c r="A1134" s="24">
        <f t="shared" si="80"/>
        <v>20</v>
      </c>
      <c r="B1134" s="24">
        <v>12</v>
      </c>
      <c r="C1134" s="24">
        <v>54.35</v>
      </c>
      <c r="E1134" s="4">
        <v>453301</v>
      </c>
      <c r="F1134" s="2" t="s">
        <v>2</v>
      </c>
      <c r="G1134" s="2" t="str">
        <f t="shared" si="79"/>
        <v>https://www.oreht.ru/modules.php?name=orehtPriceLS&amp;op=Search&amp;page=1&amp;stext=453301</v>
      </c>
      <c r="I1134">
        <v>453301</v>
      </c>
      <c r="J1134" t="s">
        <v>2</v>
      </c>
      <c r="K1134" t="s">
        <v>3233</v>
      </c>
      <c r="L1134" t="s">
        <v>3234</v>
      </c>
      <c r="M1134" t="s">
        <v>649</v>
      </c>
    </row>
    <row r="1135" spans="1:13" x14ac:dyDescent="0.25">
      <c r="A1135" s="24">
        <f t="shared" si="80"/>
        <v>20</v>
      </c>
      <c r="B1135" s="24">
        <v>12</v>
      </c>
      <c r="C1135" s="24">
        <v>53.9</v>
      </c>
      <c r="E1135" s="4">
        <v>453295</v>
      </c>
      <c r="F1135" s="2" t="s">
        <v>2</v>
      </c>
      <c r="G1135" s="2" t="str">
        <f t="shared" si="79"/>
        <v>https://www.oreht.ru/modules.php?name=orehtPriceLS&amp;op=Search&amp;page=1&amp;stext=453295</v>
      </c>
      <c r="I1135">
        <v>453295</v>
      </c>
      <c r="J1135" t="s">
        <v>2</v>
      </c>
      <c r="K1135" t="s">
        <v>3235</v>
      </c>
      <c r="L1135" t="s">
        <v>3236</v>
      </c>
      <c r="M1135" t="s">
        <v>649</v>
      </c>
    </row>
    <row r="1136" spans="1:13" hidden="1" x14ac:dyDescent="0.25">
      <c r="A1136" s="24">
        <f t="shared" si="80"/>
        <v>20</v>
      </c>
      <c r="B1136" s="24">
        <v>12</v>
      </c>
      <c r="C1136" s="24">
        <v>54.35</v>
      </c>
      <c r="E1136" s="4">
        <v>382814</v>
      </c>
      <c r="F1136" s="2" t="s">
        <v>2</v>
      </c>
      <c r="G1136" s="2" t="str">
        <f t="shared" si="79"/>
        <v>https://www.oreht.ru/modules.php?name=orehtPriceLS&amp;op=Search&amp;page=1&amp;stext=382814</v>
      </c>
      <c r="I1136">
        <v>382814</v>
      </c>
      <c r="J1136" t="s">
        <v>2</v>
      </c>
      <c r="K1136" t="s">
        <v>3237</v>
      </c>
      <c r="L1136" t="s">
        <v>3238</v>
      </c>
      <c r="M1136" t="s">
        <v>3239</v>
      </c>
    </row>
    <row r="1137" spans="1:13" x14ac:dyDescent="0.25">
      <c r="A1137" s="24">
        <f t="shared" si="80"/>
        <v>20</v>
      </c>
      <c r="B1137" s="24">
        <v>12</v>
      </c>
      <c r="C1137" s="24">
        <v>58.5</v>
      </c>
      <c r="E1137" s="4">
        <v>381827</v>
      </c>
      <c r="F1137" s="2" t="s">
        <v>2</v>
      </c>
      <c r="G1137" s="2" t="str">
        <f t="shared" si="79"/>
        <v>https://www.oreht.ru/modules.php?name=orehtPriceLS&amp;op=Search&amp;page=1&amp;stext=381827</v>
      </c>
      <c r="I1137">
        <v>381827</v>
      </c>
      <c r="J1137" t="s">
        <v>2</v>
      </c>
      <c r="K1137" t="s">
        <v>3240</v>
      </c>
      <c r="L1137" t="s">
        <v>3241</v>
      </c>
      <c r="M1137" t="s">
        <v>649</v>
      </c>
    </row>
    <row r="1138" spans="1:13" x14ac:dyDescent="0.25">
      <c r="A1138" s="24">
        <f t="shared" si="80"/>
        <v>20</v>
      </c>
      <c r="B1138" s="24">
        <v>12</v>
      </c>
      <c r="C1138" s="24">
        <v>57.95</v>
      </c>
      <c r="E1138" s="4">
        <v>456423</v>
      </c>
      <c r="F1138" s="2" t="s">
        <v>2</v>
      </c>
      <c r="G1138" s="2" t="str">
        <f t="shared" si="79"/>
        <v>https://www.oreht.ru/modules.php?name=orehtPriceLS&amp;op=Search&amp;page=1&amp;stext=456423</v>
      </c>
      <c r="I1138">
        <v>456423</v>
      </c>
      <c r="J1138" t="s">
        <v>2</v>
      </c>
      <c r="K1138" t="s">
        <v>3242</v>
      </c>
      <c r="L1138" t="s">
        <v>3243</v>
      </c>
      <c r="M1138" t="s">
        <v>649</v>
      </c>
    </row>
    <row r="1139" spans="1:13" x14ac:dyDescent="0.25">
      <c r="A1139" s="24">
        <f t="shared" si="80"/>
        <v>20</v>
      </c>
      <c r="B1139" s="24">
        <v>12</v>
      </c>
      <c r="C1139" s="24">
        <v>52.95</v>
      </c>
      <c r="E1139" s="4">
        <v>453258</v>
      </c>
      <c r="F1139" s="2" t="s">
        <v>2</v>
      </c>
      <c r="G1139" s="2" t="str">
        <f t="shared" si="79"/>
        <v>https://www.oreht.ru/modules.php?name=orehtPriceLS&amp;op=Search&amp;page=1&amp;stext=453258</v>
      </c>
      <c r="I1139">
        <v>453258</v>
      </c>
      <c r="J1139" t="s">
        <v>2</v>
      </c>
      <c r="K1139" t="s">
        <v>3244</v>
      </c>
      <c r="L1139" t="s">
        <v>3245</v>
      </c>
      <c r="M1139" t="s">
        <v>649</v>
      </c>
    </row>
    <row r="1140" spans="1:13" x14ac:dyDescent="0.25">
      <c r="A1140" s="24">
        <f t="shared" si="80"/>
        <v>20</v>
      </c>
      <c r="B1140" s="24">
        <v>10</v>
      </c>
      <c r="C1140" s="24">
        <v>62.28</v>
      </c>
      <c r="E1140" s="4">
        <v>417463</v>
      </c>
      <c r="F1140" s="2" t="s">
        <v>2</v>
      </c>
      <c r="G1140" s="2" t="str">
        <f t="shared" si="79"/>
        <v>https://www.oreht.ru/modules.php?name=orehtPriceLS&amp;op=Search&amp;page=1&amp;stext=417463</v>
      </c>
      <c r="I1140">
        <v>417463</v>
      </c>
      <c r="J1140" t="s">
        <v>2</v>
      </c>
      <c r="K1140" t="s">
        <v>3246</v>
      </c>
      <c r="L1140" t="s">
        <v>3247</v>
      </c>
      <c r="M1140" t="s">
        <v>649</v>
      </c>
    </row>
    <row r="1141" spans="1:13" x14ac:dyDescent="0.25">
      <c r="A1141" s="24">
        <f t="shared" si="80"/>
        <v>20</v>
      </c>
      <c r="B1141" s="24">
        <v>12</v>
      </c>
      <c r="C1141" s="24">
        <v>52.15</v>
      </c>
      <c r="E1141" s="4">
        <v>453265</v>
      </c>
      <c r="F1141" s="2" t="s">
        <v>2</v>
      </c>
      <c r="G1141" s="2" t="str">
        <f t="shared" si="79"/>
        <v>https://www.oreht.ru/modules.php?name=orehtPriceLS&amp;op=Search&amp;page=1&amp;stext=453265</v>
      </c>
      <c r="I1141">
        <v>453265</v>
      </c>
      <c r="J1141" t="s">
        <v>2</v>
      </c>
      <c r="K1141" t="s">
        <v>3248</v>
      </c>
      <c r="L1141" t="s">
        <v>3249</v>
      </c>
      <c r="M1141" t="s">
        <v>649</v>
      </c>
    </row>
    <row r="1142" spans="1:13" x14ac:dyDescent="0.25">
      <c r="A1142" s="24">
        <f t="shared" si="80"/>
        <v>20</v>
      </c>
      <c r="B1142" s="24">
        <v>12</v>
      </c>
      <c r="C1142" s="24">
        <v>51.65</v>
      </c>
      <c r="E1142" s="4">
        <v>382820</v>
      </c>
      <c r="F1142" s="2" t="s">
        <v>2</v>
      </c>
      <c r="G1142" s="2" t="str">
        <f t="shared" si="79"/>
        <v>https://www.oreht.ru/modules.php?name=orehtPriceLS&amp;op=Search&amp;page=1&amp;stext=382820</v>
      </c>
      <c r="I1142">
        <v>382820</v>
      </c>
      <c r="J1142" t="s">
        <v>2</v>
      </c>
      <c r="K1142" t="s">
        <v>3250</v>
      </c>
      <c r="L1142" t="s">
        <v>3251</v>
      </c>
      <c r="M1142" t="s">
        <v>649</v>
      </c>
    </row>
    <row r="1143" spans="1:13" x14ac:dyDescent="0.25">
      <c r="A1143" s="24">
        <f t="shared" si="80"/>
        <v>20</v>
      </c>
      <c r="B1143" s="24">
        <v>12</v>
      </c>
      <c r="C1143" s="24">
        <v>49.85</v>
      </c>
      <c r="E1143" s="4">
        <v>422729</v>
      </c>
      <c r="F1143" s="2" t="s">
        <v>2</v>
      </c>
      <c r="G1143" s="2" t="str">
        <f t="shared" si="79"/>
        <v>https://www.oreht.ru/modules.php?name=orehtPriceLS&amp;op=Search&amp;page=1&amp;stext=422729</v>
      </c>
      <c r="I1143">
        <v>422729</v>
      </c>
      <c r="J1143" t="s">
        <v>2</v>
      </c>
      <c r="K1143" t="s">
        <v>3252</v>
      </c>
      <c r="L1143" t="s">
        <v>3253</v>
      </c>
      <c r="M1143" t="s">
        <v>649</v>
      </c>
    </row>
    <row r="1144" spans="1:13" hidden="1" x14ac:dyDescent="0.25">
      <c r="A1144" s="24">
        <f t="shared" si="80"/>
        <v>20</v>
      </c>
      <c r="B1144" s="24">
        <v>12</v>
      </c>
      <c r="C1144" s="24">
        <v>49.4</v>
      </c>
      <c r="E1144" s="4">
        <v>453273</v>
      </c>
      <c r="F1144" s="2" t="s">
        <v>2</v>
      </c>
      <c r="G1144" s="2" t="str">
        <f t="shared" si="79"/>
        <v>https://www.oreht.ru/modules.php?name=orehtPriceLS&amp;op=Search&amp;page=1&amp;stext=453273</v>
      </c>
      <c r="I1144">
        <v>453273</v>
      </c>
      <c r="J1144" t="s">
        <v>2</v>
      </c>
      <c r="K1144" t="s">
        <v>3254</v>
      </c>
      <c r="L1144" t="s">
        <v>3255</v>
      </c>
      <c r="M1144" t="s">
        <v>1872</v>
      </c>
    </row>
    <row r="1145" spans="1:13" hidden="1" x14ac:dyDescent="0.25">
      <c r="A1145" s="24">
        <f t="shared" si="80"/>
        <v>20</v>
      </c>
      <c r="B1145" s="24">
        <v>12</v>
      </c>
      <c r="C1145" s="24">
        <v>46.1</v>
      </c>
      <c r="E1145" s="4">
        <v>453267</v>
      </c>
      <c r="F1145" s="2" t="s">
        <v>2</v>
      </c>
      <c r="G1145" s="2" t="str">
        <f t="shared" si="79"/>
        <v>https://www.oreht.ru/modules.php?name=orehtPriceLS&amp;op=Search&amp;page=1&amp;stext=453267</v>
      </c>
      <c r="I1145">
        <v>453267</v>
      </c>
      <c r="J1145" t="s">
        <v>2</v>
      </c>
      <c r="K1145" t="s">
        <v>3256</v>
      </c>
      <c r="L1145" t="s">
        <v>3257</v>
      </c>
      <c r="M1145" t="s">
        <v>3258</v>
      </c>
    </row>
    <row r="1146" spans="1:13" x14ac:dyDescent="0.25">
      <c r="A1146" s="24">
        <f t="shared" si="80"/>
        <v>20</v>
      </c>
      <c r="B1146" s="24">
        <v>12</v>
      </c>
      <c r="C1146" s="24">
        <v>100</v>
      </c>
      <c r="E1146" s="4">
        <v>382781</v>
      </c>
      <c r="F1146" s="2" t="s">
        <v>2</v>
      </c>
      <c r="G1146" s="2" t="str">
        <f t="shared" si="79"/>
        <v>https://www.oreht.ru/modules.php?name=orehtPriceLS&amp;op=Search&amp;page=1&amp;stext=382781</v>
      </c>
      <c r="I1146">
        <v>382781</v>
      </c>
      <c r="J1146" t="s">
        <v>2</v>
      </c>
      <c r="K1146" t="s">
        <v>3259</v>
      </c>
      <c r="L1146" t="s">
        <v>3260</v>
      </c>
      <c r="M1146" t="s">
        <v>649</v>
      </c>
    </row>
    <row r="1147" spans="1:13" hidden="1" x14ac:dyDescent="0.25">
      <c r="A1147" s="24">
        <f t="shared" si="80"/>
        <v>20</v>
      </c>
      <c r="B1147" s="24">
        <v>12</v>
      </c>
      <c r="C1147" s="24">
        <v>49</v>
      </c>
      <c r="E1147" s="4">
        <v>453255</v>
      </c>
      <c r="F1147" s="2" t="s">
        <v>2</v>
      </c>
      <c r="G1147" s="2" t="str">
        <f t="shared" si="79"/>
        <v>https://www.oreht.ru/modules.php?name=orehtPriceLS&amp;op=Search&amp;page=1&amp;stext=453255</v>
      </c>
      <c r="I1147">
        <v>453255</v>
      </c>
      <c r="J1147" t="s">
        <v>2</v>
      </c>
      <c r="K1147" t="s">
        <v>3261</v>
      </c>
      <c r="L1147" t="s">
        <v>3262</v>
      </c>
      <c r="M1147" t="s">
        <v>3263</v>
      </c>
    </row>
    <row r="1148" spans="1:13" hidden="1" x14ac:dyDescent="0.25">
      <c r="A1148" s="24">
        <f t="shared" si="80"/>
        <v>20</v>
      </c>
      <c r="B1148" s="24">
        <v>12</v>
      </c>
      <c r="C1148" s="24">
        <v>52.15</v>
      </c>
      <c r="E1148" s="4">
        <v>417528</v>
      </c>
      <c r="F1148" s="2" t="s">
        <v>2</v>
      </c>
      <c r="G1148" s="2" t="str">
        <f t="shared" si="79"/>
        <v>https://www.oreht.ru/modules.php?name=orehtPriceLS&amp;op=Search&amp;page=1&amp;stext=417528</v>
      </c>
      <c r="I1148">
        <v>417528</v>
      </c>
      <c r="J1148" t="s">
        <v>2</v>
      </c>
      <c r="K1148" t="s">
        <v>3264</v>
      </c>
      <c r="L1148" t="s">
        <v>3265</v>
      </c>
      <c r="M1148" t="s">
        <v>3266</v>
      </c>
    </row>
    <row r="1149" spans="1:13" hidden="1" x14ac:dyDescent="0.25">
      <c r="A1149" s="24">
        <f t="shared" si="80"/>
        <v>20</v>
      </c>
      <c r="B1149" s="24">
        <v>12</v>
      </c>
      <c r="C1149" s="24">
        <v>47.25</v>
      </c>
      <c r="E1149" s="4">
        <v>453259</v>
      </c>
      <c r="F1149" s="2" t="s">
        <v>2</v>
      </c>
      <c r="G1149" s="2" t="str">
        <f t="shared" si="79"/>
        <v>https://www.oreht.ru/modules.php?name=orehtPriceLS&amp;op=Search&amp;page=1&amp;stext=453259</v>
      </c>
      <c r="I1149">
        <v>453259</v>
      </c>
      <c r="J1149" t="s">
        <v>2</v>
      </c>
      <c r="K1149" t="s">
        <v>3267</v>
      </c>
      <c r="L1149" t="s">
        <v>3268</v>
      </c>
      <c r="M1149" t="s">
        <v>3269</v>
      </c>
    </row>
    <row r="1150" spans="1:13" x14ac:dyDescent="0.25">
      <c r="A1150" s="24">
        <f t="shared" si="80"/>
        <v>20</v>
      </c>
      <c r="B1150" s="24">
        <v>12</v>
      </c>
      <c r="C1150" s="24">
        <v>51.65</v>
      </c>
      <c r="E1150" s="4">
        <v>381830</v>
      </c>
      <c r="F1150" s="2" t="s">
        <v>2</v>
      </c>
      <c r="G1150" s="2" t="str">
        <f t="shared" si="79"/>
        <v>https://www.oreht.ru/modules.php?name=orehtPriceLS&amp;op=Search&amp;page=1&amp;stext=381830</v>
      </c>
      <c r="I1150">
        <v>381830</v>
      </c>
      <c r="J1150" t="s">
        <v>2</v>
      </c>
      <c r="K1150" t="s">
        <v>3270</v>
      </c>
      <c r="L1150" t="s">
        <v>3271</v>
      </c>
      <c r="M1150" t="s">
        <v>649</v>
      </c>
    </row>
    <row r="1151" spans="1:13" x14ac:dyDescent="0.25">
      <c r="A1151" s="24">
        <f t="shared" si="80"/>
        <v>20</v>
      </c>
      <c r="B1151" s="24">
        <v>12</v>
      </c>
      <c r="C1151" s="24">
        <v>51.6</v>
      </c>
      <c r="E1151" s="4">
        <v>453440</v>
      </c>
      <c r="F1151" s="2" t="s">
        <v>2</v>
      </c>
      <c r="G1151" s="2" t="str">
        <f t="shared" si="79"/>
        <v>https://www.oreht.ru/modules.php?name=orehtPriceLS&amp;op=Search&amp;page=1&amp;stext=453440</v>
      </c>
      <c r="I1151">
        <v>453440</v>
      </c>
      <c r="J1151" t="s">
        <v>2</v>
      </c>
      <c r="K1151" t="s">
        <v>3272</v>
      </c>
      <c r="L1151" t="s">
        <v>3273</v>
      </c>
      <c r="M1151" t="s">
        <v>649</v>
      </c>
    </row>
    <row r="1152" spans="1:13" hidden="1" x14ac:dyDescent="0.25">
      <c r="A1152" s="24">
        <f t="shared" si="80"/>
        <v>20</v>
      </c>
      <c r="B1152" s="24">
        <v>12</v>
      </c>
      <c r="C1152" s="24">
        <v>51.6</v>
      </c>
      <c r="E1152" s="4">
        <v>226815</v>
      </c>
      <c r="F1152" s="2" t="s">
        <v>2</v>
      </c>
      <c r="G1152" s="2" t="str">
        <f t="shared" si="79"/>
        <v>https://www.oreht.ru/modules.php?name=orehtPriceLS&amp;op=Search&amp;page=1&amp;stext=226815</v>
      </c>
      <c r="I1152">
        <v>226815</v>
      </c>
      <c r="J1152" t="s">
        <v>2</v>
      </c>
      <c r="K1152" t="s">
        <v>3274</v>
      </c>
      <c r="L1152" t="s">
        <v>3275</v>
      </c>
      <c r="M1152" t="s">
        <v>3276</v>
      </c>
    </row>
    <row r="1153" spans="1:13" hidden="1" x14ac:dyDescent="0.25">
      <c r="A1153" s="24">
        <f t="shared" si="80"/>
        <v>20</v>
      </c>
      <c r="B1153" s="24">
        <v>12</v>
      </c>
      <c r="C1153" s="24">
        <v>65</v>
      </c>
      <c r="E1153" s="4">
        <v>453270</v>
      </c>
      <c r="F1153" s="2" t="s">
        <v>2</v>
      </c>
      <c r="G1153" s="2" t="str">
        <f t="shared" si="79"/>
        <v>https://www.oreht.ru/modules.php?name=orehtPriceLS&amp;op=Search&amp;page=1&amp;stext=453270</v>
      </c>
      <c r="I1153">
        <v>453270</v>
      </c>
      <c r="J1153" t="s">
        <v>2</v>
      </c>
      <c r="K1153" t="s">
        <v>3277</v>
      </c>
      <c r="L1153" t="s">
        <v>3278</v>
      </c>
      <c r="M1153" t="s">
        <v>3279</v>
      </c>
    </row>
    <row r="1154" spans="1:13" hidden="1" x14ac:dyDescent="0.25">
      <c r="A1154" s="24">
        <f t="shared" si="80"/>
        <v>20</v>
      </c>
      <c r="B1154" s="24">
        <v>12</v>
      </c>
      <c r="C1154" s="24">
        <v>46.65</v>
      </c>
      <c r="E1154" s="4">
        <v>453271</v>
      </c>
      <c r="F1154" s="2" t="s">
        <v>2</v>
      </c>
      <c r="G1154" s="2" t="str">
        <f t="shared" ref="G1154:G1217" si="81">HYPERLINK(F1154&amp;E1154)</f>
        <v>https://www.oreht.ru/modules.php?name=orehtPriceLS&amp;op=Search&amp;page=1&amp;stext=453271</v>
      </c>
      <c r="I1154">
        <v>453271</v>
      </c>
      <c r="J1154" t="s">
        <v>2</v>
      </c>
      <c r="K1154" t="s">
        <v>3280</v>
      </c>
      <c r="L1154" t="s">
        <v>3281</v>
      </c>
      <c r="M1154" t="s">
        <v>3282</v>
      </c>
    </row>
    <row r="1155" spans="1:13" x14ac:dyDescent="0.25">
      <c r="A1155" s="24">
        <f t="shared" si="80"/>
        <v>20</v>
      </c>
      <c r="B1155" s="24">
        <v>12</v>
      </c>
      <c r="C1155" s="24">
        <v>49.5</v>
      </c>
      <c r="E1155" s="4">
        <v>348727</v>
      </c>
      <c r="F1155" s="2" t="s">
        <v>2</v>
      </c>
      <c r="G1155" s="2" t="str">
        <f t="shared" si="81"/>
        <v>https://www.oreht.ru/modules.php?name=orehtPriceLS&amp;op=Search&amp;page=1&amp;stext=348727</v>
      </c>
      <c r="I1155">
        <v>348727</v>
      </c>
      <c r="J1155" t="s">
        <v>2</v>
      </c>
      <c r="K1155" t="s">
        <v>3283</v>
      </c>
      <c r="L1155" t="s">
        <v>3284</v>
      </c>
      <c r="M1155" t="s">
        <v>649</v>
      </c>
    </row>
    <row r="1156" spans="1:13" x14ac:dyDescent="0.25">
      <c r="A1156" s="24">
        <f t="shared" si="80"/>
        <v>20</v>
      </c>
      <c r="B1156" s="24">
        <v>12</v>
      </c>
      <c r="C1156" s="24">
        <v>45</v>
      </c>
      <c r="E1156" s="4">
        <v>418483</v>
      </c>
      <c r="F1156" s="2" t="s">
        <v>2</v>
      </c>
      <c r="G1156" s="2" t="str">
        <f t="shared" si="81"/>
        <v>https://www.oreht.ru/modules.php?name=orehtPriceLS&amp;op=Search&amp;page=1&amp;stext=418483</v>
      </c>
      <c r="I1156">
        <v>418483</v>
      </c>
      <c r="J1156" t="s">
        <v>2</v>
      </c>
      <c r="K1156" t="s">
        <v>3285</v>
      </c>
      <c r="L1156" t="s">
        <v>3286</v>
      </c>
      <c r="M1156" t="s">
        <v>649</v>
      </c>
    </row>
    <row r="1157" spans="1:13" hidden="1" x14ac:dyDescent="0.25">
      <c r="A1157" s="24">
        <f t="shared" ref="A1157:A1220" si="82">IF(W1157*0.05&gt;=250,250,IF(W1157*0.05&gt;=20,IF(W1157*0.05&lt;20,20,W1157*0.05),20))</f>
        <v>20</v>
      </c>
      <c r="B1157" s="24">
        <v>12</v>
      </c>
      <c r="C1157" s="24">
        <v>49</v>
      </c>
      <c r="E1157" s="4">
        <v>453435</v>
      </c>
      <c r="F1157" s="2" t="s">
        <v>2</v>
      </c>
      <c r="G1157" s="2" t="str">
        <f t="shared" si="81"/>
        <v>https://www.oreht.ru/modules.php?name=orehtPriceLS&amp;op=Search&amp;page=1&amp;stext=453435</v>
      </c>
      <c r="I1157">
        <v>453435</v>
      </c>
      <c r="J1157" t="s">
        <v>2</v>
      </c>
      <c r="K1157" t="s">
        <v>3287</v>
      </c>
      <c r="L1157" t="s">
        <v>3288</v>
      </c>
      <c r="M1157" t="s">
        <v>3289</v>
      </c>
    </row>
    <row r="1158" spans="1:13" x14ac:dyDescent="0.25">
      <c r="A1158" s="24">
        <f t="shared" si="82"/>
        <v>20</v>
      </c>
      <c r="B1158" s="24">
        <v>12</v>
      </c>
      <c r="C1158" s="24">
        <v>49</v>
      </c>
      <c r="E1158" s="4">
        <v>453436</v>
      </c>
      <c r="F1158" s="2" t="s">
        <v>2</v>
      </c>
      <c r="G1158" s="2" t="str">
        <f t="shared" si="81"/>
        <v>https://www.oreht.ru/modules.php?name=orehtPriceLS&amp;op=Search&amp;page=1&amp;stext=453436</v>
      </c>
      <c r="I1158">
        <v>453436</v>
      </c>
      <c r="J1158" t="s">
        <v>2</v>
      </c>
      <c r="K1158" t="s">
        <v>3290</v>
      </c>
      <c r="L1158" t="s">
        <v>3291</v>
      </c>
      <c r="M1158" t="s">
        <v>649</v>
      </c>
    </row>
    <row r="1159" spans="1:13" x14ac:dyDescent="0.25">
      <c r="A1159" s="24">
        <f t="shared" si="82"/>
        <v>20</v>
      </c>
      <c r="B1159" s="24">
        <v>12</v>
      </c>
      <c r="C1159" s="24">
        <v>45</v>
      </c>
      <c r="E1159" s="4">
        <v>453283</v>
      </c>
      <c r="F1159" s="2" t="s">
        <v>2</v>
      </c>
      <c r="G1159" s="2" t="str">
        <f t="shared" si="81"/>
        <v>https://www.oreht.ru/modules.php?name=orehtPriceLS&amp;op=Search&amp;page=1&amp;stext=453283</v>
      </c>
      <c r="I1159">
        <v>453283</v>
      </c>
      <c r="J1159" t="s">
        <v>2</v>
      </c>
      <c r="K1159" t="s">
        <v>3292</v>
      </c>
      <c r="L1159" t="s">
        <v>3293</v>
      </c>
      <c r="M1159" t="s">
        <v>649</v>
      </c>
    </row>
    <row r="1160" spans="1:13" x14ac:dyDescent="0.25">
      <c r="A1160" s="24">
        <f t="shared" si="82"/>
        <v>20</v>
      </c>
      <c r="B1160" s="24">
        <v>12</v>
      </c>
      <c r="C1160" s="24">
        <v>44</v>
      </c>
      <c r="E1160" s="4">
        <v>453421</v>
      </c>
      <c r="F1160" s="2" t="s">
        <v>2</v>
      </c>
      <c r="G1160" s="2" t="str">
        <f t="shared" si="81"/>
        <v>https://www.oreht.ru/modules.php?name=orehtPriceLS&amp;op=Search&amp;page=1&amp;stext=453421</v>
      </c>
      <c r="I1160">
        <v>453421</v>
      </c>
      <c r="J1160" t="s">
        <v>2</v>
      </c>
      <c r="K1160" t="s">
        <v>3294</v>
      </c>
      <c r="L1160" t="s">
        <v>3295</v>
      </c>
      <c r="M1160" t="s">
        <v>649</v>
      </c>
    </row>
    <row r="1161" spans="1:13" hidden="1" x14ac:dyDescent="0.25">
      <c r="A1161" s="24">
        <f t="shared" si="82"/>
        <v>20</v>
      </c>
      <c r="B1161" s="24">
        <v>12</v>
      </c>
      <c r="C1161" s="24">
        <v>45</v>
      </c>
      <c r="E1161" s="4">
        <v>453276</v>
      </c>
      <c r="F1161" s="2" t="s">
        <v>2</v>
      </c>
      <c r="G1161" s="2" t="str">
        <f t="shared" si="81"/>
        <v>https://www.oreht.ru/modules.php?name=orehtPriceLS&amp;op=Search&amp;page=1&amp;stext=453276</v>
      </c>
      <c r="I1161">
        <v>453276</v>
      </c>
      <c r="J1161" t="s">
        <v>2</v>
      </c>
      <c r="K1161" t="s">
        <v>3296</v>
      </c>
      <c r="L1161" t="s">
        <v>3297</v>
      </c>
      <c r="M1161" t="s">
        <v>3298</v>
      </c>
    </row>
    <row r="1162" spans="1:13" hidden="1" x14ac:dyDescent="0.25">
      <c r="A1162" s="24">
        <f t="shared" si="82"/>
        <v>20</v>
      </c>
      <c r="B1162" s="24">
        <v>12</v>
      </c>
      <c r="C1162" s="24">
        <v>64.599999999999994</v>
      </c>
      <c r="E1162" s="4">
        <v>348720</v>
      </c>
      <c r="F1162" s="2" t="s">
        <v>2</v>
      </c>
      <c r="G1162" s="2" t="str">
        <f t="shared" si="81"/>
        <v>https://www.oreht.ru/modules.php?name=orehtPriceLS&amp;op=Search&amp;page=1&amp;stext=348720</v>
      </c>
      <c r="I1162">
        <v>348720</v>
      </c>
      <c r="J1162" t="s">
        <v>2</v>
      </c>
      <c r="K1162" t="s">
        <v>3299</v>
      </c>
      <c r="L1162" t="s">
        <v>3300</v>
      </c>
      <c r="M1162" t="s">
        <v>3301</v>
      </c>
    </row>
    <row r="1163" spans="1:13" x14ac:dyDescent="0.25">
      <c r="A1163" s="24">
        <f t="shared" si="82"/>
        <v>20</v>
      </c>
      <c r="B1163" s="24">
        <v>12</v>
      </c>
      <c r="C1163" s="24">
        <v>45</v>
      </c>
      <c r="E1163" s="4">
        <v>453269</v>
      </c>
      <c r="F1163" s="2" t="s">
        <v>2</v>
      </c>
      <c r="G1163" s="2" t="str">
        <f t="shared" si="81"/>
        <v>https://www.oreht.ru/modules.php?name=orehtPriceLS&amp;op=Search&amp;page=1&amp;stext=453269</v>
      </c>
      <c r="I1163">
        <v>453269</v>
      </c>
      <c r="J1163" t="s">
        <v>2</v>
      </c>
      <c r="K1163" t="s">
        <v>3302</v>
      </c>
      <c r="L1163" t="s">
        <v>3303</v>
      </c>
      <c r="M1163" t="s">
        <v>649</v>
      </c>
    </row>
    <row r="1164" spans="1:13" x14ac:dyDescent="0.25">
      <c r="A1164" s="24">
        <f t="shared" si="82"/>
        <v>20</v>
      </c>
      <c r="B1164" s="24">
        <v>12</v>
      </c>
      <c r="C1164" s="24">
        <v>42.1</v>
      </c>
      <c r="E1164" s="4">
        <v>417578</v>
      </c>
      <c r="F1164" s="2" t="s">
        <v>2</v>
      </c>
      <c r="G1164" s="2" t="str">
        <f t="shared" si="81"/>
        <v>https://www.oreht.ru/modules.php?name=orehtPriceLS&amp;op=Search&amp;page=1&amp;stext=417578</v>
      </c>
      <c r="I1164">
        <v>417578</v>
      </c>
      <c r="J1164" t="s">
        <v>2</v>
      </c>
      <c r="K1164" t="s">
        <v>3304</v>
      </c>
      <c r="L1164" t="s">
        <v>3305</v>
      </c>
      <c r="M1164" t="s">
        <v>649</v>
      </c>
    </row>
    <row r="1165" spans="1:13" hidden="1" x14ac:dyDescent="0.25">
      <c r="A1165" s="24">
        <f t="shared" si="82"/>
        <v>20</v>
      </c>
      <c r="B1165" s="24">
        <v>12</v>
      </c>
      <c r="C1165" s="24">
        <v>45</v>
      </c>
      <c r="E1165" s="4">
        <v>423077</v>
      </c>
      <c r="F1165" s="2" t="s">
        <v>2</v>
      </c>
      <c r="G1165" s="2" t="str">
        <f t="shared" si="81"/>
        <v>https://www.oreht.ru/modules.php?name=orehtPriceLS&amp;op=Search&amp;page=1&amp;stext=423077</v>
      </c>
      <c r="I1165">
        <v>423077</v>
      </c>
      <c r="J1165" t="s">
        <v>2</v>
      </c>
      <c r="K1165" t="s">
        <v>3306</v>
      </c>
      <c r="L1165" t="s">
        <v>3307</v>
      </c>
      <c r="M1165" t="s">
        <v>3308</v>
      </c>
    </row>
    <row r="1166" spans="1:13" x14ac:dyDescent="0.25">
      <c r="A1166" s="24">
        <f t="shared" si="82"/>
        <v>20</v>
      </c>
      <c r="B1166" s="24">
        <v>10</v>
      </c>
      <c r="C1166" s="24">
        <v>55</v>
      </c>
      <c r="E1166" s="4">
        <v>417499</v>
      </c>
      <c r="F1166" s="2" t="s">
        <v>2</v>
      </c>
      <c r="G1166" s="2" t="str">
        <f t="shared" si="81"/>
        <v>https://www.oreht.ru/modules.php?name=orehtPriceLS&amp;op=Search&amp;page=1&amp;stext=417499</v>
      </c>
      <c r="I1166">
        <v>417499</v>
      </c>
      <c r="J1166" t="s">
        <v>2</v>
      </c>
      <c r="K1166" t="s">
        <v>3309</v>
      </c>
      <c r="L1166" t="s">
        <v>3310</v>
      </c>
      <c r="M1166" t="s">
        <v>649</v>
      </c>
    </row>
    <row r="1167" spans="1:13" x14ac:dyDescent="0.25">
      <c r="A1167" s="24">
        <f t="shared" si="82"/>
        <v>20</v>
      </c>
      <c r="B1167" s="24">
        <v>10</v>
      </c>
      <c r="C1167" s="24">
        <v>45.8</v>
      </c>
      <c r="E1167" s="4">
        <v>417547</v>
      </c>
      <c r="F1167" s="2" t="s">
        <v>2</v>
      </c>
      <c r="G1167" s="2" t="str">
        <f t="shared" si="81"/>
        <v>https://www.oreht.ru/modules.php?name=orehtPriceLS&amp;op=Search&amp;page=1&amp;stext=417547</v>
      </c>
      <c r="I1167">
        <v>417547</v>
      </c>
      <c r="J1167" t="s">
        <v>2</v>
      </c>
      <c r="K1167" t="s">
        <v>3311</v>
      </c>
      <c r="L1167" t="s">
        <v>3312</v>
      </c>
      <c r="M1167" t="s">
        <v>649</v>
      </c>
    </row>
    <row r="1168" spans="1:13" hidden="1" x14ac:dyDescent="0.25">
      <c r="A1168" s="24">
        <f t="shared" si="82"/>
        <v>20</v>
      </c>
      <c r="B1168" s="24">
        <v>10</v>
      </c>
      <c r="C1168" s="24">
        <v>55</v>
      </c>
      <c r="E1168" s="4">
        <v>417504</v>
      </c>
      <c r="F1168" s="2" t="s">
        <v>2</v>
      </c>
      <c r="G1168" s="2" t="str">
        <f t="shared" si="81"/>
        <v>https://www.oreht.ru/modules.php?name=orehtPriceLS&amp;op=Search&amp;page=1&amp;stext=417504</v>
      </c>
      <c r="I1168">
        <v>417504</v>
      </c>
      <c r="J1168" t="s">
        <v>2</v>
      </c>
      <c r="K1168" t="s">
        <v>3313</v>
      </c>
      <c r="L1168" t="s">
        <v>3314</v>
      </c>
      <c r="M1168" t="s">
        <v>3315</v>
      </c>
    </row>
    <row r="1169" spans="1:13" x14ac:dyDescent="0.25">
      <c r="A1169" s="24">
        <f t="shared" si="82"/>
        <v>20</v>
      </c>
      <c r="B1169" s="24">
        <v>12</v>
      </c>
      <c r="C1169" s="24">
        <v>79</v>
      </c>
      <c r="E1169" s="4">
        <v>263829</v>
      </c>
      <c r="F1169" s="2" t="s">
        <v>2</v>
      </c>
      <c r="G1169" s="2" t="str">
        <f t="shared" si="81"/>
        <v>https://www.oreht.ru/modules.php?name=orehtPriceLS&amp;op=Search&amp;page=1&amp;stext=263829</v>
      </c>
      <c r="I1169">
        <v>263829</v>
      </c>
      <c r="J1169" t="s">
        <v>2</v>
      </c>
      <c r="K1169" t="s">
        <v>3316</v>
      </c>
      <c r="L1169" t="s">
        <v>3317</v>
      </c>
      <c r="M1169" t="s">
        <v>649</v>
      </c>
    </row>
    <row r="1170" spans="1:13" x14ac:dyDescent="0.25">
      <c r="A1170" s="24">
        <f t="shared" si="82"/>
        <v>20</v>
      </c>
      <c r="B1170" s="24">
        <v>12</v>
      </c>
      <c r="C1170" s="24">
        <v>41</v>
      </c>
      <c r="E1170" s="4">
        <v>417576</v>
      </c>
      <c r="F1170" s="2" t="s">
        <v>2</v>
      </c>
      <c r="G1170" s="2" t="str">
        <f t="shared" si="81"/>
        <v>https://www.oreht.ru/modules.php?name=orehtPriceLS&amp;op=Search&amp;page=1&amp;stext=417576</v>
      </c>
      <c r="I1170">
        <v>417576</v>
      </c>
      <c r="J1170" t="s">
        <v>2</v>
      </c>
      <c r="K1170" t="s">
        <v>3318</v>
      </c>
      <c r="L1170" t="s">
        <v>3319</v>
      </c>
      <c r="M1170" t="s">
        <v>649</v>
      </c>
    </row>
    <row r="1171" spans="1:13" hidden="1" x14ac:dyDescent="0.25">
      <c r="A1171" s="24">
        <f t="shared" si="82"/>
        <v>20</v>
      </c>
      <c r="B1171" s="24">
        <v>12</v>
      </c>
      <c r="C1171" s="24">
        <v>43</v>
      </c>
      <c r="E1171" s="4">
        <v>453278</v>
      </c>
      <c r="F1171" s="2" t="s">
        <v>2</v>
      </c>
      <c r="G1171" s="2" t="str">
        <f t="shared" si="81"/>
        <v>https://www.oreht.ru/modules.php?name=orehtPriceLS&amp;op=Search&amp;page=1&amp;stext=453278</v>
      </c>
      <c r="I1171">
        <v>453278</v>
      </c>
      <c r="J1171" t="s">
        <v>2</v>
      </c>
      <c r="K1171" t="s">
        <v>3320</v>
      </c>
      <c r="L1171" t="s">
        <v>3321</v>
      </c>
      <c r="M1171" t="s">
        <v>3322</v>
      </c>
    </row>
    <row r="1172" spans="1:13" hidden="1" x14ac:dyDescent="0.25">
      <c r="A1172" s="24">
        <f t="shared" si="82"/>
        <v>20</v>
      </c>
      <c r="B1172" s="24">
        <v>10</v>
      </c>
      <c r="C1172" s="24">
        <v>55</v>
      </c>
      <c r="E1172" s="4">
        <v>417480</v>
      </c>
      <c r="F1172" s="2" t="s">
        <v>2</v>
      </c>
      <c r="G1172" s="2" t="str">
        <f t="shared" si="81"/>
        <v>https://www.oreht.ru/modules.php?name=orehtPriceLS&amp;op=Search&amp;page=1&amp;stext=417480</v>
      </c>
      <c r="I1172">
        <v>417480</v>
      </c>
      <c r="J1172" t="s">
        <v>2</v>
      </c>
      <c r="K1172" t="s">
        <v>3323</v>
      </c>
      <c r="L1172" t="s">
        <v>3324</v>
      </c>
      <c r="M1172" t="s">
        <v>3325</v>
      </c>
    </row>
    <row r="1173" spans="1:13" x14ac:dyDescent="0.25">
      <c r="A1173" s="24">
        <f t="shared" si="82"/>
        <v>20</v>
      </c>
      <c r="B1173" s="24">
        <v>12</v>
      </c>
      <c r="C1173" s="24">
        <v>41</v>
      </c>
      <c r="E1173" s="4">
        <v>453432</v>
      </c>
      <c r="F1173" s="2" t="s">
        <v>2</v>
      </c>
      <c r="G1173" s="2" t="str">
        <f t="shared" si="81"/>
        <v>https://www.oreht.ru/modules.php?name=orehtPriceLS&amp;op=Search&amp;page=1&amp;stext=453432</v>
      </c>
      <c r="I1173">
        <v>453432</v>
      </c>
      <c r="J1173" t="s">
        <v>2</v>
      </c>
      <c r="K1173" t="s">
        <v>3326</v>
      </c>
      <c r="L1173" t="s">
        <v>3327</v>
      </c>
      <c r="M1173" t="s">
        <v>649</v>
      </c>
    </row>
    <row r="1174" spans="1:13" x14ac:dyDescent="0.25">
      <c r="A1174" s="24">
        <f t="shared" si="82"/>
        <v>20</v>
      </c>
      <c r="B1174" s="24">
        <v>12</v>
      </c>
      <c r="C1174" s="24">
        <v>45</v>
      </c>
      <c r="E1174" s="4">
        <v>263679</v>
      </c>
      <c r="F1174" s="2" t="s">
        <v>2</v>
      </c>
      <c r="G1174" s="2" t="str">
        <f t="shared" si="81"/>
        <v>https://www.oreht.ru/modules.php?name=orehtPriceLS&amp;op=Search&amp;page=1&amp;stext=263679</v>
      </c>
      <c r="I1174">
        <v>263679</v>
      </c>
      <c r="J1174" t="s">
        <v>2</v>
      </c>
      <c r="K1174" t="s">
        <v>3328</v>
      </c>
      <c r="L1174" t="s">
        <v>3329</v>
      </c>
      <c r="M1174" t="s">
        <v>649</v>
      </c>
    </row>
    <row r="1175" spans="1:13" hidden="1" x14ac:dyDescent="0.25">
      <c r="A1175" s="24">
        <f t="shared" si="82"/>
        <v>20</v>
      </c>
      <c r="B1175" s="24">
        <v>12</v>
      </c>
      <c r="C1175" s="24">
        <v>43</v>
      </c>
      <c r="E1175" s="4">
        <v>453287</v>
      </c>
      <c r="F1175" s="2" t="s">
        <v>2</v>
      </c>
      <c r="G1175" s="2" t="str">
        <f t="shared" si="81"/>
        <v>https://www.oreht.ru/modules.php?name=orehtPriceLS&amp;op=Search&amp;page=1&amp;stext=453287</v>
      </c>
      <c r="I1175">
        <v>453287</v>
      </c>
      <c r="J1175" t="s">
        <v>2</v>
      </c>
      <c r="K1175" t="s">
        <v>3330</v>
      </c>
      <c r="L1175" t="s">
        <v>3331</v>
      </c>
      <c r="M1175" t="s">
        <v>3332</v>
      </c>
    </row>
    <row r="1176" spans="1:13" x14ac:dyDescent="0.25">
      <c r="A1176" s="24">
        <f t="shared" si="82"/>
        <v>20</v>
      </c>
      <c r="B1176" s="24">
        <v>12</v>
      </c>
      <c r="C1176" s="24">
        <v>45</v>
      </c>
      <c r="E1176" s="4">
        <v>452412</v>
      </c>
      <c r="F1176" s="2" t="s">
        <v>2</v>
      </c>
      <c r="G1176" s="2" t="str">
        <f t="shared" si="81"/>
        <v>https://www.oreht.ru/modules.php?name=orehtPriceLS&amp;op=Search&amp;page=1&amp;stext=452412</v>
      </c>
      <c r="I1176">
        <v>452412</v>
      </c>
      <c r="J1176" t="s">
        <v>2</v>
      </c>
      <c r="K1176" t="s">
        <v>3333</v>
      </c>
      <c r="L1176" t="s">
        <v>3334</v>
      </c>
      <c r="M1176" t="s">
        <v>649</v>
      </c>
    </row>
    <row r="1177" spans="1:13" x14ac:dyDescent="0.25">
      <c r="A1177" s="24">
        <f t="shared" si="82"/>
        <v>20</v>
      </c>
      <c r="B1177" s="24">
        <v>12</v>
      </c>
      <c r="C1177" s="24">
        <v>42</v>
      </c>
      <c r="E1177" s="4">
        <v>426470</v>
      </c>
      <c r="F1177" s="2" t="s">
        <v>2</v>
      </c>
      <c r="G1177" s="2" t="str">
        <f t="shared" si="81"/>
        <v>https://www.oreht.ru/modules.php?name=orehtPriceLS&amp;op=Search&amp;page=1&amp;stext=426470</v>
      </c>
      <c r="I1177">
        <v>426470</v>
      </c>
      <c r="J1177" t="s">
        <v>2</v>
      </c>
      <c r="K1177" t="s">
        <v>3335</v>
      </c>
      <c r="L1177" t="s">
        <v>3336</v>
      </c>
      <c r="M1177" t="s">
        <v>649</v>
      </c>
    </row>
    <row r="1178" spans="1:13" x14ac:dyDescent="0.25">
      <c r="A1178" s="24">
        <f t="shared" si="82"/>
        <v>20</v>
      </c>
      <c r="B1178" s="24">
        <v>12</v>
      </c>
      <c r="C1178" s="24">
        <v>42</v>
      </c>
      <c r="E1178" s="4">
        <v>191812</v>
      </c>
      <c r="F1178" s="2" t="s">
        <v>2</v>
      </c>
      <c r="G1178" s="2" t="str">
        <f t="shared" si="81"/>
        <v>https://www.oreht.ru/modules.php?name=orehtPriceLS&amp;op=Search&amp;page=1&amp;stext=191812</v>
      </c>
      <c r="I1178">
        <v>191812</v>
      </c>
      <c r="J1178" t="s">
        <v>2</v>
      </c>
      <c r="K1178" t="s">
        <v>3337</v>
      </c>
      <c r="L1178" t="s">
        <v>3338</v>
      </c>
      <c r="M1178" t="s">
        <v>649</v>
      </c>
    </row>
    <row r="1179" spans="1:13" x14ac:dyDescent="0.25">
      <c r="A1179" s="24">
        <f t="shared" si="82"/>
        <v>20</v>
      </c>
      <c r="B1179" s="24">
        <v>12</v>
      </c>
      <c r="C1179" s="24">
        <v>43</v>
      </c>
      <c r="E1179" s="4">
        <v>453263</v>
      </c>
      <c r="F1179" s="2" t="s">
        <v>2</v>
      </c>
      <c r="G1179" s="2" t="str">
        <f t="shared" si="81"/>
        <v>https://www.oreht.ru/modules.php?name=orehtPriceLS&amp;op=Search&amp;page=1&amp;stext=453263</v>
      </c>
      <c r="I1179">
        <v>453263</v>
      </c>
      <c r="J1179" t="s">
        <v>2</v>
      </c>
      <c r="K1179" t="s">
        <v>3339</v>
      </c>
      <c r="L1179" t="s">
        <v>3340</v>
      </c>
      <c r="M1179" t="s">
        <v>649</v>
      </c>
    </row>
    <row r="1180" spans="1:13" x14ac:dyDescent="0.25">
      <c r="A1180" s="24">
        <f t="shared" si="82"/>
        <v>20</v>
      </c>
      <c r="B1180" s="24">
        <v>12</v>
      </c>
      <c r="C1180" s="24">
        <v>43</v>
      </c>
      <c r="E1180" s="4">
        <v>418474</v>
      </c>
      <c r="F1180" s="2" t="s">
        <v>2</v>
      </c>
      <c r="G1180" s="2" t="str">
        <f t="shared" si="81"/>
        <v>https://www.oreht.ru/modules.php?name=orehtPriceLS&amp;op=Search&amp;page=1&amp;stext=418474</v>
      </c>
      <c r="I1180">
        <v>418474</v>
      </c>
      <c r="J1180" t="s">
        <v>2</v>
      </c>
      <c r="K1180" t="s">
        <v>3341</v>
      </c>
      <c r="L1180" t="s">
        <v>3342</v>
      </c>
      <c r="M1180" t="s">
        <v>649</v>
      </c>
    </row>
    <row r="1181" spans="1:13" x14ac:dyDescent="0.25">
      <c r="A1181" s="24">
        <f t="shared" si="82"/>
        <v>20</v>
      </c>
      <c r="B1181" s="24">
        <v>12</v>
      </c>
      <c r="C1181" s="24">
        <v>42</v>
      </c>
      <c r="E1181" s="4">
        <v>453285</v>
      </c>
      <c r="F1181" s="2" t="s">
        <v>2</v>
      </c>
      <c r="G1181" s="2" t="str">
        <f t="shared" si="81"/>
        <v>https://www.oreht.ru/modules.php?name=orehtPriceLS&amp;op=Search&amp;page=1&amp;stext=453285</v>
      </c>
      <c r="I1181">
        <v>453285</v>
      </c>
      <c r="J1181" t="s">
        <v>2</v>
      </c>
      <c r="K1181" t="s">
        <v>3343</v>
      </c>
      <c r="L1181" t="s">
        <v>3344</v>
      </c>
      <c r="M1181" t="s">
        <v>649</v>
      </c>
    </row>
    <row r="1182" spans="1:13" x14ac:dyDescent="0.25">
      <c r="A1182" s="24">
        <f t="shared" si="82"/>
        <v>20</v>
      </c>
      <c r="B1182" s="24">
        <v>12</v>
      </c>
      <c r="C1182" s="24">
        <v>42</v>
      </c>
      <c r="E1182" s="4">
        <v>131989</v>
      </c>
      <c r="F1182" s="2" t="s">
        <v>2</v>
      </c>
      <c r="G1182" s="2" t="str">
        <f t="shared" si="81"/>
        <v>https://www.oreht.ru/modules.php?name=orehtPriceLS&amp;op=Search&amp;page=1&amp;stext=131989</v>
      </c>
      <c r="I1182">
        <v>131989</v>
      </c>
      <c r="J1182" t="s">
        <v>2</v>
      </c>
      <c r="K1182" t="s">
        <v>3345</v>
      </c>
      <c r="L1182" t="s">
        <v>3346</v>
      </c>
      <c r="M1182" t="s">
        <v>649</v>
      </c>
    </row>
    <row r="1183" spans="1:13" hidden="1" x14ac:dyDescent="0.25">
      <c r="A1183" s="24">
        <f t="shared" si="82"/>
        <v>20</v>
      </c>
      <c r="B1183" s="24">
        <v>10</v>
      </c>
      <c r="C1183" s="24">
        <v>42</v>
      </c>
      <c r="E1183" s="4">
        <v>417550</v>
      </c>
      <c r="F1183" s="2" t="s">
        <v>2</v>
      </c>
      <c r="G1183" s="2" t="str">
        <f t="shared" si="81"/>
        <v>https://www.oreht.ru/modules.php?name=orehtPriceLS&amp;op=Search&amp;page=1&amp;stext=417550</v>
      </c>
      <c r="I1183">
        <v>417550</v>
      </c>
      <c r="J1183" t="s">
        <v>2</v>
      </c>
      <c r="K1183" t="s">
        <v>3347</v>
      </c>
      <c r="L1183" t="s">
        <v>3348</v>
      </c>
      <c r="M1183" t="s">
        <v>3349</v>
      </c>
    </row>
    <row r="1184" spans="1:13" hidden="1" x14ac:dyDescent="0.25">
      <c r="A1184" s="24">
        <f t="shared" si="82"/>
        <v>20</v>
      </c>
      <c r="B1184" s="24">
        <v>10</v>
      </c>
      <c r="C1184" s="24">
        <v>43</v>
      </c>
      <c r="E1184" s="4">
        <v>264982</v>
      </c>
      <c r="F1184" s="2" t="s">
        <v>2</v>
      </c>
      <c r="G1184" s="2" t="str">
        <f t="shared" si="81"/>
        <v>https://www.oreht.ru/modules.php?name=orehtPriceLS&amp;op=Search&amp;page=1&amp;stext=264982</v>
      </c>
      <c r="I1184">
        <v>264982</v>
      </c>
      <c r="J1184" t="s">
        <v>2</v>
      </c>
      <c r="K1184" t="s">
        <v>3350</v>
      </c>
      <c r="L1184" t="s">
        <v>3351</v>
      </c>
      <c r="M1184" t="s">
        <v>3349</v>
      </c>
    </row>
    <row r="1185" spans="1:13" hidden="1" x14ac:dyDescent="0.25">
      <c r="A1185" s="24">
        <f t="shared" si="82"/>
        <v>20</v>
      </c>
      <c r="B1185" s="24">
        <v>12</v>
      </c>
      <c r="C1185" s="24">
        <v>41</v>
      </c>
      <c r="E1185" s="4">
        <v>228380</v>
      </c>
      <c r="F1185" s="2" t="s">
        <v>2</v>
      </c>
      <c r="G1185" s="2" t="str">
        <f t="shared" si="81"/>
        <v>https://www.oreht.ru/modules.php?name=orehtPriceLS&amp;op=Search&amp;page=1&amp;stext=228380</v>
      </c>
      <c r="I1185">
        <v>228380</v>
      </c>
      <c r="J1185" t="s">
        <v>2</v>
      </c>
      <c r="K1185" t="s">
        <v>3352</v>
      </c>
      <c r="L1185" t="s">
        <v>3353</v>
      </c>
      <c r="M1185" t="s">
        <v>3354</v>
      </c>
    </row>
    <row r="1186" spans="1:13" hidden="1" x14ac:dyDescent="0.25">
      <c r="A1186" s="24">
        <f t="shared" si="82"/>
        <v>20</v>
      </c>
      <c r="B1186" s="24">
        <v>12</v>
      </c>
      <c r="C1186" s="24">
        <v>47</v>
      </c>
      <c r="E1186" s="4">
        <v>303416</v>
      </c>
      <c r="F1186" s="2" t="s">
        <v>2</v>
      </c>
      <c r="G1186" s="2" t="str">
        <f t="shared" si="81"/>
        <v>https://www.oreht.ru/modules.php?name=orehtPriceLS&amp;op=Search&amp;page=1&amp;stext=303416</v>
      </c>
      <c r="I1186">
        <v>303416</v>
      </c>
      <c r="J1186" t="s">
        <v>2</v>
      </c>
      <c r="K1186" t="s">
        <v>3355</v>
      </c>
      <c r="L1186" t="s">
        <v>3356</v>
      </c>
      <c r="M1186" t="s">
        <v>796</v>
      </c>
    </row>
    <row r="1187" spans="1:13" x14ac:dyDescent="0.25">
      <c r="A1187" s="24">
        <f t="shared" si="82"/>
        <v>20</v>
      </c>
      <c r="B1187" s="24">
        <v>12</v>
      </c>
      <c r="C1187" s="24">
        <v>47</v>
      </c>
      <c r="E1187" s="4">
        <v>418599</v>
      </c>
      <c r="F1187" s="2" t="s">
        <v>2</v>
      </c>
      <c r="G1187" s="2" t="str">
        <f t="shared" si="81"/>
        <v>https://www.oreht.ru/modules.php?name=orehtPriceLS&amp;op=Search&amp;page=1&amp;stext=418599</v>
      </c>
      <c r="I1187">
        <v>418599</v>
      </c>
      <c r="J1187" t="s">
        <v>2</v>
      </c>
      <c r="K1187" t="s">
        <v>3357</v>
      </c>
      <c r="L1187" t="s">
        <v>3358</v>
      </c>
      <c r="M1187" t="s">
        <v>649</v>
      </c>
    </row>
    <row r="1188" spans="1:13" hidden="1" x14ac:dyDescent="0.25">
      <c r="A1188" s="24">
        <f t="shared" si="82"/>
        <v>20</v>
      </c>
      <c r="B1188" s="24">
        <v>12</v>
      </c>
      <c r="C1188" s="24">
        <v>41</v>
      </c>
      <c r="E1188" s="4">
        <v>131987</v>
      </c>
      <c r="F1188" s="2" t="s">
        <v>2</v>
      </c>
      <c r="G1188" s="2" t="str">
        <f t="shared" si="81"/>
        <v>https://www.oreht.ru/modules.php?name=orehtPriceLS&amp;op=Search&amp;page=1&amp;stext=131987</v>
      </c>
      <c r="I1188">
        <v>131987</v>
      </c>
      <c r="J1188" t="s">
        <v>2</v>
      </c>
      <c r="K1188" t="s">
        <v>3359</v>
      </c>
      <c r="L1188" t="s">
        <v>3360</v>
      </c>
      <c r="M1188" t="s">
        <v>3361</v>
      </c>
    </row>
    <row r="1189" spans="1:13" hidden="1" x14ac:dyDescent="0.25">
      <c r="A1189" s="24">
        <f t="shared" si="82"/>
        <v>20</v>
      </c>
      <c r="B1189" s="24">
        <v>12</v>
      </c>
      <c r="C1189" s="24">
        <v>42</v>
      </c>
      <c r="E1189" s="4">
        <v>131988</v>
      </c>
      <c r="F1189" s="2" t="s">
        <v>2</v>
      </c>
      <c r="G1189" s="2" t="str">
        <f t="shared" si="81"/>
        <v>https://www.oreht.ru/modules.php?name=orehtPriceLS&amp;op=Search&amp;page=1&amp;stext=131988</v>
      </c>
      <c r="I1189">
        <v>131988</v>
      </c>
      <c r="J1189" t="s">
        <v>2</v>
      </c>
      <c r="K1189" t="s">
        <v>3362</v>
      </c>
      <c r="L1189" t="s">
        <v>3363</v>
      </c>
      <c r="M1189" t="s">
        <v>3361</v>
      </c>
    </row>
    <row r="1190" spans="1:13" hidden="1" x14ac:dyDescent="0.25">
      <c r="A1190" s="24">
        <f t="shared" si="82"/>
        <v>20</v>
      </c>
      <c r="B1190" s="24">
        <v>12</v>
      </c>
      <c r="C1190" s="24">
        <v>45</v>
      </c>
      <c r="E1190" s="4">
        <v>267760</v>
      </c>
      <c r="F1190" s="2" t="s">
        <v>2</v>
      </c>
      <c r="G1190" s="2" t="str">
        <f t="shared" si="81"/>
        <v>https://www.oreht.ru/modules.php?name=orehtPriceLS&amp;op=Search&amp;page=1&amp;stext=267760</v>
      </c>
      <c r="I1190">
        <v>267760</v>
      </c>
      <c r="J1190" t="s">
        <v>2</v>
      </c>
      <c r="K1190" t="s">
        <v>3364</v>
      </c>
      <c r="L1190" t="s">
        <v>3365</v>
      </c>
      <c r="M1190" t="s">
        <v>3366</v>
      </c>
    </row>
    <row r="1191" spans="1:13" x14ac:dyDescent="0.25">
      <c r="A1191" s="24">
        <f t="shared" si="82"/>
        <v>20</v>
      </c>
      <c r="B1191" s="24">
        <v>12</v>
      </c>
      <c r="C1191" s="24">
        <v>43</v>
      </c>
      <c r="E1191" s="4">
        <v>453252</v>
      </c>
      <c r="F1191" s="2" t="s">
        <v>2</v>
      </c>
      <c r="G1191" s="2" t="str">
        <f t="shared" si="81"/>
        <v>https://www.oreht.ru/modules.php?name=orehtPriceLS&amp;op=Search&amp;page=1&amp;stext=453252</v>
      </c>
      <c r="I1191">
        <v>453252</v>
      </c>
      <c r="J1191" t="s">
        <v>2</v>
      </c>
      <c r="K1191" t="s">
        <v>3367</v>
      </c>
      <c r="L1191" t="s">
        <v>3368</v>
      </c>
      <c r="M1191" t="s">
        <v>649</v>
      </c>
    </row>
    <row r="1192" spans="1:13" hidden="1" x14ac:dyDescent="0.25">
      <c r="A1192" s="24">
        <f t="shared" si="82"/>
        <v>20</v>
      </c>
      <c r="B1192" s="24">
        <v>12</v>
      </c>
      <c r="C1192" s="24">
        <v>43</v>
      </c>
      <c r="E1192" s="4">
        <v>457752</v>
      </c>
      <c r="F1192" s="2" t="s">
        <v>2</v>
      </c>
      <c r="G1192" s="2" t="str">
        <f t="shared" si="81"/>
        <v>https://www.oreht.ru/modules.php?name=orehtPriceLS&amp;op=Search&amp;page=1&amp;stext=457752</v>
      </c>
      <c r="I1192">
        <v>457752</v>
      </c>
      <c r="J1192" t="s">
        <v>2</v>
      </c>
      <c r="K1192" t="s">
        <v>3369</v>
      </c>
      <c r="L1192" t="s">
        <v>3370</v>
      </c>
      <c r="M1192" t="s">
        <v>3371</v>
      </c>
    </row>
    <row r="1193" spans="1:13" hidden="1" x14ac:dyDescent="0.25">
      <c r="A1193" s="24">
        <f t="shared" si="82"/>
        <v>20</v>
      </c>
      <c r="B1193" s="24">
        <v>12</v>
      </c>
      <c r="C1193" s="24">
        <v>41</v>
      </c>
      <c r="E1193" s="4">
        <v>417583</v>
      </c>
      <c r="F1193" s="2" t="s">
        <v>2</v>
      </c>
      <c r="G1193" s="2" t="str">
        <f t="shared" si="81"/>
        <v>https://www.oreht.ru/modules.php?name=orehtPriceLS&amp;op=Search&amp;page=1&amp;stext=417583</v>
      </c>
      <c r="I1193">
        <v>417583</v>
      </c>
      <c r="J1193" t="s">
        <v>2</v>
      </c>
      <c r="K1193" t="s">
        <v>3372</v>
      </c>
      <c r="L1193" t="s">
        <v>3373</v>
      </c>
      <c r="M1193" t="s">
        <v>3374</v>
      </c>
    </row>
    <row r="1194" spans="1:13" x14ac:dyDescent="0.25">
      <c r="A1194" s="24">
        <f t="shared" si="82"/>
        <v>20</v>
      </c>
      <c r="B1194" s="24">
        <v>12</v>
      </c>
      <c r="C1194" s="24">
        <v>41</v>
      </c>
      <c r="E1194" s="4">
        <v>419344</v>
      </c>
      <c r="F1194" s="2" t="s">
        <v>2</v>
      </c>
      <c r="G1194" s="2" t="str">
        <f t="shared" si="81"/>
        <v>https://www.oreht.ru/modules.php?name=orehtPriceLS&amp;op=Search&amp;page=1&amp;stext=419344</v>
      </c>
      <c r="I1194">
        <v>419344</v>
      </c>
      <c r="J1194" t="s">
        <v>2</v>
      </c>
      <c r="K1194" t="s">
        <v>3375</v>
      </c>
      <c r="L1194" t="s">
        <v>3376</v>
      </c>
      <c r="M1194" t="s">
        <v>649</v>
      </c>
    </row>
    <row r="1195" spans="1:13" x14ac:dyDescent="0.25">
      <c r="A1195" s="24">
        <f t="shared" si="82"/>
        <v>20</v>
      </c>
      <c r="B1195" s="24">
        <v>12</v>
      </c>
      <c r="C1195" s="24">
        <v>41</v>
      </c>
      <c r="E1195" s="4">
        <v>417584</v>
      </c>
      <c r="F1195" s="2" t="s">
        <v>2</v>
      </c>
      <c r="G1195" s="2" t="str">
        <f t="shared" si="81"/>
        <v>https://www.oreht.ru/modules.php?name=orehtPriceLS&amp;op=Search&amp;page=1&amp;stext=417584</v>
      </c>
      <c r="I1195">
        <v>417584</v>
      </c>
      <c r="J1195" t="s">
        <v>2</v>
      </c>
      <c r="K1195" t="s">
        <v>3377</v>
      </c>
      <c r="L1195" t="s">
        <v>3378</v>
      </c>
      <c r="M1195" t="s">
        <v>649</v>
      </c>
    </row>
    <row r="1196" spans="1:13" x14ac:dyDescent="0.25">
      <c r="A1196" s="24">
        <f t="shared" si="82"/>
        <v>20</v>
      </c>
      <c r="B1196" s="24">
        <v>12</v>
      </c>
      <c r="C1196" s="24">
        <v>41</v>
      </c>
      <c r="E1196" s="4">
        <v>453430</v>
      </c>
      <c r="F1196" s="2" t="s">
        <v>2</v>
      </c>
      <c r="G1196" s="2" t="str">
        <f t="shared" si="81"/>
        <v>https://www.oreht.ru/modules.php?name=orehtPriceLS&amp;op=Search&amp;page=1&amp;stext=453430</v>
      </c>
      <c r="I1196">
        <v>453430</v>
      </c>
      <c r="J1196" t="s">
        <v>2</v>
      </c>
      <c r="K1196" t="s">
        <v>3379</v>
      </c>
      <c r="L1196" t="s">
        <v>3380</v>
      </c>
      <c r="M1196" t="s">
        <v>649</v>
      </c>
    </row>
    <row r="1197" spans="1:13" x14ac:dyDescent="0.25">
      <c r="A1197" s="24">
        <f t="shared" si="82"/>
        <v>20</v>
      </c>
      <c r="B1197" s="24">
        <v>10</v>
      </c>
      <c r="C1197" s="24">
        <v>79</v>
      </c>
      <c r="E1197" s="4">
        <v>451470</v>
      </c>
      <c r="F1197" s="2" t="s">
        <v>2</v>
      </c>
      <c r="G1197" s="2" t="str">
        <f t="shared" si="81"/>
        <v>https://www.oreht.ru/modules.php?name=orehtPriceLS&amp;op=Search&amp;page=1&amp;stext=451470</v>
      </c>
      <c r="I1197">
        <v>451470</v>
      </c>
      <c r="J1197" t="s">
        <v>2</v>
      </c>
      <c r="K1197" t="s">
        <v>3381</v>
      </c>
      <c r="L1197" t="s">
        <v>3382</v>
      </c>
      <c r="M1197" t="s">
        <v>649</v>
      </c>
    </row>
    <row r="1198" spans="1:13" x14ac:dyDescent="0.25">
      <c r="A1198" s="24">
        <f t="shared" si="82"/>
        <v>20</v>
      </c>
      <c r="B1198" s="24">
        <v>12</v>
      </c>
      <c r="C1198" s="24">
        <v>40</v>
      </c>
      <c r="E1198" s="4">
        <v>419320</v>
      </c>
      <c r="F1198" s="2" t="s">
        <v>2</v>
      </c>
      <c r="G1198" s="2" t="str">
        <f t="shared" si="81"/>
        <v>https://www.oreht.ru/modules.php?name=orehtPriceLS&amp;op=Search&amp;page=1&amp;stext=419320</v>
      </c>
      <c r="I1198">
        <v>419320</v>
      </c>
      <c r="J1198" t="s">
        <v>2</v>
      </c>
      <c r="K1198" t="s">
        <v>3383</v>
      </c>
      <c r="L1198" t="s">
        <v>3384</v>
      </c>
      <c r="M1198" t="s">
        <v>649</v>
      </c>
    </row>
    <row r="1199" spans="1:13" hidden="1" x14ac:dyDescent="0.25">
      <c r="A1199" s="24">
        <f t="shared" si="82"/>
        <v>20</v>
      </c>
      <c r="B1199" s="24">
        <v>12</v>
      </c>
      <c r="C1199" s="24">
        <v>43</v>
      </c>
      <c r="E1199" s="4">
        <v>263927</v>
      </c>
      <c r="F1199" s="2" t="s">
        <v>2</v>
      </c>
      <c r="G1199" s="2" t="str">
        <f t="shared" si="81"/>
        <v>https://www.oreht.ru/modules.php?name=orehtPriceLS&amp;op=Search&amp;page=1&amp;stext=263927</v>
      </c>
      <c r="I1199">
        <v>263927</v>
      </c>
      <c r="J1199" t="s">
        <v>2</v>
      </c>
      <c r="K1199" t="s">
        <v>3385</v>
      </c>
      <c r="L1199" t="s">
        <v>3386</v>
      </c>
      <c r="M1199" t="s">
        <v>3387</v>
      </c>
    </row>
    <row r="1200" spans="1:13" x14ac:dyDescent="0.25">
      <c r="A1200" s="24">
        <f t="shared" si="82"/>
        <v>20</v>
      </c>
      <c r="B1200" s="24">
        <v>12</v>
      </c>
      <c r="C1200" s="24">
        <v>41</v>
      </c>
      <c r="E1200" s="4">
        <v>453437</v>
      </c>
      <c r="F1200" s="2" t="s">
        <v>2</v>
      </c>
      <c r="G1200" s="2" t="str">
        <f t="shared" si="81"/>
        <v>https://www.oreht.ru/modules.php?name=orehtPriceLS&amp;op=Search&amp;page=1&amp;stext=453437</v>
      </c>
      <c r="I1200">
        <v>453437</v>
      </c>
      <c r="J1200" t="s">
        <v>2</v>
      </c>
      <c r="K1200" t="s">
        <v>3388</v>
      </c>
      <c r="L1200" t="s">
        <v>3389</v>
      </c>
      <c r="M1200" t="s">
        <v>649</v>
      </c>
    </row>
    <row r="1201" spans="1:13" hidden="1" x14ac:dyDescent="0.25">
      <c r="A1201" s="24">
        <f t="shared" si="82"/>
        <v>20</v>
      </c>
      <c r="B1201" s="24">
        <v>12</v>
      </c>
      <c r="C1201" s="24">
        <v>40</v>
      </c>
      <c r="E1201" s="4">
        <v>453438</v>
      </c>
      <c r="F1201" s="2" t="s">
        <v>2</v>
      </c>
      <c r="G1201" s="2" t="str">
        <f t="shared" si="81"/>
        <v>https://www.oreht.ru/modules.php?name=orehtPriceLS&amp;op=Search&amp;page=1&amp;stext=453438</v>
      </c>
      <c r="I1201">
        <v>453438</v>
      </c>
      <c r="J1201" t="s">
        <v>2</v>
      </c>
      <c r="K1201" t="s">
        <v>3390</v>
      </c>
      <c r="L1201" t="s">
        <v>3391</v>
      </c>
      <c r="M1201" t="s">
        <v>3392</v>
      </c>
    </row>
    <row r="1202" spans="1:13" hidden="1" x14ac:dyDescent="0.25">
      <c r="A1202" s="24">
        <f t="shared" si="82"/>
        <v>20</v>
      </c>
      <c r="B1202" s="24">
        <v>12</v>
      </c>
      <c r="C1202" s="24">
        <v>40</v>
      </c>
      <c r="E1202" s="4">
        <v>417587</v>
      </c>
      <c r="F1202" s="2" t="s">
        <v>2</v>
      </c>
      <c r="G1202" s="2" t="str">
        <f t="shared" si="81"/>
        <v>https://www.oreht.ru/modules.php?name=orehtPriceLS&amp;op=Search&amp;page=1&amp;stext=417587</v>
      </c>
      <c r="I1202">
        <v>417587</v>
      </c>
      <c r="J1202" t="s">
        <v>2</v>
      </c>
      <c r="K1202" t="s">
        <v>3393</v>
      </c>
      <c r="L1202" t="s">
        <v>3394</v>
      </c>
      <c r="M1202" t="s">
        <v>3392</v>
      </c>
    </row>
    <row r="1203" spans="1:13" hidden="1" x14ac:dyDescent="0.25">
      <c r="A1203" s="24">
        <f t="shared" si="82"/>
        <v>20</v>
      </c>
      <c r="B1203" s="24">
        <v>10</v>
      </c>
      <c r="C1203" s="24">
        <v>41</v>
      </c>
      <c r="E1203" s="4">
        <v>227129</v>
      </c>
      <c r="F1203" s="2" t="s">
        <v>2</v>
      </c>
      <c r="G1203" s="2" t="str">
        <f t="shared" si="81"/>
        <v>https://www.oreht.ru/modules.php?name=orehtPriceLS&amp;op=Search&amp;page=1&amp;stext=227129</v>
      </c>
      <c r="I1203">
        <v>227129</v>
      </c>
      <c r="J1203" t="s">
        <v>2</v>
      </c>
      <c r="K1203" t="s">
        <v>3395</v>
      </c>
      <c r="L1203" t="s">
        <v>3396</v>
      </c>
      <c r="M1203" t="s">
        <v>3397</v>
      </c>
    </row>
    <row r="1204" spans="1:13" hidden="1" x14ac:dyDescent="0.25">
      <c r="A1204" s="24">
        <f t="shared" si="82"/>
        <v>20</v>
      </c>
      <c r="B1204" s="24">
        <v>12</v>
      </c>
      <c r="C1204" s="24">
        <v>40</v>
      </c>
      <c r="E1204" s="4">
        <v>264695</v>
      </c>
      <c r="F1204" s="2" t="s">
        <v>2</v>
      </c>
      <c r="G1204" s="2" t="str">
        <f t="shared" si="81"/>
        <v>https://www.oreht.ru/modules.php?name=orehtPriceLS&amp;op=Search&amp;page=1&amp;stext=264695</v>
      </c>
      <c r="I1204">
        <v>264695</v>
      </c>
      <c r="J1204" t="s">
        <v>2</v>
      </c>
      <c r="K1204" t="s">
        <v>3398</v>
      </c>
      <c r="L1204" t="s">
        <v>3399</v>
      </c>
      <c r="M1204" t="s">
        <v>3400</v>
      </c>
    </row>
    <row r="1205" spans="1:13" x14ac:dyDescent="0.25">
      <c r="A1205" s="24">
        <f t="shared" si="82"/>
        <v>20</v>
      </c>
      <c r="B1205" s="24">
        <v>12</v>
      </c>
      <c r="C1205" s="24">
        <v>70</v>
      </c>
      <c r="E1205" s="4">
        <v>453254</v>
      </c>
      <c r="F1205" s="2" t="s">
        <v>2</v>
      </c>
      <c r="G1205" s="2" t="str">
        <f t="shared" si="81"/>
        <v>https://www.oreht.ru/modules.php?name=orehtPriceLS&amp;op=Search&amp;page=1&amp;stext=453254</v>
      </c>
      <c r="I1205">
        <v>453254</v>
      </c>
      <c r="J1205" t="s">
        <v>2</v>
      </c>
      <c r="K1205" t="s">
        <v>3401</v>
      </c>
      <c r="L1205" t="s">
        <v>3402</v>
      </c>
      <c r="M1205" t="s">
        <v>649</v>
      </c>
    </row>
    <row r="1206" spans="1:13" hidden="1" x14ac:dyDescent="0.25">
      <c r="A1206" s="24">
        <f t="shared" si="82"/>
        <v>20</v>
      </c>
      <c r="B1206" s="24">
        <v>12</v>
      </c>
      <c r="C1206" s="24">
        <v>41</v>
      </c>
      <c r="E1206" s="4">
        <v>267756</v>
      </c>
      <c r="F1206" s="2" t="s">
        <v>2</v>
      </c>
      <c r="G1206" s="2" t="str">
        <f t="shared" si="81"/>
        <v>https://www.oreht.ru/modules.php?name=orehtPriceLS&amp;op=Search&amp;page=1&amp;stext=267756</v>
      </c>
      <c r="I1206">
        <v>267756</v>
      </c>
      <c r="J1206" t="s">
        <v>2</v>
      </c>
      <c r="K1206" t="s">
        <v>3403</v>
      </c>
      <c r="L1206" t="s">
        <v>3404</v>
      </c>
      <c r="M1206" t="s">
        <v>3405</v>
      </c>
    </row>
    <row r="1207" spans="1:13" hidden="1" x14ac:dyDescent="0.25">
      <c r="A1207" s="24">
        <f t="shared" si="82"/>
        <v>20</v>
      </c>
      <c r="B1207" s="24">
        <v>12</v>
      </c>
      <c r="C1207" s="24">
        <v>40</v>
      </c>
      <c r="E1207" s="4">
        <v>310761</v>
      </c>
      <c r="F1207" s="2" t="s">
        <v>2</v>
      </c>
      <c r="G1207" s="2" t="str">
        <f t="shared" si="81"/>
        <v>https://www.oreht.ru/modules.php?name=orehtPriceLS&amp;op=Search&amp;page=1&amp;stext=310761</v>
      </c>
      <c r="I1207">
        <v>310761</v>
      </c>
      <c r="J1207" t="s">
        <v>2</v>
      </c>
      <c r="K1207" t="s">
        <v>3406</v>
      </c>
      <c r="L1207" t="s">
        <v>3407</v>
      </c>
      <c r="M1207" t="s">
        <v>3408</v>
      </c>
    </row>
    <row r="1208" spans="1:13" hidden="1" x14ac:dyDescent="0.25">
      <c r="A1208" s="24">
        <f t="shared" si="82"/>
        <v>20</v>
      </c>
      <c r="B1208" s="24">
        <v>12</v>
      </c>
      <c r="C1208" s="24">
        <v>43</v>
      </c>
      <c r="E1208" s="4">
        <v>92463</v>
      </c>
      <c r="F1208" s="2" t="s">
        <v>2</v>
      </c>
      <c r="G1208" s="2" t="str">
        <f t="shared" si="81"/>
        <v>https://www.oreht.ru/modules.php?name=orehtPriceLS&amp;op=Search&amp;page=1&amp;stext=92463</v>
      </c>
      <c r="I1208">
        <v>92463</v>
      </c>
      <c r="J1208" t="s">
        <v>2</v>
      </c>
      <c r="K1208" t="s">
        <v>3409</v>
      </c>
      <c r="L1208" t="s">
        <v>3410</v>
      </c>
      <c r="M1208" t="s">
        <v>3411</v>
      </c>
    </row>
    <row r="1209" spans="1:13" hidden="1" x14ac:dyDescent="0.25">
      <c r="A1209" s="24">
        <f t="shared" si="82"/>
        <v>20</v>
      </c>
      <c r="B1209" s="24">
        <v>10</v>
      </c>
      <c r="C1209" s="24">
        <v>55</v>
      </c>
      <c r="E1209" s="4">
        <v>191810</v>
      </c>
      <c r="F1209" s="2" t="s">
        <v>2</v>
      </c>
      <c r="G1209" s="2" t="str">
        <f t="shared" si="81"/>
        <v>https://www.oreht.ru/modules.php?name=orehtPriceLS&amp;op=Search&amp;page=1&amp;stext=191810</v>
      </c>
      <c r="I1209">
        <v>191810</v>
      </c>
      <c r="J1209" t="s">
        <v>2</v>
      </c>
      <c r="K1209" t="s">
        <v>3412</v>
      </c>
      <c r="L1209" t="s">
        <v>3413</v>
      </c>
      <c r="M1209" t="s">
        <v>3414</v>
      </c>
    </row>
    <row r="1210" spans="1:13" hidden="1" x14ac:dyDescent="0.25">
      <c r="A1210" s="24">
        <f t="shared" si="82"/>
        <v>20</v>
      </c>
      <c r="B1210" s="24">
        <v>12</v>
      </c>
      <c r="C1210" s="24">
        <v>41</v>
      </c>
      <c r="E1210" s="4">
        <v>380279</v>
      </c>
      <c r="F1210" s="2" t="s">
        <v>2</v>
      </c>
      <c r="G1210" s="2" t="str">
        <f t="shared" si="81"/>
        <v>https://www.oreht.ru/modules.php?name=orehtPriceLS&amp;op=Search&amp;page=1&amp;stext=380279</v>
      </c>
      <c r="I1210">
        <v>380279</v>
      </c>
      <c r="J1210" t="s">
        <v>2</v>
      </c>
      <c r="K1210" t="s">
        <v>3415</v>
      </c>
      <c r="L1210" t="s">
        <v>3416</v>
      </c>
      <c r="M1210" t="s">
        <v>3417</v>
      </c>
    </row>
    <row r="1211" spans="1:13" x14ac:dyDescent="0.25">
      <c r="A1211" s="24">
        <f t="shared" si="82"/>
        <v>20</v>
      </c>
      <c r="B1211" s="24">
        <v>12</v>
      </c>
      <c r="C1211" s="24">
        <v>40</v>
      </c>
      <c r="E1211" s="4">
        <v>380027</v>
      </c>
      <c r="F1211" s="2" t="s">
        <v>2</v>
      </c>
      <c r="G1211" s="2" t="str">
        <f t="shared" si="81"/>
        <v>https://www.oreht.ru/modules.php?name=orehtPriceLS&amp;op=Search&amp;page=1&amp;stext=380027</v>
      </c>
      <c r="I1211">
        <v>380027</v>
      </c>
      <c r="J1211" t="s">
        <v>2</v>
      </c>
      <c r="K1211" t="s">
        <v>3418</v>
      </c>
      <c r="L1211" t="s">
        <v>3419</v>
      </c>
      <c r="M1211" t="s">
        <v>649</v>
      </c>
    </row>
    <row r="1212" spans="1:13" x14ac:dyDescent="0.25">
      <c r="A1212" s="24">
        <f t="shared" si="82"/>
        <v>20</v>
      </c>
      <c r="B1212" s="24">
        <v>12</v>
      </c>
      <c r="C1212" s="24">
        <v>42</v>
      </c>
      <c r="E1212" s="4">
        <v>453304</v>
      </c>
      <c r="F1212" s="2" t="s">
        <v>2</v>
      </c>
      <c r="G1212" s="2" t="str">
        <f t="shared" si="81"/>
        <v>https://www.oreht.ru/modules.php?name=orehtPriceLS&amp;op=Search&amp;page=1&amp;stext=453304</v>
      </c>
      <c r="I1212">
        <v>453304</v>
      </c>
      <c r="J1212" t="s">
        <v>2</v>
      </c>
      <c r="K1212" t="s">
        <v>3420</v>
      </c>
      <c r="L1212" t="s">
        <v>3421</v>
      </c>
      <c r="M1212" t="s">
        <v>649</v>
      </c>
    </row>
    <row r="1213" spans="1:13" hidden="1" x14ac:dyDescent="0.25">
      <c r="A1213" s="24">
        <f t="shared" si="82"/>
        <v>20</v>
      </c>
      <c r="B1213" s="24">
        <v>12</v>
      </c>
      <c r="C1213" s="24">
        <v>40</v>
      </c>
      <c r="E1213" s="4">
        <v>341295</v>
      </c>
      <c r="F1213" s="2" t="s">
        <v>2</v>
      </c>
      <c r="G1213" s="2" t="str">
        <f t="shared" si="81"/>
        <v>https://www.oreht.ru/modules.php?name=orehtPriceLS&amp;op=Search&amp;page=1&amp;stext=341295</v>
      </c>
      <c r="I1213">
        <v>341295</v>
      </c>
      <c r="J1213" t="s">
        <v>2</v>
      </c>
      <c r="K1213" t="s">
        <v>3422</v>
      </c>
      <c r="L1213" t="s">
        <v>3423</v>
      </c>
      <c r="M1213" t="s">
        <v>3424</v>
      </c>
    </row>
    <row r="1214" spans="1:13" hidden="1" x14ac:dyDescent="0.25">
      <c r="A1214" s="24">
        <f t="shared" si="82"/>
        <v>20</v>
      </c>
      <c r="B1214" s="24">
        <v>12</v>
      </c>
      <c r="C1214" s="24">
        <v>42</v>
      </c>
      <c r="E1214" s="4">
        <v>453305</v>
      </c>
      <c r="F1214" s="2" t="s">
        <v>2</v>
      </c>
      <c r="G1214" s="2" t="str">
        <f t="shared" si="81"/>
        <v>https://www.oreht.ru/modules.php?name=orehtPriceLS&amp;op=Search&amp;page=1&amp;stext=453305</v>
      </c>
      <c r="I1214">
        <v>453305</v>
      </c>
      <c r="J1214" t="s">
        <v>2</v>
      </c>
      <c r="K1214" t="s">
        <v>3425</v>
      </c>
      <c r="L1214" t="s">
        <v>3426</v>
      </c>
      <c r="M1214" t="s">
        <v>3427</v>
      </c>
    </row>
    <row r="1215" spans="1:13" x14ac:dyDescent="0.25">
      <c r="A1215" s="24">
        <f t="shared" si="82"/>
        <v>20</v>
      </c>
      <c r="B1215" s="24">
        <v>12</v>
      </c>
      <c r="C1215" s="24">
        <v>40</v>
      </c>
      <c r="E1215" s="4">
        <v>345606</v>
      </c>
      <c r="F1215" s="2" t="s">
        <v>2</v>
      </c>
      <c r="G1215" s="2" t="str">
        <f t="shared" si="81"/>
        <v>https://www.oreht.ru/modules.php?name=orehtPriceLS&amp;op=Search&amp;page=1&amp;stext=345606</v>
      </c>
      <c r="I1215">
        <v>345606</v>
      </c>
      <c r="J1215" t="s">
        <v>2</v>
      </c>
      <c r="K1215" t="s">
        <v>3428</v>
      </c>
      <c r="L1215" t="s">
        <v>3429</v>
      </c>
      <c r="M1215" t="s">
        <v>649</v>
      </c>
    </row>
    <row r="1216" spans="1:13" x14ac:dyDescent="0.25">
      <c r="A1216" s="24">
        <f t="shared" si="82"/>
        <v>20</v>
      </c>
      <c r="B1216" s="24">
        <v>10</v>
      </c>
      <c r="C1216" s="24">
        <v>55</v>
      </c>
      <c r="E1216" s="4">
        <v>417536</v>
      </c>
      <c r="F1216" s="2" t="s">
        <v>2</v>
      </c>
      <c r="G1216" s="2" t="str">
        <f t="shared" si="81"/>
        <v>https://www.oreht.ru/modules.php?name=orehtPriceLS&amp;op=Search&amp;page=1&amp;stext=417536</v>
      </c>
      <c r="I1216">
        <v>417536</v>
      </c>
      <c r="J1216" t="s">
        <v>2</v>
      </c>
      <c r="K1216" t="s">
        <v>3430</v>
      </c>
      <c r="L1216" t="s">
        <v>3431</v>
      </c>
      <c r="M1216" t="s">
        <v>649</v>
      </c>
    </row>
    <row r="1217" spans="1:13" hidden="1" x14ac:dyDescent="0.25">
      <c r="A1217" s="24">
        <f t="shared" si="82"/>
        <v>20</v>
      </c>
      <c r="B1217" s="24">
        <v>12</v>
      </c>
      <c r="C1217" s="24">
        <v>51</v>
      </c>
      <c r="E1217" s="4">
        <v>302369</v>
      </c>
      <c r="F1217" s="2" t="s">
        <v>2</v>
      </c>
      <c r="G1217" s="2" t="str">
        <f t="shared" si="81"/>
        <v>https://www.oreht.ru/modules.php?name=orehtPriceLS&amp;op=Search&amp;page=1&amp;stext=302369</v>
      </c>
      <c r="I1217">
        <v>302369</v>
      </c>
      <c r="J1217" t="s">
        <v>2</v>
      </c>
      <c r="K1217" t="s">
        <v>3432</v>
      </c>
      <c r="L1217" t="s">
        <v>3433</v>
      </c>
      <c r="M1217" t="s">
        <v>3434</v>
      </c>
    </row>
    <row r="1218" spans="1:13" x14ac:dyDescent="0.25">
      <c r="A1218" s="24">
        <f t="shared" si="82"/>
        <v>20</v>
      </c>
      <c r="B1218" s="24">
        <v>12</v>
      </c>
      <c r="C1218" s="24">
        <v>42</v>
      </c>
      <c r="E1218" s="4">
        <v>453294</v>
      </c>
      <c r="F1218" s="2" t="s">
        <v>2</v>
      </c>
      <c r="G1218" s="2" t="str">
        <f t="shared" ref="G1218:G1281" si="83">HYPERLINK(F1218&amp;E1218)</f>
        <v>https://www.oreht.ru/modules.php?name=orehtPriceLS&amp;op=Search&amp;page=1&amp;stext=453294</v>
      </c>
      <c r="I1218">
        <v>453294</v>
      </c>
      <c r="J1218" t="s">
        <v>2</v>
      </c>
      <c r="K1218" t="s">
        <v>3435</v>
      </c>
      <c r="L1218" t="s">
        <v>3436</v>
      </c>
      <c r="M1218" t="s">
        <v>649</v>
      </c>
    </row>
    <row r="1219" spans="1:13" x14ac:dyDescent="0.25">
      <c r="A1219" s="24">
        <f t="shared" si="82"/>
        <v>20</v>
      </c>
      <c r="B1219" s="24">
        <v>12</v>
      </c>
      <c r="C1219" s="24">
        <v>40</v>
      </c>
      <c r="E1219" s="4">
        <v>453426</v>
      </c>
      <c r="F1219" s="2" t="s">
        <v>2</v>
      </c>
      <c r="G1219" s="2" t="str">
        <f t="shared" si="83"/>
        <v>https://www.oreht.ru/modules.php?name=orehtPriceLS&amp;op=Search&amp;page=1&amp;stext=453426</v>
      </c>
      <c r="I1219">
        <v>453426</v>
      </c>
      <c r="J1219" t="s">
        <v>2</v>
      </c>
      <c r="K1219" t="s">
        <v>3437</v>
      </c>
      <c r="L1219" t="s">
        <v>3438</v>
      </c>
      <c r="M1219" t="s">
        <v>649</v>
      </c>
    </row>
    <row r="1220" spans="1:13" hidden="1" x14ac:dyDescent="0.25">
      <c r="A1220" s="24">
        <f t="shared" si="82"/>
        <v>20</v>
      </c>
      <c r="B1220" s="24">
        <v>12</v>
      </c>
      <c r="C1220" s="24">
        <v>40</v>
      </c>
      <c r="E1220" s="4">
        <v>453427</v>
      </c>
      <c r="F1220" s="2" t="s">
        <v>2</v>
      </c>
      <c r="G1220" s="2" t="str">
        <f t="shared" si="83"/>
        <v>https://www.oreht.ru/modules.php?name=orehtPriceLS&amp;op=Search&amp;page=1&amp;stext=453427</v>
      </c>
      <c r="I1220">
        <v>453427</v>
      </c>
      <c r="J1220" t="s">
        <v>2</v>
      </c>
      <c r="K1220" t="s">
        <v>3439</v>
      </c>
      <c r="L1220" t="s">
        <v>3440</v>
      </c>
      <c r="M1220" t="s">
        <v>3441</v>
      </c>
    </row>
    <row r="1221" spans="1:13" x14ac:dyDescent="0.25">
      <c r="A1221" s="24">
        <f t="shared" ref="A1221:A1284" si="84">IF(W1221*0.05&gt;=250,250,IF(W1221*0.05&gt;=20,IF(W1221*0.05&lt;20,20,W1221*0.05),20))</f>
        <v>20</v>
      </c>
      <c r="B1221" s="24">
        <v>12</v>
      </c>
      <c r="C1221" s="24">
        <v>41</v>
      </c>
      <c r="E1221" s="4">
        <v>453272</v>
      </c>
      <c r="F1221" s="2" t="s">
        <v>2</v>
      </c>
      <c r="G1221" s="2" t="str">
        <f t="shared" si="83"/>
        <v>https://www.oreht.ru/modules.php?name=orehtPriceLS&amp;op=Search&amp;page=1&amp;stext=453272</v>
      </c>
      <c r="I1221">
        <v>453272</v>
      </c>
      <c r="J1221" t="s">
        <v>2</v>
      </c>
      <c r="K1221" t="s">
        <v>3442</v>
      </c>
      <c r="L1221" t="s">
        <v>3443</v>
      </c>
      <c r="M1221" t="s">
        <v>649</v>
      </c>
    </row>
    <row r="1222" spans="1:13" x14ac:dyDescent="0.25">
      <c r="A1222" s="24">
        <f t="shared" si="84"/>
        <v>20</v>
      </c>
      <c r="B1222" s="24">
        <v>12</v>
      </c>
      <c r="C1222" s="24">
        <v>40</v>
      </c>
      <c r="E1222" s="4">
        <v>422434</v>
      </c>
      <c r="F1222" s="2" t="s">
        <v>2</v>
      </c>
      <c r="G1222" s="2" t="str">
        <f t="shared" si="83"/>
        <v>https://www.oreht.ru/modules.php?name=orehtPriceLS&amp;op=Search&amp;page=1&amp;stext=422434</v>
      </c>
      <c r="I1222">
        <v>422434</v>
      </c>
      <c r="J1222" t="s">
        <v>2</v>
      </c>
      <c r="K1222" t="s">
        <v>3444</v>
      </c>
      <c r="L1222" t="s">
        <v>3445</v>
      </c>
      <c r="M1222" t="s">
        <v>649</v>
      </c>
    </row>
    <row r="1223" spans="1:13" x14ac:dyDescent="0.25">
      <c r="A1223" s="24">
        <f t="shared" si="84"/>
        <v>20</v>
      </c>
      <c r="B1223" s="24">
        <v>12</v>
      </c>
      <c r="C1223" s="24">
        <v>43</v>
      </c>
      <c r="E1223" s="4">
        <v>453275</v>
      </c>
      <c r="F1223" s="2" t="s">
        <v>2</v>
      </c>
      <c r="G1223" s="2" t="str">
        <f t="shared" si="83"/>
        <v>https://www.oreht.ru/modules.php?name=orehtPriceLS&amp;op=Search&amp;page=1&amp;stext=453275</v>
      </c>
      <c r="I1223">
        <v>453275</v>
      </c>
      <c r="J1223" t="s">
        <v>2</v>
      </c>
      <c r="K1223" t="s">
        <v>3446</v>
      </c>
      <c r="L1223" t="s">
        <v>3447</v>
      </c>
      <c r="M1223" t="s">
        <v>649</v>
      </c>
    </row>
    <row r="1224" spans="1:13" x14ac:dyDescent="0.25">
      <c r="A1224" s="24">
        <f t="shared" si="84"/>
        <v>20</v>
      </c>
      <c r="B1224" s="24">
        <v>12</v>
      </c>
      <c r="C1224" s="24">
        <v>43</v>
      </c>
      <c r="E1224" s="4">
        <v>453274</v>
      </c>
      <c r="F1224" s="2" t="s">
        <v>2</v>
      </c>
      <c r="G1224" s="2" t="str">
        <f t="shared" si="83"/>
        <v>https://www.oreht.ru/modules.php?name=orehtPriceLS&amp;op=Search&amp;page=1&amp;stext=453274</v>
      </c>
      <c r="I1224">
        <v>453274</v>
      </c>
      <c r="J1224" t="s">
        <v>2</v>
      </c>
      <c r="K1224" t="s">
        <v>3448</v>
      </c>
      <c r="L1224" t="s">
        <v>3449</v>
      </c>
      <c r="M1224" t="s">
        <v>649</v>
      </c>
    </row>
    <row r="1225" spans="1:13" hidden="1" x14ac:dyDescent="0.25">
      <c r="A1225" s="24">
        <f t="shared" si="84"/>
        <v>20</v>
      </c>
      <c r="B1225" s="24">
        <v>12</v>
      </c>
      <c r="C1225" s="24">
        <v>43</v>
      </c>
      <c r="E1225" s="4">
        <v>417472</v>
      </c>
      <c r="F1225" s="2" t="s">
        <v>2</v>
      </c>
      <c r="G1225" s="2" t="str">
        <f t="shared" si="83"/>
        <v>https://www.oreht.ru/modules.php?name=orehtPriceLS&amp;op=Search&amp;page=1&amp;stext=417472</v>
      </c>
      <c r="I1225">
        <v>417472</v>
      </c>
      <c r="J1225" t="s">
        <v>2</v>
      </c>
      <c r="K1225" t="s">
        <v>3450</v>
      </c>
      <c r="L1225" t="s">
        <v>3451</v>
      </c>
      <c r="M1225" t="s">
        <v>3452</v>
      </c>
    </row>
    <row r="1226" spans="1:13" x14ac:dyDescent="0.25">
      <c r="A1226" s="24">
        <f t="shared" si="84"/>
        <v>20</v>
      </c>
      <c r="B1226" s="24">
        <v>12</v>
      </c>
      <c r="C1226" s="24">
        <v>42</v>
      </c>
      <c r="E1226" s="4">
        <v>342554</v>
      </c>
      <c r="F1226" s="2" t="s">
        <v>2</v>
      </c>
      <c r="G1226" s="2" t="str">
        <f t="shared" si="83"/>
        <v>https://www.oreht.ru/modules.php?name=orehtPriceLS&amp;op=Search&amp;page=1&amp;stext=342554</v>
      </c>
      <c r="I1226">
        <v>342554</v>
      </c>
      <c r="J1226" t="s">
        <v>2</v>
      </c>
      <c r="K1226" t="s">
        <v>3453</v>
      </c>
      <c r="L1226" t="s">
        <v>3454</v>
      </c>
      <c r="M1226" t="s">
        <v>649</v>
      </c>
    </row>
    <row r="1227" spans="1:13" hidden="1" x14ac:dyDescent="0.25">
      <c r="A1227" s="24">
        <f t="shared" si="84"/>
        <v>20</v>
      </c>
      <c r="B1227" s="24">
        <v>12</v>
      </c>
      <c r="C1227" s="24">
        <v>40</v>
      </c>
      <c r="E1227" s="4">
        <v>381825</v>
      </c>
      <c r="F1227" s="2" t="s">
        <v>2</v>
      </c>
      <c r="G1227" s="2" t="str">
        <f t="shared" si="83"/>
        <v>https://www.oreht.ru/modules.php?name=orehtPriceLS&amp;op=Search&amp;page=1&amp;stext=381825</v>
      </c>
      <c r="I1227">
        <v>381825</v>
      </c>
      <c r="J1227" t="s">
        <v>2</v>
      </c>
      <c r="K1227" t="s">
        <v>3455</v>
      </c>
      <c r="L1227" t="s">
        <v>3456</v>
      </c>
      <c r="M1227" t="s">
        <v>3457</v>
      </c>
    </row>
    <row r="1228" spans="1:13" hidden="1" x14ac:dyDescent="0.25">
      <c r="A1228" s="24">
        <f t="shared" si="84"/>
        <v>20</v>
      </c>
      <c r="B1228" s="24">
        <v>12</v>
      </c>
      <c r="C1228" s="24">
        <v>40</v>
      </c>
      <c r="E1228" s="4">
        <v>228378</v>
      </c>
      <c r="F1228" s="2" t="s">
        <v>2</v>
      </c>
      <c r="G1228" s="2" t="str">
        <f t="shared" si="83"/>
        <v>https://www.oreht.ru/modules.php?name=orehtPriceLS&amp;op=Search&amp;page=1&amp;stext=228378</v>
      </c>
      <c r="I1228">
        <v>228378</v>
      </c>
      <c r="J1228" t="s">
        <v>2</v>
      </c>
      <c r="K1228" t="s">
        <v>3458</v>
      </c>
      <c r="L1228" t="s">
        <v>3459</v>
      </c>
      <c r="M1228" t="s">
        <v>1108</v>
      </c>
    </row>
    <row r="1229" spans="1:13" x14ac:dyDescent="0.25">
      <c r="A1229" s="24">
        <f t="shared" si="84"/>
        <v>20</v>
      </c>
      <c r="B1229" s="24">
        <v>12</v>
      </c>
      <c r="C1229" s="24">
        <v>45</v>
      </c>
      <c r="E1229" s="4">
        <v>385194</v>
      </c>
      <c r="F1229" s="2" t="s">
        <v>2</v>
      </c>
      <c r="G1229" s="2" t="str">
        <f t="shared" si="83"/>
        <v>https://www.oreht.ru/modules.php?name=orehtPriceLS&amp;op=Search&amp;page=1&amp;stext=385194</v>
      </c>
      <c r="I1229">
        <v>385194</v>
      </c>
      <c r="J1229" t="s">
        <v>2</v>
      </c>
      <c r="K1229" t="s">
        <v>3460</v>
      </c>
      <c r="L1229" t="s">
        <v>3461</v>
      </c>
      <c r="M1229" t="s">
        <v>649</v>
      </c>
    </row>
    <row r="1230" spans="1:13" hidden="1" x14ac:dyDescent="0.25">
      <c r="A1230" s="24">
        <f t="shared" si="84"/>
        <v>20</v>
      </c>
      <c r="B1230" s="24">
        <v>12</v>
      </c>
      <c r="C1230" s="24">
        <v>40</v>
      </c>
      <c r="E1230" s="4">
        <v>419338</v>
      </c>
      <c r="F1230" s="2" t="s">
        <v>2</v>
      </c>
      <c r="G1230" s="2" t="str">
        <f t="shared" si="83"/>
        <v>https://www.oreht.ru/modules.php?name=orehtPriceLS&amp;op=Search&amp;page=1&amp;stext=419338</v>
      </c>
      <c r="I1230">
        <v>419338</v>
      </c>
      <c r="J1230" t="s">
        <v>2</v>
      </c>
      <c r="K1230" t="s">
        <v>3462</v>
      </c>
      <c r="L1230" t="s">
        <v>3463</v>
      </c>
      <c r="M1230" t="s">
        <v>3464</v>
      </c>
    </row>
    <row r="1231" spans="1:13" x14ac:dyDescent="0.25">
      <c r="A1231" s="24">
        <f t="shared" si="84"/>
        <v>20</v>
      </c>
      <c r="B1231" s="24">
        <v>12</v>
      </c>
      <c r="C1231" s="24">
        <v>40</v>
      </c>
      <c r="E1231" s="4">
        <v>419337</v>
      </c>
      <c r="F1231" s="2" t="s">
        <v>2</v>
      </c>
      <c r="G1231" s="2" t="str">
        <f t="shared" si="83"/>
        <v>https://www.oreht.ru/modules.php?name=orehtPriceLS&amp;op=Search&amp;page=1&amp;stext=419337</v>
      </c>
      <c r="I1231">
        <v>419337</v>
      </c>
      <c r="J1231" t="s">
        <v>2</v>
      </c>
      <c r="K1231" t="s">
        <v>3465</v>
      </c>
      <c r="L1231" t="s">
        <v>3466</v>
      </c>
      <c r="M1231" t="s">
        <v>649</v>
      </c>
    </row>
    <row r="1232" spans="1:13" hidden="1" x14ac:dyDescent="0.25">
      <c r="A1232" s="24">
        <f t="shared" si="84"/>
        <v>20</v>
      </c>
      <c r="B1232" s="24">
        <v>12</v>
      </c>
      <c r="C1232" s="24">
        <v>40</v>
      </c>
      <c r="E1232" s="4">
        <v>267771</v>
      </c>
      <c r="F1232" s="2" t="s">
        <v>2</v>
      </c>
      <c r="G1232" s="2" t="str">
        <f t="shared" si="83"/>
        <v>https://www.oreht.ru/modules.php?name=orehtPriceLS&amp;op=Search&amp;page=1&amp;stext=267771</v>
      </c>
      <c r="I1232">
        <v>267771</v>
      </c>
      <c r="J1232" t="s">
        <v>2</v>
      </c>
      <c r="K1232" t="s">
        <v>3467</v>
      </c>
      <c r="L1232" t="s">
        <v>3468</v>
      </c>
      <c r="M1232" t="s">
        <v>3469</v>
      </c>
    </row>
    <row r="1233" spans="1:13" hidden="1" x14ac:dyDescent="0.25">
      <c r="A1233" s="24">
        <f t="shared" si="84"/>
        <v>20</v>
      </c>
      <c r="B1233" s="24">
        <v>12</v>
      </c>
      <c r="C1233" s="24">
        <v>43</v>
      </c>
      <c r="E1233" s="4">
        <v>418776</v>
      </c>
      <c r="F1233" s="2" t="s">
        <v>2</v>
      </c>
      <c r="G1233" s="2" t="str">
        <f t="shared" si="83"/>
        <v>https://www.oreht.ru/modules.php?name=orehtPriceLS&amp;op=Search&amp;page=1&amp;stext=418776</v>
      </c>
      <c r="I1233">
        <v>418776</v>
      </c>
      <c r="J1233" t="s">
        <v>2</v>
      </c>
      <c r="K1233" t="s">
        <v>3470</v>
      </c>
      <c r="L1233" t="s">
        <v>3471</v>
      </c>
      <c r="M1233" t="s">
        <v>3472</v>
      </c>
    </row>
    <row r="1234" spans="1:13" x14ac:dyDescent="0.25">
      <c r="A1234" s="24">
        <f t="shared" si="84"/>
        <v>20</v>
      </c>
      <c r="B1234" s="24">
        <v>12</v>
      </c>
      <c r="C1234" s="24">
        <v>43</v>
      </c>
      <c r="E1234" s="4">
        <v>418777</v>
      </c>
      <c r="F1234" s="2" t="s">
        <v>2</v>
      </c>
      <c r="G1234" s="2" t="str">
        <f t="shared" si="83"/>
        <v>https://www.oreht.ru/modules.php?name=orehtPriceLS&amp;op=Search&amp;page=1&amp;stext=418777</v>
      </c>
      <c r="I1234">
        <v>418777</v>
      </c>
      <c r="J1234" t="s">
        <v>2</v>
      </c>
      <c r="K1234" t="s">
        <v>3473</v>
      </c>
      <c r="L1234" t="s">
        <v>3474</v>
      </c>
      <c r="M1234" t="s">
        <v>649</v>
      </c>
    </row>
    <row r="1235" spans="1:13" x14ac:dyDescent="0.25">
      <c r="A1235" s="24">
        <f t="shared" si="84"/>
        <v>20</v>
      </c>
      <c r="B1235" s="24">
        <v>12</v>
      </c>
      <c r="C1235" s="24">
        <v>45</v>
      </c>
      <c r="E1235" s="4">
        <v>417580</v>
      </c>
      <c r="F1235" s="2" t="s">
        <v>2</v>
      </c>
      <c r="G1235" s="2" t="str">
        <f t="shared" si="83"/>
        <v>https://www.oreht.ru/modules.php?name=orehtPriceLS&amp;op=Search&amp;page=1&amp;stext=417580</v>
      </c>
      <c r="I1235">
        <v>417580</v>
      </c>
      <c r="J1235" t="s">
        <v>2</v>
      </c>
      <c r="K1235" t="s">
        <v>3475</v>
      </c>
      <c r="L1235" t="s">
        <v>3476</v>
      </c>
      <c r="M1235" t="s">
        <v>649</v>
      </c>
    </row>
    <row r="1236" spans="1:13" x14ac:dyDescent="0.25">
      <c r="A1236" s="24">
        <f t="shared" si="84"/>
        <v>20</v>
      </c>
      <c r="B1236" s="24">
        <v>12</v>
      </c>
      <c r="C1236" s="24">
        <v>43</v>
      </c>
      <c r="E1236" s="4">
        <v>263871</v>
      </c>
      <c r="F1236" s="2" t="s">
        <v>2</v>
      </c>
      <c r="G1236" s="2" t="str">
        <f t="shared" si="83"/>
        <v>https://www.oreht.ru/modules.php?name=orehtPriceLS&amp;op=Search&amp;page=1&amp;stext=263871</v>
      </c>
      <c r="I1236">
        <v>263871</v>
      </c>
      <c r="J1236" t="s">
        <v>2</v>
      </c>
      <c r="K1236" t="s">
        <v>3477</v>
      </c>
      <c r="L1236" t="s">
        <v>3478</v>
      </c>
      <c r="M1236" t="s">
        <v>649</v>
      </c>
    </row>
    <row r="1237" spans="1:13" x14ac:dyDescent="0.25">
      <c r="A1237" s="24">
        <f t="shared" si="84"/>
        <v>20</v>
      </c>
      <c r="B1237" s="24">
        <v>12</v>
      </c>
      <c r="C1237" s="24">
        <v>42</v>
      </c>
      <c r="E1237" s="4">
        <v>418773</v>
      </c>
      <c r="F1237" s="2" t="s">
        <v>2</v>
      </c>
      <c r="G1237" s="2" t="str">
        <f t="shared" si="83"/>
        <v>https://www.oreht.ru/modules.php?name=orehtPriceLS&amp;op=Search&amp;page=1&amp;stext=418773</v>
      </c>
      <c r="I1237">
        <v>418773</v>
      </c>
      <c r="J1237" t="s">
        <v>2</v>
      </c>
      <c r="K1237" t="s">
        <v>3479</v>
      </c>
      <c r="L1237" t="s">
        <v>3480</v>
      </c>
      <c r="M1237" t="s">
        <v>649</v>
      </c>
    </row>
    <row r="1238" spans="1:13" x14ac:dyDescent="0.25">
      <c r="A1238" s="24">
        <f t="shared" si="84"/>
        <v>20</v>
      </c>
      <c r="B1238" s="24">
        <v>12</v>
      </c>
      <c r="C1238" s="24">
        <v>42</v>
      </c>
      <c r="E1238" s="4">
        <v>453281</v>
      </c>
      <c r="F1238" s="2" t="s">
        <v>2</v>
      </c>
      <c r="G1238" s="2" t="str">
        <f t="shared" si="83"/>
        <v>https://www.oreht.ru/modules.php?name=orehtPriceLS&amp;op=Search&amp;page=1&amp;stext=453281</v>
      </c>
      <c r="I1238">
        <v>453281</v>
      </c>
      <c r="J1238" t="s">
        <v>2</v>
      </c>
      <c r="K1238" t="s">
        <v>3481</v>
      </c>
      <c r="L1238" t="s">
        <v>3482</v>
      </c>
      <c r="M1238" t="s">
        <v>649</v>
      </c>
    </row>
    <row r="1239" spans="1:13" x14ac:dyDescent="0.25">
      <c r="A1239" s="24">
        <f t="shared" si="84"/>
        <v>20</v>
      </c>
      <c r="B1239" s="24">
        <v>12</v>
      </c>
      <c r="C1239" s="24">
        <v>42</v>
      </c>
      <c r="E1239" s="4">
        <v>453257</v>
      </c>
      <c r="F1239" s="2" t="s">
        <v>2</v>
      </c>
      <c r="G1239" s="2" t="str">
        <f t="shared" si="83"/>
        <v>https://www.oreht.ru/modules.php?name=orehtPriceLS&amp;op=Search&amp;page=1&amp;stext=453257</v>
      </c>
      <c r="I1239">
        <v>453257</v>
      </c>
      <c r="J1239" t="s">
        <v>2</v>
      </c>
      <c r="K1239" t="s">
        <v>3483</v>
      </c>
      <c r="L1239" t="s">
        <v>3484</v>
      </c>
      <c r="M1239" t="s">
        <v>649</v>
      </c>
    </row>
    <row r="1240" spans="1:13" hidden="1" x14ac:dyDescent="0.25">
      <c r="A1240" s="24">
        <f t="shared" si="84"/>
        <v>20</v>
      </c>
      <c r="B1240" s="24">
        <v>12</v>
      </c>
      <c r="C1240" s="24">
        <v>41</v>
      </c>
      <c r="E1240" s="4">
        <v>228375</v>
      </c>
      <c r="F1240" s="2" t="s">
        <v>2</v>
      </c>
      <c r="G1240" s="2" t="str">
        <f t="shared" si="83"/>
        <v>https://www.oreht.ru/modules.php?name=orehtPriceLS&amp;op=Search&amp;page=1&amp;stext=228375</v>
      </c>
      <c r="I1240">
        <v>228375</v>
      </c>
      <c r="J1240" t="s">
        <v>2</v>
      </c>
      <c r="K1240" t="s">
        <v>3485</v>
      </c>
      <c r="L1240" t="s">
        <v>3486</v>
      </c>
      <c r="M1240" t="s">
        <v>3487</v>
      </c>
    </row>
    <row r="1241" spans="1:13" hidden="1" x14ac:dyDescent="0.25">
      <c r="A1241" s="24">
        <f t="shared" si="84"/>
        <v>20</v>
      </c>
      <c r="B1241" s="24">
        <v>12</v>
      </c>
      <c r="C1241" s="24">
        <v>43</v>
      </c>
      <c r="E1241" s="4">
        <v>418464</v>
      </c>
      <c r="F1241" s="2" t="s">
        <v>2</v>
      </c>
      <c r="G1241" s="2" t="str">
        <f t="shared" si="83"/>
        <v>https://www.oreht.ru/modules.php?name=orehtPriceLS&amp;op=Search&amp;page=1&amp;stext=418464</v>
      </c>
      <c r="I1241">
        <v>418464</v>
      </c>
      <c r="J1241" t="s">
        <v>2</v>
      </c>
      <c r="K1241" t="s">
        <v>3488</v>
      </c>
      <c r="L1241" t="s">
        <v>3489</v>
      </c>
      <c r="M1241" t="s">
        <v>3490</v>
      </c>
    </row>
    <row r="1242" spans="1:13" x14ac:dyDescent="0.25">
      <c r="A1242" s="24">
        <f t="shared" si="84"/>
        <v>20</v>
      </c>
      <c r="B1242" s="24">
        <v>12</v>
      </c>
      <c r="C1242" s="24">
        <v>45</v>
      </c>
      <c r="E1242" s="4">
        <v>381822</v>
      </c>
      <c r="F1242" s="2" t="s">
        <v>2</v>
      </c>
      <c r="G1242" s="2" t="str">
        <f t="shared" si="83"/>
        <v>https://www.oreht.ru/modules.php?name=orehtPriceLS&amp;op=Search&amp;page=1&amp;stext=381822</v>
      </c>
      <c r="I1242">
        <v>381822</v>
      </c>
      <c r="J1242" t="s">
        <v>2</v>
      </c>
      <c r="K1242" t="s">
        <v>3491</v>
      </c>
      <c r="L1242" t="s">
        <v>3492</v>
      </c>
      <c r="M1242" t="s">
        <v>649</v>
      </c>
    </row>
    <row r="1243" spans="1:13" x14ac:dyDescent="0.25">
      <c r="A1243" s="24">
        <f t="shared" si="84"/>
        <v>20</v>
      </c>
      <c r="B1243" s="24">
        <v>12</v>
      </c>
      <c r="C1243" s="24">
        <v>42</v>
      </c>
      <c r="E1243" s="4">
        <v>422735</v>
      </c>
      <c r="F1243" s="2" t="s">
        <v>2</v>
      </c>
      <c r="G1243" s="2" t="str">
        <f t="shared" si="83"/>
        <v>https://www.oreht.ru/modules.php?name=orehtPriceLS&amp;op=Search&amp;page=1&amp;stext=422735</v>
      </c>
      <c r="I1243">
        <v>422735</v>
      </c>
      <c r="J1243" t="s">
        <v>2</v>
      </c>
      <c r="K1243" t="s">
        <v>3493</v>
      </c>
      <c r="L1243" t="s">
        <v>3494</v>
      </c>
      <c r="M1243" t="s">
        <v>649</v>
      </c>
    </row>
    <row r="1244" spans="1:13" hidden="1" x14ac:dyDescent="0.25">
      <c r="A1244" s="24">
        <f t="shared" si="84"/>
        <v>20</v>
      </c>
      <c r="B1244" s="24">
        <v>12</v>
      </c>
      <c r="C1244" s="24">
        <v>42</v>
      </c>
      <c r="E1244" s="4">
        <v>418461</v>
      </c>
      <c r="F1244" s="2" t="s">
        <v>2</v>
      </c>
      <c r="G1244" s="2" t="str">
        <f t="shared" si="83"/>
        <v>https://www.oreht.ru/modules.php?name=orehtPriceLS&amp;op=Search&amp;page=1&amp;stext=418461</v>
      </c>
      <c r="I1244">
        <v>418461</v>
      </c>
      <c r="J1244" t="s">
        <v>2</v>
      </c>
      <c r="K1244" t="s">
        <v>3495</v>
      </c>
      <c r="L1244" t="s">
        <v>3496</v>
      </c>
      <c r="M1244" t="s">
        <v>3497</v>
      </c>
    </row>
    <row r="1245" spans="1:13" x14ac:dyDescent="0.25">
      <c r="A1245" s="24">
        <f t="shared" si="84"/>
        <v>20</v>
      </c>
      <c r="B1245" s="24">
        <v>12</v>
      </c>
      <c r="C1245" s="24">
        <v>42</v>
      </c>
      <c r="E1245" s="4">
        <v>457751</v>
      </c>
      <c r="F1245" s="2" t="s">
        <v>2</v>
      </c>
      <c r="G1245" s="2" t="str">
        <f t="shared" si="83"/>
        <v>https://www.oreht.ru/modules.php?name=orehtPriceLS&amp;op=Search&amp;page=1&amp;stext=457751</v>
      </c>
      <c r="I1245">
        <v>457751</v>
      </c>
      <c r="J1245" t="s">
        <v>2</v>
      </c>
      <c r="K1245" t="s">
        <v>3498</v>
      </c>
      <c r="L1245" t="s">
        <v>3499</v>
      </c>
      <c r="M1245" t="s">
        <v>649</v>
      </c>
    </row>
    <row r="1246" spans="1:13" x14ac:dyDescent="0.25">
      <c r="A1246" s="24">
        <f t="shared" si="84"/>
        <v>20</v>
      </c>
      <c r="B1246" s="24">
        <v>12</v>
      </c>
      <c r="C1246" s="24">
        <v>42</v>
      </c>
      <c r="E1246" s="4">
        <v>341299</v>
      </c>
      <c r="F1246" s="2" t="s">
        <v>2</v>
      </c>
      <c r="G1246" s="2" t="str">
        <f t="shared" si="83"/>
        <v>https://www.oreht.ru/modules.php?name=orehtPriceLS&amp;op=Search&amp;page=1&amp;stext=341299</v>
      </c>
      <c r="I1246">
        <v>341299</v>
      </c>
      <c r="J1246" t="s">
        <v>2</v>
      </c>
      <c r="K1246" t="s">
        <v>3500</v>
      </c>
      <c r="L1246" t="s">
        <v>3501</v>
      </c>
      <c r="M1246" t="s">
        <v>649</v>
      </c>
    </row>
    <row r="1247" spans="1:13" x14ac:dyDescent="0.25">
      <c r="A1247" s="24">
        <f t="shared" si="84"/>
        <v>20</v>
      </c>
      <c r="B1247" s="24">
        <v>10</v>
      </c>
      <c r="C1247" s="24">
        <v>55</v>
      </c>
      <c r="E1247" s="4">
        <v>385167</v>
      </c>
      <c r="F1247" s="2" t="s">
        <v>2</v>
      </c>
      <c r="G1247" s="2" t="str">
        <f t="shared" si="83"/>
        <v>https://www.oreht.ru/modules.php?name=orehtPriceLS&amp;op=Search&amp;page=1&amp;stext=385167</v>
      </c>
      <c r="I1247">
        <v>385167</v>
      </c>
      <c r="J1247" t="s">
        <v>2</v>
      </c>
      <c r="K1247" t="s">
        <v>3502</v>
      </c>
      <c r="L1247" t="s">
        <v>3503</v>
      </c>
      <c r="M1247" t="s">
        <v>649</v>
      </c>
    </row>
    <row r="1248" spans="1:13" hidden="1" x14ac:dyDescent="0.25">
      <c r="A1248" s="24">
        <f t="shared" si="84"/>
        <v>20</v>
      </c>
      <c r="B1248" s="24">
        <v>10</v>
      </c>
      <c r="C1248" s="24">
        <v>41</v>
      </c>
      <c r="E1248" s="4">
        <v>227130</v>
      </c>
      <c r="F1248" s="2" t="s">
        <v>2</v>
      </c>
      <c r="G1248" s="2" t="str">
        <f t="shared" si="83"/>
        <v>https://www.oreht.ru/modules.php?name=orehtPriceLS&amp;op=Search&amp;page=1&amp;stext=227130</v>
      </c>
      <c r="I1248">
        <v>227130</v>
      </c>
      <c r="J1248" t="s">
        <v>2</v>
      </c>
      <c r="K1248" t="s">
        <v>3504</v>
      </c>
      <c r="L1248" t="s">
        <v>3505</v>
      </c>
      <c r="M1248" t="s">
        <v>3506</v>
      </c>
    </row>
    <row r="1249" spans="1:13" x14ac:dyDescent="0.25">
      <c r="A1249" s="24">
        <f t="shared" si="84"/>
        <v>20</v>
      </c>
      <c r="B1249" s="24">
        <v>12</v>
      </c>
      <c r="C1249" s="24">
        <v>42</v>
      </c>
      <c r="E1249" s="4">
        <v>422715</v>
      </c>
      <c r="F1249" s="2" t="s">
        <v>2</v>
      </c>
      <c r="G1249" s="2" t="str">
        <f t="shared" si="83"/>
        <v>https://www.oreht.ru/modules.php?name=orehtPriceLS&amp;op=Search&amp;page=1&amp;stext=422715</v>
      </c>
      <c r="I1249">
        <v>422715</v>
      </c>
      <c r="J1249" t="s">
        <v>2</v>
      </c>
      <c r="K1249" t="s">
        <v>3507</v>
      </c>
      <c r="L1249" t="s">
        <v>3508</v>
      </c>
      <c r="M1249" t="s">
        <v>649</v>
      </c>
    </row>
    <row r="1250" spans="1:13" x14ac:dyDescent="0.25">
      <c r="A1250" s="24">
        <f t="shared" si="84"/>
        <v>20</v>
      </c>
      <c r="B1250" s="24">
        <v>12</v>
      </c>
      <c r="C1250" s="24">
        <v>43</v>
      </c>
      <c r="E1250" s="4">
        <v>418454</v>
      </c>
      <c r="F1250" s="2" t="s">
        <v>2</v>
      </c>
      <c r="G1250" s="2" t="str">
        <f t="shared" si="83"/>
        <v>https://www.oreht.ru/modules.php?name=orehtPriceLS&amp;op=Search&amp;page=1&amp;stext=418454</v>
      </c>
      <c r="I1250">
        <v>418454</v>
      </c>
      <c r="J1250" t="s">
        <v>2</v>
      </c>
      <c r="K1250" t="s">
        <v>3509</v>
      </c>
      <c r="L1250" t="s">
        <v>3510</v>
      </c>
      <c r="M1250" t="s">
        <v>649</v>
      </c>
    </row>
    <row r="1251" spans="1:13" hidden="1" x14ac:dyDescent="0.25">
      <c r="A1251" s="24">
        <f t="shared" si="84"/>
        <v>20</v>
      </c>
      <c r="B1251" s="24">
        <v>12</v>
      </c>
      <c r="C1251" s="24">
        <v>41</v>
      </c>
      <c r="E1251" s="4">
        <v>191815</v>
      </c>
      <c r="F1251" s="2" t="s">
        <v>2</v>
      </c>
      <c r="G1251" s="2" t="str">
        <f t="shared" si="83"/>
        <v>https://www.oreht.ru/modules.php?name=orehtPriceLS&amp;op=Search&amp;page=1&amp;stext=191815</v>
      </c>
      <c r="I1251">
        <v>191815</v>
      </c>
      <c r="J1251" t="s">
        <v>2</v>
      </c>
      <c r="K1251" t="s">
        <v>3511</v>
      </c>
      <c r="L1251" t="s">
        <v>3512</v>
      </c>
      <c r="M1251" t="s">
        <v>3513</v>
      </c>
    </row>
    <row r="1252" spans="1:13" x14ac:dyDescent="0.25">
      <c r="A1252" s="24">
        <f t="shared" si="84"/>
        <v>20</v>
      </c>
      <c r="B1252" s="24">
        <v>12</v>
      </c>
      <c r="C1252" s="24">
        <v>41</v>
      </c>
      <c r="E1252" s="4">
        <v>227156</v>
      </c>
      <c r="F1252" s="2" t="s">
        <v>2</v>
      </c>
      <c r="G1252" s="2" t="str">
        <f t="shared" si="83"/>
        <v>https://www.oreht.ru/modules.php?name=orehtPriceLS&amp;op=Search&amp;page=1&amp;stext=227156</v>
      </c>
      <c r="I1252">
        <v>227156</v>
      </c>
      <c r="J1252" t="s">
        <v>2</v>
      </c>
      <c r="K1252" t="s">
        <v>3514</v>
      </c>
      <c r="L1252" t="s">
        <v>3515</v>
      </c>
      <c r="M1252" t="s">
        <v>649</v>
      </c>
    </row>
    <row r="1253" spans="1:13" x14ac:dyDescent="0.25">
      <c r="A1253" s="24">
        <f t="shared" si="84"/>
        <v>20</v>
      </c>
      <c r="B1253" s="24">
        <v>12</v>
      </c>
      <c r="C1253" s="24">
        <v>40</v>
      </c>
      <c r="E1253" s="4">
        <v>452107</v>
      </c>
      <c r="F1253" s="2" t="s">
        <v>2</v>
      </c>
      <c r="G1253" s="2" t="str">
        <f t="shared" si="83"/>
        <v>https://www.oreht.ru/modules.php?name=orehtPriceLS&amp;op=Search&amp;page=1&amp;stext=452107</v>
      </c>
      <c r="I1253">
        <v>452107</v>
      </c>
      <c r="J1253" t="s">
        <v>2</v>
      </c>
      <c r="K1253" t="s">
        <v>3516</v>
      </c>
      <c r="L1253" t="s">
        <v>3517</v>
      </c>
      <c r="M1253" t="s">
        <v>649</v>
      </c>
    </row>
    <row r="1254" spans="1:13" hidden="1" x14ac:dyDescent="0.25">
      <c r="A1254" s="24">
        <f t="shared" si="84"/>
        <v>20</v>
      </c>
      <c r="B1254" s="24">
        <v>10</v>
      </c>
      <c r="C1254" s="24">
        <v>55</v>
      </c>
      <c r="E1254" s="4">
        <v>385172</v>
      </c>
      <c r="F1254" s="2" t="s">
        <v>2</v>
      </c>
      <c r="G1254" s="2" t="str">
        <f t="shared" si="83"/>
        <v>https://www.oreht.ru/modules.php?name=orehtPriceLS&amp;op=Search&amp;page=1&amp;stext=385172</v>
      </c>
      <c r="I1254">
        <v>385172</v>
      </c>
      <c r="J1254" t="s">
        <v>2</v>
      </c>
      <c r="K1254" t="s">
        <v>3518</v>
      </c>
      <c r="L1254" t="s">
        <v>3519</v>
      </c>
      <c r="M1254" t="s">
        <v>3520</v>
      </c>
    </row>
    <row r="1255" spans="1:13" hidden="1" x14ac:dyDescent="0.25">
      <c r="A1255" s="24">
        <f t="shared" si="84"/>
        <v>20</v>
      </c>
      <c r="B1255" s="24">
        <v>10</v>
      </c>
      <c r="C1255" s="24">
        <v>55</v>
      </c>
      <c r="E1255" s="4">
        <v>417469</v>
      </c>
      <c r="F1255" s="2" t="s">
        <v>2</v>
      </c>
      <c r="G1255" s="2" t="str">
        <f t="shared" si="83"/>
        <v>https://www.oreht.ru/modules.php?name=orehtPriceLS&amp;op=Search&amp;page=1&amp;stext=417469</v>
      </c>
      <c r="I1255">
        <v>417469</v>
      </c>
      <c r="J1255" t="s">
        <v>2</v>
      </c>
      <c r="K1255" t="s">
        <v>3521</v>
      </c>
      <c r="L1255" t="s">
        <v>3522</v>
      </c>
      <c r="M1255" t="s">
        <v>3523</v>
      </c>
    </row>
    <row r="1256" spans="1:13" hidden="1" x14ac:dyDescent="0.25">
      <c r="A1256" s="24">
        <f t="shared" si="84"/>
        <v>20</v>
      </c>
      <c r="B1256" s="24">
        <v>12</v>
      </c>
      <c r="C1256" s="24">
        <v>40</v>
      </c>
      <c r="E1256" s="4">
        <v>267753</v>
      </c>
      <c r="F1256" s="2" t="s">
        <v>2</v>
      </c>
      <c r="G1256" s="2" t="str">
        <f t="shared" si="83"/>
        <v>https://www.oreht.ru/modules.php?name=orehtPriceLS&amp;op=Search&amp;page=1&amp;stext=267753</v>
      </c>
      <c r="I1256">
        <v>267753</v>
      </c>
      <c r="J1256" t="s">
        <v>2</v>
      </c>
      <c r="K1256" t="s">
        <v>3524</v>
      </c>
      <c r="L1256" t="s">
        <v>3525</v>
      </c>
      <c r="M1256" t="s">
        <v>3526</v>
      </c>
    </row>
    <row r="1257" spans="1:13" x14ac:dyDescent="0.25">
      <c r="A1257" s="24">
        <f t="shared" si="84"/>
        <v>20</v>
      </c>
      <c r="B1257" s="24">
        <v>12</v>
      </c>
      <c r="C1257" s="24">
        <v>42</v>
      </c>
      <c r="E1257" s="4">
        <v>422693</v>
      </c>
      <c r="F1257" s="2" t="s">
        <v>2</v>
      </c>
      <c r="G1257" s="2" t="str">
        <f t="shared" si="83"/>
        <v>https://www.oreht.ru/modules.php?name=orehtPriceLS&amp;op=Search&amp;page=1&amp;stext=422693</v>
      </c>
      <c r="I1257">
        <v>422693</v>
      </c>
      <c r="J1257" t="s">
        <v>2</v>
      </c>
      <c r="K1257" t="s">
        <v>3527</v>
      </c>
      <c r="L1257" t="s">
        <v>3528</v>
      </c>
      <c r="M1257" t="s">
        <v>649</v>
      </c>
    </row>
    <row r="1258" spans="1:13" x14ac:dyDescent="0.25">
      <c r="A1258" s="24">
        <f t="shared" si="84"/>
        <v>20</v>
      </c>
      <c r="B1258" s="24">
        <v>12</v>
      </c>
      <c r="C1258" s="24">
        <v>40</v>
      </c>
      <c r="E1258" s="4">
        <v>303835</v>
      </c>
      <c r="F1258" s="2" t="s">
        <v>2</v>
      </c>
      <c r="G1258" s="2" t="str">
        <f t="shared" si="83"/>
        <v>https://www.oreht.ru/modules.php?name=orehtPriceLS&amp;op=Search&amp;page=1&amp;stext=303835</v>
      </c>
      <c r="I1258">
        <v>303835</v>
      </c>
      <c r="J1258" t="s">
        <v>2</v>
      </c>
      <c r="K1258" t="s">
        <v>3529</v>
      </c>
      <c r="L1258" t="s">
        <v>3530</v>
      </c>
      <c r="M1258" t="s">
        <v>649</v>
      </c>
    </row>
    <row r="1259" spans="1:13" hidden="1" x14ac:dyDescent="0.25">
      <c r="A1259" s="24">
        <f t="shared" si="84"/>
        <v>20</v>
      </c>
      <c r="B1259" s="24">
        <v>12</v>
      </c>
      <c r="C1259" s="24">
        <v>42</v>
      </c>
      <c r="E1259" s="4">
        <v>418598</v>
      </c>
      <c r="F1259" s="2" t="s">
        <v>2</v>
      </c>
      <c r="G1259" s="2" t="str">
        <f t="shared" si="83"/>
        <v>https://www.oreht.ru/modules.php?name=orehtPriceLS&amp;op=Search&amp;page=1&amp;stext=418598</v>
      </c>
      <c r="I1259">
        <v>418598</v>
      </c>
      <c r="J1259" t="s">
        <v>2</v>
      </c>
      <c r="K1259" t="s">
        <v>3531</v>
      </c>
      <c r="L1259" t="s">
        <v>3532</v>
      </c>
      <c r="M1259" t="s">
        <v>3533</v>
      </c>
    </row>
    <row r="1260" spans="1:13" hidden="1" x14ac:dyDescent="0.25">
      <c r="A1260" s="24">
        <f t="shared" si="84"/>
        <v>20</v>
      </c>
      <c r="B1260" s="24">
        <v>12</v>
      </c>
      <c r="C1260" s="24">
        <v>41</v>
      </c>
      <c r="E1260" s="4">
        <v>452416</v>
      </c>
      <c r="F1260" s="2" t="s">
        <v>2</v>
      </c>
      <c r="G1260" s="2" t="str">
        <f t="shared" si="83"/>
        <v>https://www.oreht.ru/modules.php?name=orehtPriceLS&amp;op=Search&amp;page=1&amp;stext=452416</v>
      </c>
      <c r="I1260">
        <v>452416</v>
      </c>
      <c r="J1260" t="s">
        <v>2</v>
      </c>
      <c r="K1260" t="s">
        <v>3534</v>
      </c>
      <c r="L1260" t="s">
        <v>3535</v>
      </c>
      <c r="M1260" t="s">
        <v>3536</v>
      </c>
    </row>
    <row r="1261" spans="1:13" x14ac:dyDescent="0.25">
      <c r="A1261" s="24">
        <f t="shared" si="84"/>
        <v>20</v>
      </c>
      <c r="B1261" s="24">
        <v>12</v>
      </c>
      <c r="C1261" s="24">
        <v>42</v>
      </c>
      <c r="E1261" s="4">
        <v>342558</v>
      </c>
      <c r="F1261" s="2" t="s">
        <v>2</v>
      </c>
      <c r="G1261" s="2" t="str">
        <f t="shared" si="83"/>
        <v>https://www.oreht.ru/modules.php?name=orehtPriceLS&amp;op=Search&amp;page=1&amp;stext=342558</v>
      </c>
      <c r="I1261">
        <v>342558</v>
      </c>
      <c r="J1261" t="s">
        <v>2</v>
      </c>
      <c r="K1261" t="s">
        <v>3537</v>
      </c>
      <c r="L1261" t="s">
        <v>3538</v>
      </c>
      <c r="M1261" t="s">
        <v>649</v>
      </c>
    </row>
    <row r="1262" spans="1:13" x14ac:dyDescent="0.25">
      <c r="A1262" s="24">
        <f t="shared" si="84"/>
        <v>20</v>
      </c>
      <c r="B1262" s="24">
        <v>12</v>
      </c>
      <c r="C1262" s="24">
        <v>40</v>
      </c>
      <c r="E1262" s="4">
        <v>421071</v>
      </c>
      <c r="F1262" s="2" t="s">
        <v>2</v>
      </c>
      <c r="G1262" s="2" t="str">
        <f t="shared" si="83"/>
        <v>https://www.oreht.ru/modules.php?name=orehtPriceLS&amp;op=Search&amp;page=1&amp;stext=421071</v>
      </c>
      <c r="I1262">
        <v>421071</v>
      </c>
      <c r="J1262" t="s">
        <v>2</v>
      </c>
      <c r="K1262" t="s">
        <v>3539</v>
      </c>
      <c r="L1262" t="s">
        <v>3540</v>
      </c>
      <c r="M1262" t="s">
        <v>649</v>
      </c>
    </row>
    <row r="1263" spans="1:13" x14ac:dyDescent="0.25">
      <c r="A1263" s="24">
        <f t="shared" si="84"/>
        <v>20</v>
      </c>
      <c r="B1263" s="24">
        <v>12</v>
      </c>
      <c r="C1263" s="24">
        <v>41</v>
      </c>
      <c r="E1263" s="4">
        <v>387838</v>
      </c>
      <c r="F1263" s="2" t="s">
        <v>2</v>
      </c>
      <c r="G1263" s="2" t="str">
        <f t="shared" si="83"/>
        <v>https://www.oreht.ru/modules.php?name=orehtPriceLS&amp;op=Search&amp;page=1&amp;stext=387838</v>
      </c>
      <c r="I1263">
        <v>387838</v>
      </c>
      <c r="J1263" t="s">
        <v>2</v>
      </c>
      <c r="K1263" t="s">
        <v>3541</v>
      </c>
      <c r="L1263" t="s">
        <v>3542</v>
      </c>
      <c r="M1263" t="s">
        <v>649</v>
      </c>
    </row>
    <row r="1264" spans="1:13" x14ac:dyDescent="0.25">
      <c r="A1264" s="24">
        <f t="shared" si="84"/>
        <v>20</v>
      </c>
      <c r="B1264" s="24">
        <v>12</v>
      </c>
      <c r="C1264" s="24">
        <v>43</v>
      </c>
      <c r="E1264" s="4">
        <v>265937</v>
      </c>
      <c r="F1264" s="2" t="s">
        <v>2</v>
      </c>
      <c r="G1264" s="2" t="str">
        <f t="shared" si="83"/>
        <v>https://www.oreht.ru/modules.php?name=orehtPriceLS&amp;op=Search&amp;page=1&amp;stext=265937</v>
      </c>
      <c r="I1264">
        <v>265937</v>
      </c>
      <c r="J1264" t="s">
        <v>2</v>
      </c>
      <c r="K1264" t="s">
        <v>3543</v>
      </c>
      <c r="L1264" t="s">
        <v>3544</v>
      </c>
      <c r="M1264" t="s">
        <v>649</v>
      </c>
    </row>
    <row r="1265" spans="1:13" x14ac:dyDescent="0.25">
      <c r="A1265" s="24">
        <f t="shared" si="84"/>
        <v>20</v>
      </c>
      <c r="B1265" s="24">
        <v>12</v>
      </c>
      <c r="C1265" s="24">
        <v>43</v>
      </c>
      <c r="E1265" s="4">
        <v>419288</v>
      </c>
      <c r="F1265" s="2" t="s">
        <v>2</v>
      </c>
      <c r="G1265" s="2" t="str">
        <f t="shared" si="83"/>
        <v>https://www.oreht.ru/modules.php?name=orehtPriceLS&amp;op=Search&amp;page=1&amp;stext=419288</v>
      </c>
      <c r="I1265">
        <v>419288</v>
      </c>
      <c r="J1265" t="s">
        <v>2</v>
      </c>
      <c r="K1265" t="s">
        <v>3545</v>
      </c>
      <c r="L1265" t="s">
        <v>3546</v>
      </c>
      <c r="M1265" t="s">
        <v>649</v>
      </c>
    </row>
    <row r="1266" spans="1:13" x14ac:dyDescent="0.25">
      <c r="A1266" s="24">
        <f t="shared" si="84"/>
        <v>20</v>
      </c>
      <c r="B1266" s="24">
        <v>12</v>
      </c>
      <c r="C1266" s="24">
        <v>40</v>
      </c>
      <c r="E1266" s="4">
        <v>420952</v>
      </c>
      <c r="F1266" s="2" t="s">
        <v>2</v>
      </c>
      <c r="G1266" s="2" t="str">
        <f t="shared" si="83"/>
        <v>https://www.oreht.ru/modules.php?name=orehtPriceLS&amp;op=Search&amp;page=1&amp;stext=420952</v>
      </c>
      <c r="I1266">
        <v>420952</v>
      </c>
      <c r="J1266" t="s">
        <v>2</v>
      </c>
      <c r="K1266" t="s">
        <v>3547</v>
      </c>
      <c r="L1266" t="s">
        <v>3548</v>
      </c>
      <c r="M1266" t="s">
        <v>649</v>
      </c>
    </row>
    <row r="1267" spans="1:13" x14ac:dyDescent="0.25">
      <c r="A1267" s="24">
        <f t="shared" si="84"/>
        <v>20</v>
      </c>
      <c r="B1267" s="24">
        <v>12</v>
      </c>
      <c r="C1267" s="24">
        <v>40</v>
      </c>
      <c r="E1267" s="4">
        <v>419336</v>
      </c>
      <c r="F1267" s="2" t="s">
        <v>2</v>
      </c>
      <c r="G1267" s="2" t="str">
        <f t="shared" si="83"/>
        <v>https://www.oreht.ru/modules.php?name=orehtPriceLS&amp;op=Search&amp;page=1&amp;stext=419336</v>
      </c>
      <c r="I1267">
        <v>419336</v>
      </c>
      <c r="J1267" t="s">
        <v>2</v>
      </c>
      <c r="K1267" t="s">
        <v>3549</v>
      </c>
      <c r="L1267" t="s">
        <v>3550</v>
      </c>
      <c r="M1267" t="s">
        <v>649</v>
      </c>
    </row>
    <row r="1268" spans="1:13" x14ac:dyDescent="0.25">
      <c r="A1268" s="24">
        <f t="shared" si="84"/>
        <v>20</v>
      </c>
      <c r="B1268" s="24">
        <v>12</v>
      </c>
      <c r="C1268" s="24">
        <v>40</v>
      </c>
      <c r="E1268" s="4">
        <v>456028</v>
      </c>
      <c r="F1268" s="2" t="s">
        <v>2</v>
      </c>
      <c r="G1268" s="2" t="str">
        <f t="shared" si="83"/>
        <v>https://www.oreht.ru/modules.php?name=orehtPriceLS&amp;op=Search&amp;page=1&amp;stext=456028</v>
      </c>
      <c r="I1268">
        <v>456028</v>
      </c>
      <c r="J1268" t="s">
        <v>2</v>
      </c>
      <c r="K1268" t="s">
        <v>3551</v>
      </c>
      <c r="L1268" t="s">
        <v>3552</v>
      </c>
      <c r="M1268" t="s">
        <v>649</v>
      </c>
    </row>
    <row r="1269" spans="1:13" x14ac:dyDescent="0.25">
      <c r="A1269" s="24">
        <f t="shared" si="84"/>
        <v>20</v>
      </c>
      <c r="B1269" s="24">
        <v>12</v>
      </c>
      <c r="C1269" s="24">
        <v>41</v>
      </c>
      <c r="E1269" s="4">
        <v>453251</v>
      </c>
      <c r="F1269" s="2" t="s">
        <v>2</v>
      </c>
      <c r="G1269" s="2" t="str">
        <f t="shared" si="83"/>
        <v>https://www.oreht.ru/modules.php?name=orehtPriceLS&amp;op=Search&amp;page=1&amp;stext=453251</v>
      </c>
      <c r="I1269">
        <v>453251</v>
      </c>
      <c r="J1269" t="s">
        <v>2</v>
      </c>
      <c r="K1269" t="s">
        <v>3553</v>
      </c>
      <c r="L1269" t="s">
        <v>3554</v>
      </c>
      <c r="M1269" t="s">
        <v>649</v>
      </c>
    </row>
    <row r="1270" spans="1:13" x14ac:dyDescent="0.25">
      <c r="A1270" s="24">
        <f t="shared" si="84"/>
        <v>20</v>
      </c>
      <c r="B1270" s="24">
        <v>12</v>
      </c>
      <c r="C1270" s="24">
        <v>40</v>
      </c>
      <c r="E1270" s="4">
        <v>456027</v>
      </c>
      <c r="F1270" s="2" t="s">
        <v>2</v>
      </c>
      <c r="G1270" s="2" t="str">
        <f t="shared" si="83"/>
        <v>https://www.oreht.ru/modules.php?name=orehtPriceLS&amp;op=Search&amp;page=1&amp;stext=456027</v>
      </c>
      <c r="I1270">
        <v>456027</v>
      </c>
      <c r="J1270" t="s">
        <v>2</v>
      </c>
      <c r="K1270" t="s">
        <v>3555</v>
      </c>
      <c r="L1270" t="s">
        <v>3556</v>
      </c>
      <c r="M1270" t="s">
        <v>649</v>
      </c>
    </row>
    <row r="1271" spans="1:13" hidden="1" x14ac:dyDescent="0.25">
      <c r="A1271" s="24">
        <f t="shared" si="84"/>
        <v>20</v>
      </c>
      <c r="B1271" s="24">
        <v>12</v>
      </c>
      <c r="C1271" s="24">
        <v>42</v>
      </c>
      <c r="E1271" s="4">
        <v>453729</v>
      </c>
      <c r="F1271" s="2" t="s">
        <v>2</v>
      </c>
      <c r="G1271" s="2" t="str">
        <f t="shared" si="83"/>
        <v>https://www.oreht.ru/modules.php?name=orehtPriceLS&amp;op=Search&amp;page=1&amp;stext=453729</v>
      </c>
      <c r="I1271">
        <v>453729</v>
      </c>
      <c r="J1271" t="s">
        <v>2</v>
      </c>
      <c r="K1271" t="s">
        <v>3557</v>
      </c>
      <c r="L1271" t="s">
        <v>3558</v>
      </c>
      <c r="M1271" t="s">
        <v>3559</v>
      </c>
    </row>
    <row r="1272" spans="1:13" x14ac:dyDescent="0.25">
      <c r="A1272" s="24">
        <f t="shared" si="84"/>
        <v>20</v>
      </c>
      <c r="B1272" s="24">
        <v>12</v>
      </c>
      <c r="C1272" s="24">
        <v>41</v>
      </c>
      <c r="E1272" s="4">
        <v>263877</v>
      </c>
      <c r="F1272" s="2" t="s">
        <v>2</v>
      </c>
      <c r="G1272" s="2" t="str">
        <f t="shared" si="83"/>
        <v>https://www.oreht.ru/modules.php?name=orehtPriceLS&amp;op=Search&amp;page=1&amp;stext=263877</v>
      </c>
      <c r="I1272">
        <v>263877</v>
      </c>
      <c r="J1272" t="s">
        <v>2</v>
      </c>
      <c r="K1272" t="s">
        <v>3560</v>
      </c>
      <c r="L1272" t="s">
        <v>3561</v>
      </c>
      <c r="M1272" t="s">
        <v>649</v>
      </c>
    </row>
    <row r="1273" spans="1:13" x14ac:dyDescent="0.25">
      <c r="A1273" s="24">
        <f t="shared" si="84"/>
        <v>20</v>
      </c>
      <c r="B1273" s="24">
        <v>12</v>
      </c>
      <c r="C1273" s="24">
        <v>42</v>
      </c>
      <c r="E1273" s="4">
        <v>263882</v>
      </c>
      <c r="F1273" s="2" t="s">
        <v>2</v>
      </c>
      <c r="G1273" s="2" t="str">
        <f t="shared" si="83"/>
        <v>https://www.oreht.ru/modules.php?name=orehtPriceLS&amp;op=Search&amp;page=1&amp;stext=263882</v>
      </c>
      <c r="I1273">
        <v>263882</v>
      </c>
      <c r="J1273" t="s">
        <v>2</v>
      </c>
      <c r="K1273" t="s">
        <v>3562</v>
      </c>
      <c r="L1273" t="s">
        <v>3563</v>
      </c>
      <c r="M1273" t="s">
        <v>649</v>
      </c>
    </row>
    <row r="1274" spans="1:13" hidden="1" x14ac:dyDescent="0.25">
      <c r="A1274" s="24">
        <f t="shared" si="84"/>
        <v>20</v>
      </c>
      <c r="B1274" s="24">
        <v>10</v>
      </c>
      <c r="C1274" s="24">
        <v>55</v>
      </c>
      <c r="E1274" s="4">
        <v>345882</v>
      </c>
      <c r="F1274" s="2" t="s">
        <v>2</v>
      </c>
      <c r="G1274" s="2" t="str">
        <f t="shared" si="83"/>
        <v>https://www.oreht.ru/modules.php?name=orehtPriceLS&amp;op=Search&amp;page=1&amp;stext=345882</v>
      </c>
      <c r="I1274">
        <v>345882</v>
      </c>
      <c r="J1274" t="s">
        <v>2</v>
      </c>
      <c r="K1274" t="s">
        <v>3564</v>
      </c>
      <c r="L1274" t="s">
        <v>3565</v>
      </c>
      <c r="M1274" t="s">
        <v>3566</v>
      </c>
    </row>
    <row r="1275" spans="1:13" hidden="1" x14ac:dyDescent="0.25">
      <c r="A1275" s="24">
        <f t="shared" si="84"/>
        <v>20</v>
      </c>
      <c r="B1275" s="24">
        <v>12</v>
      </c>
      <c r="C1275" s="24">
        <v>125</v>
      </c>
      <c r="E1275" s="4">
        <v>350986</v>
      </c>
      <c r="F1275" s="2" t="s">
        <v>2</v>
      </c>
      <c r="G1275" s="2" t="str">
        <f t="shared" si="83"/>
        <v>https://www.oreht.ru/modules.php?name=orehtPriceLS&amp;op=Search&amp;page=1&amp;stext=350986</v>
      </c>
      <c r="I1275">
        <v>350986</v>
      </c>
      <c r="J1275" t="s">
        <v>2</v>
      </c>
      <c r="K1275" t="s">
        <v>3567</v>
      </c>
      <c r="L1275" t="s">
        <v>3568</v>
      </c>
      <c r="M1275" t="s">
        <v>2986</v>
      </c>
    </row>
    <row r="1276" spans="1:13" x14ac:dyDescent="0.25">
      <c r="A1276" s="24">
        <f t="shared" si="84"/>
        <v>20</v>
      </c>
      <c r="B1276" s="24">
        <v>12</v>
      </c>
      <c r="C1276" s="24">
        <v>218.94</v>
      </c>
      <c r="E1276" s="4">
        <v>406677</v>
      </c>
      <c r="F1276" s="2" t="s">
        <v>2</v>
      </c>
      <c r="G1276" s="2" t="str">
        <f t="shared" si="83"/>
        <v>https://www.oreht.ru/modules.php?name=orehtPriceLS&amp;op=Search&amp;page=1&amp;stext=406677</v>
      </c>
      <c r="I1276">
        <v>406677</v>
      </c>
      <c r="J1276" t="s">
        <v>2</v>
      </c>
      <c r="K1276" t="s">
        <v>3569</v>
      </c>
      <c r="L1276" t="s">
        <v>3570</v>
      </c>
      <c r="M1276" t="s">
        <v>649</v>
      </c>
    </row>
    <row r="1277" spans="1:13" hidden="1" x14ac:dyDescent="0.25">
      <c r="A1277" s="24">
        <f t="shared" si="84"/>
        <v>20</v>
      </c>
      <c r="B1277" s="24">
        <v>12</v>
      </c>
      <c r="C1277" s="24">
        <v>208.68</v>
      </c>
      <c r="E1277" s="4">
        <v>420859</v>
      </c>
      <c r="F1277" s="2" t="s">
        <v>2</v>
      </c>
      <c r="G1277" s="2" t="str">
        <f t="shared" si="83"/>
        <v>https://www.oreht.ru/modules.php?name=orehtPriceLS&amp;op=Search&amp;page=1&amp;stext=420859</v>
      </c>
      <c r="I1277">
        <v>420859</v>
      </c>
      <c r="J1277" t="s">
        <v>2</v>
      </c>
      <c r="K1277" t="s">
        <v>3571</v>
      </c>
      <c r="L1277" t="s">
        <v>3572</v>
      </c>
      <c r="M1277" t="s">
        <v>3573</v>
      </c>
    </row>
    <row r="1278" spans="1:13" hidden="1" x14ac:dyDescent="0.25">
      <c r="A1278" s="24">
        <f t="shared" si="84"/>
        <v>20</v>
      </c>
      <c r="B1278" s="24">
        <v>12</v>
      </c>
      <c r="C1278" s="24">
        <v>214.56</v>
      </c>
      <c r="E1278" s="4">
        <v>389632</v>
      </c>
      <c r="F1278" s="2" t="s">
        <v>2</v>
      </c>
      <c r="G1278" s="2" t="str">
        <f t="shared" si="83"/>
        <v>https://www.oreht.ru/modules.php?name=orehtPriceLS&amp;op=Search&amp;page=1&amp;stext=389632</v>
      </c>
      <c r="I1278">
        <v>389632</v>
      </c>
      <c r="J1278" t="s">
        <v>2</v>
      </c>
      <c r="K1278" t="s">
        <v>3574</v>
      </c>
      <c r="L1278" t="s">
        <v>3575</v>
      </c>
      <c r="M1278" t="s">
        <v>3576</v>
      </c>
    </row>
    <row r="1279" spans="1:13" hidden="1" x14ac:dyDescent="0.25">
      <c r="A1279" s="24">
        <f t="shared" si="84"/>
        <v>20</v>
      </c>
      <c r="B1279" s="24">
        <v>12</v>
      </c>
      <c r="C1279" s="24">
        <v>200</v>
      </c>
      <c r="E1279" s="4">
        <v>456023</v>
      </c>
      <c r="F1279" s="2" t="s">
        <v>2</v>
      </c>
      <c r="G1279" s="2" t="str">
        <f t="shared" si="83"/>
        <v>https://www.oreht.ru/modules.php?name=orehtPriceLS&amp;op=Search&amp;page=1&amp;stext=456023</v>
      </c>
      <c r="I1279">
        <v>456023</v>
      </c>
      <c r="J1279" t="s">
        <v>2</v>
      </c>
      <c r="K1279" t="s">
        <v>3577</v>
      </c>
      <c r="L1279" t="s">
        <v>3578</v>
      </c>
      <c r="M1279" t="s">
        <v>2961</v>
      </c>
    </row>
    <row r="1280" spans="1:13" hidden="1" x14ac:dyDescent="0.25">
      <c r="A1280" s="24">
        <f t="shared" si="84"/>
        <v>20</v>
      </c>
      <c r="B1280" s="24">
        <v>12</v>
      </c>
      <c r="C1280" s="24">
        <v>210.3</v>
      </c>
      <c r="E1280" s="4">
        <v>242339</v>
      </c>
      <c r="F1280" s="2" t="s">
        <v>2</v>
      </c>
      <c r="G1280" s="2" t="str">
        <f t="shared" si="83"/>
        <v>https://www.oreht.ru/modules.php?name=orehtPriceLS&amp;op=Search&amp;page=1&amp;stext=242339</v>
      </c>
      <c r="I1280">
        <v>242339</v>
      </c>
      <c r="J1280" t="s">
        <v>2</v>
      </c>
      <c r="K1280" t="s">
        <v>3579</v>
      </c>
      <c r="L1280" t="s">
        <v>3580</v>
      </c>
      <c r="M1280" t="s">
        <v>3581</v>
      </c>
    </row>
    <row r="1281" spans="1:13" hidden="1" x14ac:dyDescent="0.25">
      <c r="A1281" s="24">
        <f t="shared" si="84"/>
        <v>20</v>
      </c>
      <c r="B1281" s="24">
        <v>12</v>
      </c>
      <c r="C1281" s="24">
        <v>125</v>
      </c>
      <c r="E1281" s="4">
        <v>219864</v>
      </c>
      <c r="F1281" s="2" t="s">
        <v>2</v>
      </c>
      <c r="G1281" s="2" t="str">
        <f t="shared" si="83"/>
        <v>https://www.oreht.ru/modules.php?name=orehtPriceLS&amp;op=Search&amp;page=1&amp;stext=219864</v>
      </c>
      <c r="I1281">
        <v>219864</v>
      </c>
      <c r="J1281" t="s">
        <v>2</v>
      </c>
      <c r="K1281" t="s">
        <v>3582</v>
      </c>
      <c r="L1281" t="s">
        <v>3583</v>
      </c>
      <c r="M1281" t="s">
        <v>3584</v>
      </c>
    </row>
    <row r="1282" spans="1:13" hidden="1" x14ac:dyDescent="0.25">
      <c r="A1282" s="24">
        <f t="shared" si="84"/>
        <v>20</v>
      </c>
      <c r="B1282" s="24">
        <v>12</v>
      </c>
      <c r="C1282" s="24">
        <v>227.4</v>
      </c>
      <c r="E1282" s="4">
        <v>448605</v>
      </c>
      <c r="F1282" s="2" t="s">
        <v>2</v>
      </c>
      <c r="G1282" s="2" t="str">
        <f t="shared" ref="G1282:G1345" si="85">HYPERLINK(F1282&amp;E1282)</f>
        <v>https://www.oreht.ru/modules.php?name=orehtPriceLS&amp;op=Search&amp;page=1&amp;stext=448605</v>
      </c>
      <c r="I1282">
        <v>448605</v>
      </c>
      <c r="J1282" t="s">
        <v>2</v>
      </c>
      <c r="K1282" t="s">
        <v>3585</v>
      </c>
      <c r="L1282" t="s">
        <v>3586</v>
      </c>
      <c r="M1282" t="s">
        <v>3587</v>
      </c>
    </row>
    <row r="1283" spans="1:13" hidden="1" x14ac:dyDescent="0.25">
      <c r="A1283" s="24">
        <f t="shared" si="84"/>
        <v>20</v>
      </c>
      <c r="B1283" s="24">
        <v>12</v>
      </c>
      <c r="C1283" s="24">
        <v>175.26</v>
      </c>
      <c r="E1283" s="4">
        <v>330789</v>
      </c>
      <c r="F1283" s="2" t="s">
        <v>2</v>
      </c>
      <c r="G1283" s="2" t="str">
        <f t="shared" si="85"/>
        <v>https://www.oreht.ru/modules.php?name=orehtPriceLS&amp;op=Search&amp;page=1&amp;stext=330789</v>
      </c>
      <c r="I1283">
        <v>330789</v>
      </c>
      <c r="J1283" t="s">
        <v>2</v>
      </c>
      <c r="K1283" t="s">
        <v>3588</v>
      </c>
      <c r="L1283" t="s">
        <v>3589</v>
      </c>
      <c r="M1283" t="s">
        <v>3590</v>
      </c>
    </row>
    <row r="1284" spans="1:13" hidden="1" x14ac:dyDescent="0.25">
      <c r="A1284" s="24">
        <f t="shared" si="84"/>
        <v>20</v>
      </c>
      <c r="B1284" s="24">
        <v>12</v>
      </c>
      <c r="C1284" s="24">
        <v>175.44</v>
      </c>
      <c r="E1284" s="4">
        <v>330790</v>
      </c>
      <c r="F1284" s="2" t="s">
        <v>2</v>
      </c>
      <c r="G1284" s="2" t="str">
        <f t="shared" si="85"/>
        <v>https://www.oreht.ru/modules.php?name=orehtPriceLS&amp;op=Search&amp;page=1&amp;stext=330790</v>
      </c>
      <c r="I1284">
        <v>330790</v>
      </c>
      <c r="J1284" t="s">
        <v>2</v>
      </c>
      <c r="K1284" t="s">
        <v>3591</v>
      </c>
      <c r="L1284" t="s">
        <v>3592</v>
      </c>
      <c r="M1284" t="s">
        <v>3590</v>
      </c>
    </row>
    <row r="1285" spans="1:13" hidden="1" x14ac:dyDescent="0.25">
      <c r="A1285" s="24">
        <f t="shared" ref="A1285:A1348" si="86">IF(W1285*0.05&gt;=250,250,IF(W1285*0.05&gt;=20,IF(W1285*0.05&lt;20,20,W1285*0.05),20))</f>
        <v>20</v>
      </c>
      <c r="B1285" s="24">
        <v>12</v>
      </c>
      <c r="C1285" s="24">
        <v>190</v>
      </c>
      <c r="E1285" s="4">
        <v>173079</v>
      </c>
      <c r="F1285" s="2" t="s">
        <v>2</v>
      </c>
      <c r="G1285" s="2" t="str">
        <f t="shared" si="85"/>
        <v>https://www.oreht.ru/modules.php?name=orehtPriceLS&amp;op=Search&amp;page=1&amp;stext=173079</v>
      </c>
      <c r="I1285">
        <v>173079</v>
      </c>
      <c r="J1285" t="s">
        <v>2</v>
      </c>
      <c r="K1285" t="s">
        <v>3593</v>
      </c>
      <c r="L1285" t="s">
        <v>3594</v>
      </c>
      <c r="M1285" t="s">
        <v>3595</v>
      </c>
    </row>
    <row r="1286" spans="1:13" hidden="1" x14ac:dyDescent="0.25">
      <c r="A1286" s="24">
        <f t="shared" si="86"/>
        <v>20</v>
      </c>
      <c r="B1286" s="24">
        <v>12</v>
      </c>
      <c r="C1286" s="24">
        <v>207.18</v>
      </c>
      <c r="E1286" s="4">
        <v>415058</v>
      </c>
      <c r="F1286" s="2" t="s">
        <v>2</v>
      </c>
      <c r="G1286" s="2" t="str">
        <f t="shared" si="85"/>
        <v>https://www.oreht.ru/modules.php?name=orehtPriceLS&amp;op=Search&amp;page=1&amp;stext=415058</v>
      </c>
      <c r="I1286">
        <v>415058</v>
      </c>
      <c r="J1286" t="s">
        <v>2</v>
      </c>
      <c r="K1286" t="s">
        <v>3596</v>
      </c>
      <c r="L1286" t="s">
        <v>3597</v>
      </c>
      <c r="M1286" t="s">
        <v>3598</v>
      </c>
    </row>
    <row r="1287" spans="1:13" hidden="1" x14ac:dyDescent="0.25">
      <c r="A1287" s="24">
        <f t="shared" si="86"/>
        <v>20</v>
      </c>
      <c r="B1287" s="24">
        <v>12</v>
      </c>
      <c r="C1287" s="24">
        <v>191.46</v>
      </c>
      <c r="E1287" s="4">
        <v>148847</v>
      </c>
      <c r="F1287" s="2" t="s">
        <v>2</v>
      </c>
      <c r="G1287" s="2" t="str">
        <f t="shared" si="85"/>
        <v>https://www.oreht.ru/modules.php?name=orehtPriceLS&amp;op=Search&amp;page=1&amp;stext=148847</v>
      </c>
      <c r="I1287">
        <v>148847</v>
      </c>
      <c r="J1287" t="s">
        <v>2</v>
      </c>
      <c r="K1287" t="s">
        <v>3599</v>
      </c>
      <c r="L1287" t="s">
        <v>3600</v>
      </c>
      <c r="M1287" t="s">
        <v>3601</v>
      </c>
    </row>
    <row r="1288" spans="1:13" hidden="1" x14ac:dyDescent="0.25">
      <c r="A1288" s="24">
        <f t="shared" si="86"/>
        <v>20</v>
      </c>
      <c r="B1288" s="24">
        <v>12</v>
      </c>
      <c r="C1288" s="24">
        <v>207.18</v>
      </c>
      <c r="E1288" s="4">
        <v>305511</v>
      </c>
      <c r="F1288" s="2" t="s">
        <v>2</v>
      </c>
      <c r="G1288" s="2" t="str">
        <f t="shared" si="85"/>
        <v>https://www.oreht.ru/modules.php?name=orehtPriceLS&amp;op=Search&amp;page=1&amp;stext=305511</v>
      </c>
      <c r="I1288">
        <v>305511</v>
      </c>
      <c r="J1288" t="s">
        <v>2</v>
      </c>
      <c r="K1288" t="s">
        <v>3602</v>
      </c>
      <c r="L1288" t="s">
        <v>3603</v>
      </c>
      <c r="M1288" t="s">
        <v>3604</v>
      </c>
    </row>
    <row r="1289" spans="1:13" hidden="1" x14ac:dyDescent="0.25">
      <c r="A1289" s="24">
        <f t="shared" si="86"/>
        <v>20</v>
      </c>
      <c r="B1289" s="24">
        <v>12</v>
      </c>
      <c r="C1289" s="24">
        <v>210.3</v>
      </c>
      <c r="E1289" s="4">
        <v>279765</v>
      </c>
      <c r="F1289" s="2" t="s">
        <v>2</v>
      </c>
      <c r="G1289" s="2" t="str">
        <f t="shared" si="85"/>
        <v>https://www.oreht.ru/modules.php?name=orehtPriceLS&amp;op=Search&amp;page=1&amp;stext=279765</v>
      </c>
      <c r="I1289">
        <v>279765</v>
      </c>
      <c r="J1289" t="s">
        <v>2</v>
      </c>
      <c r="K1289" t="s">
        <v>3605</v>
      </c>
      <c r="L1289" t="s">
        <v>3606</v>
      </c>
      <c r="M1289" t="s">
        <v>3607</v>
      </c>
    </row>
    <row r="1290" spans="1:13" hidden="1" x14ac:dyDescent="0.25">
      <c r="A1290" s="24">
        <f t="shared" si="86"/>
        <v>20</v>
      </c>
      <c r="B1290" s="24">
        <v>12</v>
      </c>
      <c r="C1290" s="24">
        <v>175.26</v>
      </c>
      <c r="E1290" s="4">
        <v>301071</v>
      </c>
      <c r="F1290" s="2" t="s">
        <v>2</v>
      </c>
      <c r="G1290" s="2" t="str">
        <f t="shared" si="85"/>
        <v>https://www.oreht.ru/modules.php?name=orehtPriceLS&amp;op=Search&amp;page=1&amp;stext=301071</v>
      </c>
      <c r="I1290">
        <v>301071</v>
      </c>
      <c r="J1290" t="s">
        <v>2</v>
      </c>
      <c r="K1290" t="s">
        <v>3608</v>
      </c>
      <c r="L1290" t="s">
        <v>3609</v>
      </c>
      <c r="M1290" t="s">
        <v>3610</v>
      </c>
    </row>
    <row r="1291" spans="1:13" hidden="1" x14ac:dyDescent="0.25">
      <c r="A1291" s="24">
        <f t="shared" si="86"/>
        <v>20</v>
      </c>
      <c r="B1291" s="24">
        <v>12</v>
      </c>
      <c r="C1291" s="24">
        <v>207.06</v>
      </c>
      <c r="E1291" s="4">
        <v>401989</v>
      </c>
      <c r="F1291" s="2" t="s">
        <v>2</v>
      </c>
      <c r="G1291" s="2" t="str">
        <f t="shared" si="85"/>
        <v>https://www.oreht.ru/modules.php?name=orehtPriceLS&amp;op=Search&amp;page=1&amp;stext=401989</v>
      </c>
      <c r="I1291">
        <v>401989</v>
      </c>
      <c r="J1291" t="s">
        <v>2</v>
      </c>
      <c r="K1291" t="s">
        <v>3611</v>
      </c>
      <c r="L1291" t="s">
        <v>3612</v>
      </c>
      <c r="M1291" t="s">
        <v>3613</v>
      </c>
    </row>
    <row r="1292" spans="1:13" hidden="1" x14ac:dyDescent="0.25">
      <c r="A1292" s="24">
        <f t="shared" si="86"/>
        <v>20</v>
      </c>
      <c r="B1292" s="24">
        <v>12</v>
      </c>
      <c r="C1292" s="24">
        <v>165</v>
      </c>
      <c r="E1292" s="4">
        <v>278882</v>
      </c>
      <c r="F1292" s="2" t="s">
        <v>2</v>
      </c>
      <c r="G1292" s="2" t="str">
        <f t="shared" si="85"/>
        <v>https://www.oreht.ru/modules.php?name=orehtPriceLS&amp;op=Search&amp;page=1&amp;stext=278882</v>
      </c>
      <c r="I1292">
        <v>278882</v>
      </c>
      <c r="J1292" t="s">
        <v>2</v>
      </c>
      <c r="K1292" t="s">
        <v>3614</v>
      </c>
      <c r="L1292" t="s">
        <v>3615</v>
      </c>
      <c r="M1292" t="s">
        <v>3616</v>
      </c>
    </row>
    <row r="1293" spans="1:13" hidden="1" x14ac:dyDescent="0.25">
      <c r="A1293" s="24">
        <f t="shared" si="86"/>
        <v>20</v>
      </c>
      <c r="B1293" s="24">
        <v>12</v>
      </c>
      <c r="C1293" s="24">
        <v>215.64</v>
      </c>
      <c r="E1293" s="4">
        <v>123682</v>
      </c>
      <c r="F1293" s="2" t="s">
        <v>2</v>
      </c>
      <c r="G1293" s="2" t="str">
        <f t="shared" si="85"/>
        <v>https://www.oreht.ru/modules.php?name=orehtPriceLS&amp;op=Search&amp;page=1&amp;stext=123682</v>
      </c>
      <c r="I1293">
        <v>123682</v>
      </c>
      <c r="J1293" t="s">
        <v>2</v>
      </c>
      <c r="K1293" t="s">
        <v>3617</v>
      </c>
      <c r="L1293" t="s">
        <v>3618</v>
      </c>
      <c r="M1293" t="s">
        <v>3619</v>
      </c>
    </row>
    <row r="1294" spans="1:13" hidden="1" x14ac:dyDescent="0.25">
      <c r="A1294" s="24">
        <f t="shared" si="86"/>
        <v>20</v>
      </c>
      <c r="B1294" s="24">
        <v>12</v>
      </c>
      <c r="C1294" s="24">
        <v>226.38</v>
      </c>
      <c r="E1294" s="4">
        <v>454422</v>
      </c>
      <c r="F1294" s="2" t="s">
        <v>2</v>
      </c>
      <c r="G1294" s="2" t="str">
        <f t="shared" si="85"/>
        <v>https://www.oreht.ru/modules.php?name=orehtPriceLS&amp;op=Search&amp;page=1&amp;stext=454422</v>
      </c>
      <c r="I1294">
        <v>454422</v>
      </c>
      <c r="J1294" t="s">
        <v>2</v>
      </c>
      <c r="K1294" t="s">
        <v>3620</v>
      </c>
      <c r="L1294" t="s">
        <v>3621</v>
      </c>
      <c r="M1294" t="s">
        <v>3622</v>
      </c>
    </row>
    <row r="1295" spans="1:13" hidden="1" x14ac:dyDescent="0.25">
      <c r="A1295" s="24">
        <f t="shared" si="86"/>
        <v>20</v>
      </c>
      <c r="B1295" s="24">
        <v>12</v>
      </c>
      <c r="C1295" s="24">
        <v>208.92</v>
      </c>
      <c r="E1295" s="4">
        <v>405256</v>
      </c>
      <c r="F1295" s="2" t="s">
        <v>2</v>
      </c>
      <c r="G1295" s="2" t="str">
        <f t="shared" si="85"/>
        <v>https://www.oreht.ru/modules.php?name=orehtPriceLS&amp;op=Search&amp;page=1&amp;stext=405256</v>
      </c>
      <c r="I1295">
        <v>405256</v>
      </c>
      <c r="J1295" t="s">
        <v>2</v>
      </c>
      <c r="K1295" t="s">
        <v>3623</v>
      </c>
      <c r="L1295" t="s">
        <v>3624</v>
      </c>
      <c r="M1295" t="s">
        <v>3625</v>
      </c>
    </row>
    <row r="1296" spans="1:13" hidden="1" x14ac:dyDescent="0.25">
      <c r="A1296" s="24">
        <f t="shared" si="86"/>
        <v>20</v>
      </c>
      <c r="B1296" s="24">
        <v>12</v>
      </c>
      <c r="C1296" s="24">
        <v>214.68</v>
      </c>
      <c r="E1296" s="4">
        <v>298276</v>
      </c>
      <c r="F1296" s="2" t="s">
        <v>2</v>
      </c>
      <c r="G1296" s="2" t="str">
        <f t="shared" si="85"/>
        <v>https://www.oreht.ru/modules.php?name=orehtPriceLS&amp;op=Search&amp;page=1&amp;stext=298276</v>
      </c>
      <c r="I1296">
        <v>298276</v>
      </c>
      <c r="J1296" t="s">
        <v>2</v>
      </c>
      <c r="K1296" t="s">
        <v>3626</v>
      </c>
      <c r="L1296" t="s">
        <v>3627</v>
      </c>
      <c r="M1296" t="s">
        <v>3628</v>
      </c>
    </row>
    <row r="1297" spans="1:13" hidden="1" x14ac:dyDescent="0.25">
      <c r="A1297" s="24">
        <f t="shared" si="86"/>
        <v>20</v>
      </c>
      <c r="B1297" s="24">
        <v>12</v>
      </c>
      <c r="C1297" s="24">
        <v>195.36</v>
      </c>
      <c r="E1297" s="4">
        <v>148829</v>
      </c>
      <c r="F1297" s="2" t="s">
        <v>2</v>
      </c>
      <c r="G1297" s="2" t="str">
        <f t="shared" si="85"/>
        <v>https://www.oreht.ru/modules.php?name=orehtPriceLS&amp;op=Search&amp;page=1&amp;stext=148829</v>
      </c>
      <c r="I1297">
        <v>148829</v>
      </c>
      <c r="J1297" t="s">
        <v>2</v>
      </c>
      <c r="K1297" t="s">
        <v>3629</v>
      </c>
      <c r="L1297" t="s">
        <v>3630</v>
      </c>
      <c r="M1297" t="s">
        <v>3631</v>
      </c>
    </row>
    <row r="1298" spans="1:13" hidden="1" x14ac:dyDescent="0.25">
      <c r="A1298" s="24">
        <f t="shared" si="86"/>
        <v>20</v>
      </c>
      <c r="B1298" s="24">
        <v>12</v>
      </c>
      <c r="C1298" s="24">
        <v>203.4</v>
      </c>
      <c r="E1298" s="4">
        <v>123703</v>
      </c>
      <c r="F1298" s="2" t="s">
        <v>2</v>
      </c>
      <c r="G1298" s="2" t="str">
        <f t="shared" si="85"/>
        <v>https://www.oreht.ru/modules.php?name=orehtPriceLS&amp;op=Search&amp;page=1&amp;stext=123703</v>
      </c>
      <c r="I1298">
        <v>123703</v>
      </c>
      <c r="J1298" t="s">
        <v>2</v>
      </c>
      <c r="K1298" t="s">
        <v>3632</v>
      </c>
      <c r="L1298" t="s">
        <v>3633</v>
      </c>
      <c r="M1298" t="s">
        <v>3634</v>
      </c>
    </row>
    <row r="1299" spans="1:13" x14ac:dyDescent="0.25">
      <c r="A1299" s="24">
        <f t="shared" si="86"/>
        <v>20</v>
      </c>
      <c r="B1299" s="24">
        <v>12</v>
      </c>
      <c r="C1299" s="24">
        <v>175</v>
      </c>
      <c r="E1299" s="4">
        <v>394762</v>
      </c>
      <c r="F1299" s="2" t="s">
        <v>2</v>
      </c>
      <c r="G1299" s="2" t="str">
        <f t="shared" si="85"/>
        <v>https://www.oreht.ru/modules.php?name=orehtPriceLS&amp;op=Search&amp;page=1&amp;stext=394762</v>
      </c>
      <c r="I1299">
        <v>394762</v>
      </c>
      <c r="J1299" t="s">
        <v>2</v>
      </c>
      <c r="K1299" t="s">
        <v>3635</v>
      </c>
      <c r="L1299" t="s">
        <v>3636</v>
      </c>
      <c r="M1299" t="s">
        <v>649</v>
      </c>
    </row>
    <row r="1300" spans="1:13" hidden="1" x14ac:dyDescent="0.25">
      <c r="A1300" s="24">
        <f t="shared" si="86"/>
        <v>20</v>
      </c>
      <c r="B1300" s="24">
        <v>12</v>
      </c>
      <c r="C1300" s="24">
        <v>208.14</v>
      </c>
      <c r="E1300" s="4">
        <v>359127</v>
      </c>
      <c r="F1300" s="2" t="s">
        <v>2</v>
      </c>
      <c r="G1300" s="2" t="str">
        <f t="shared" si="85"/>
        <v>https://www.oreht.ru/modules.php?name=orehtPriceLS&amp;op=Search&amp;page=1&amp;stext=359127</v>
      </c>
      <c r="I1300">
        <v>359127</v>
      </c>
      <c r="J1300" t="s">
        <v>2</v>
      </c>
      <c r="K1300" t="s">
        <v>3637</v>
      </c>
      <c r="L1300" t="s">
        <v>3638</v>
      </c>
      <c r="M1300" t="s">
        <v>3639</v>
      </c>
    </row>
    <row r="1301" spans="1:13" hidden="1" x14ac:dyDescent="0.25">
      <c r="A1301" s="24">
        <f t="shared" si="86"/>
        <v>20</v>
      </c>
      <c r="B1301" s="24">
        <v>12</v>
      </c>
      <c r="C1301" s="24">
        <v>207.9</v>
      </c>
      <c r="E1301" s="4">
        <v>427985</v>
      </c>
      <c r="F1301" s="2" t="s">
        <v>2</v>
      </c>
      <c r="G1301" s="2" t="str">
        <f t="shared" si="85"/>
        <v>https://www.oreht.ru/modules.php?name=orehtPriceLS&amp;op=Search&amp;page=1&amp;stext=427985</v>
      </c>
      <c r="I1301">
        <v>427985</v>
      </c>
      <c r="J1301" t="s">
        <v>2</v>
      </c>
      <c r="K1301" t="s">
        <v>3640</v>
      </c>
      <c r="L1301" t="s">
        <v>3641</v>
      </c>
      <c r="M1301" t="s">
        <v>3642</v>
      </c>
    </row>
    <row r="1302" spans="1:13" hidden="1" x14ac:dyDescent="0.25">
      <c r="A1302" s="24">
        <f t="shared" si="86"/>
        <v>20</v>
      </c>
      <c r="B1302" s="24">
        <v>12</v>
      </c>
      <c r="C1302" s="24">
        <v>207.9</v>
      </c>
      <c r="E1302" s="4">
        <v>347724</v>
      </c>
      <c r="F1302" s="2" t="s">
        <v>2</v>
      </c>
      <c r="G1302" s="2" t="str">
        <f t="shared" si="85"/>
        <v>https://www.oreht.ru/modules.php?name=orehtPriceLS&amp;op=Search&amp;page=1&amp;stext=347724</v>
      </c>
      <c r="I1302">
        <v>347724</v>
      </c>
      <c r="J1302" t="s">
        <v>2</v>
      </c>
      <c r="K1302" t="s">
        <v>3643</v>
      </c>
      <c r="L1302" t="s">
        <v>3644</v>
      </c>
      <c r="M1302" t="s">
        <v>3645</v>
      </c>
    </row>
    <row r="1303" spans="1:13" hidden="1" x14ac:dyDescent="0.25">
      <c r="A1303" s="24">
        <f t="shared" si="86"/>
        <v>20</v>
      </c>
      <c r="B1303" s="24">
        <v>11</v>
      </c>
      <c r="C1303" s="24">
        <v>175</v>
      </c>
      <c r="E1303" s="4">
        <v>88979</v>
      </c>
      <c r="F1303" s="2" t="s">
        <v>2</v>
      </c>
      <c r="G1303" s="2" t="str">
        <f t="shared" si="85"/>
        <v>https://www.oreht.ru/modules.php?name=orehtPriceLS&amp;op=Search&amp;page=1&amp;stext=88979</v>
      </c>
      <c r="I1303">
        <v>88979</v>
      </c>
      <c r="J1303" t="s">
        <v>2</v>
      </c>
      <c r="K1303" t="s">
        <v>3646</v>
      </c>
      <c r="L1303" t="s">
        <v>3647</v>
      </c>
      <c r="M1303" t="s">
        <v>3648</v>
      </c>
    </row>
    <row r="1304" spans="1:13" hidden="1" x14ac:dyDescent="0.25">
      <c r="A1304" s="24">
        <f t="shared" si="86"/>
        <v>20</v>
      </c>
      <c r="B1304" s="24">
        <v>12</v>
      </c>
      <c r="C1304" s="24">
        <v>207.6</v>
      </c>
      <c r="E1304" s="4">
        <v>341737</v>
      </c>
      <c r="F1304" s="2" t="s">
        <v>2</v>
      </c>
      <c r="G1304" s="2" t="str">
        <f t="shared" si="85"/>
        <v>https://www.oreht.ru/modules.php?name=orehtPriceLS&amp;op=Search&amp;page=1&amp;stext=341737</v>
      </c>
      <c r="I1304">
        <v>341737</v>
      </c>
      <c r="J1304" t="s">
        <v>2</v>
      </c>
      <c r="K1304" t="s">
        <v>3649</v>
      </c>
      <c r="L1304" t="s">
        <v>3650</v>
      </c>
      <c r="M1304" t="s">
        <v>3651</v>
      </c>
    </row>
    <row r="1305" spans="1:13" hidden="1" x14ac:dyDescent="0.25">
      <c r="A1305" s="24">
        <f t="shared" si="86"/>
        <v>20</v>
      </c>
      <c r="B1305" s="24">
        <v>12</v>
      </c>
      <c r="C1305" s="24">
        <v>224.88</v>
      </c>
      <c r="E1305" s="4">
        <v>431595</v>
      </c>
      <c r="F1305" s="2" t="s">
        <v>2</v>
      </c>
      <c r="G1305" s="2" t="str">
        <f t="shared" si="85"/>
        <v>https://www.oreht.ru/modules.php?name=orehtPriceLS&amp;op=Search&amp;page=1&amp;stext=431595</v>
      </c>
      <c r="I1305">
        <v>431595</v>
      </c>
      <c r="J1305" t="s">
        <v>2</v>
      </c>
      <c r="K1305" t="s">
        <v>3652</v>
      </c>
      <c r="L1305" t="s">
        <v>3653</v>
      </c>
      <c r="M1305" t="s">
        <v>3654</v>
      </c>
    </row>
    <row r="1306" spans="1:13" x14ac:dyDescent="0.25">
      <c r="A1306" s="24">
        <f t="shared" si="86"/>
        <v>20</v>
      </c>
      <c r="B1306" s="24">
        <v>12</v>
      </c>
      <c r="C1306" s="24">
        <v>40</v>
      </c>
      <c r="E1306" s="4">
        <v>294522</v>
      </c>
      <c r="F1306" s="2" t="s">
        <v>2</v>
      </c>
      <c r="G1306" s="2" t="str">
        <f t="shared" si="85"/>
        <v>https://www.oreht.ru/modules.php?name=orehtPriceLS&amp;op=Search&amp;page=1&amp;stext=294522</v>
      </c>
      <c r="I1306">
        <v>294522</v>
      </c>
      <c r="J1306" t="s">
        <v>2</v>
      </c>
      <c r="K1306" t="s">
        <v>3655</v>
      </c>
      <c r="L1306" t="s">
        <v>3656</v>
      </c>
      <c r="M1306" t="s">
        <v>649</v>
      </c>
    </row>
    <row r="1307" spans="1:13" x14ac:dyDescent="0.25">
      <c r="A1307" s="24">
        <f t="shared" si="86"/>
        <v>20</v>
      </c>
      <c r="B1307" s="24">
        <v>10</v>
      </c>
      <c r="C1307" s="24">
        <v>45</v>
      </c>
      <c r="E1307" s="4">
        <v>150358</v>
      </c>
      <c r="F1307" s="2" t="s">
        <v>2</v>
      </c>
      <c r="G1307" s="2" t="str">
        <f t="shared" si="85"/>
        <v>https://www.oreht.ru/modules.php?name=orehtPriceLS&amp;op=Search&amp;page=1&amp;stext=150358</v>
      </c>
      <c r="I1307">
        <v>150358</v>
      </c>
      <c r="J1307" t="s">
        <v>2</v>
      </c>
      <c r="K1307" t="s">
        <v>3657</v>
      </c>
      <c r="L1307" t="s">
        <v>3658</v>
      </c>
      <c r="M1307" t="s">
        <v>649</v>
      </c>
    </row>
    <row r="1308" spans="1:13" hidden="1" x14ac:dyDescent="0.25">
      <c r="A1308" s="24">
        <f t="shared" si="86"/>
        <v>20</v>
      </c>
      <c r="B1308" s="24">
        <v>12</v>
      </c>
      <c r="C1308" s="24">
        <v>400</v>
      </c>
      <c r="E1308" s="4">
        <v>202286</v>
      </c>
      <c r="F1308" s="2" t="s">
        <v>2</v>
      </c>
      <c r="G1308" s="2" t="str">
        <f t="shared" si="85"/>
        <v>https://www.oreht.ru/modules.php?name=orehtPriceLS&amp;op=Search&amp;page=1&amp;stext=202286</v>
      </c>
      <c r="I1308">
        <v>202286</v>
      </c>
      <c r="J1308" t="s">
        <v>2</v>
      </c>
      <c r="K1308" t="s">
        <v>3659</v>
      </c>
      <c r="L1308" t="s">
        <v>3660</v>
      </c>
      <c r="M1308" t="s">
        <v>3661</v>
      </c>
    </row>
    <row r="1309" spans="1:13" x14ac:dyDescent="0.25">
      <c r="A1309" s="24">
        <f t="shared" si="86"/>
        <v>20</v>
      </c>
      <c r="B1309" s="24">
        <v>12</v>
      </c>
      <c r="C1309" s="24">
        <v>285</v>
      </c>
      <c r="E1309" s="4">
        <v>112190</v>
      </c>
      <c r="F1309" s="2" t="s">
        <v>2</v>
      </c>
      <c r="G1309" s="2" t="str">
        <f t="shared" si="85"/>
        <v>https://www.oreht.ru/modules.php?name=orehtPriceLS&amp;op=Search&amp;page=1&amp;stext=112190</v>
      </c>
      <c r="I1309">
        <v>112190</v>
      </c>
      <c r="J1309" t="s">
        <v>2</v>
      </c>
      <c r="K1309" t="s">
        <v>3662</v>
      </c>
      <c r="L1309" t="s">
        <v>3663</v>
      </c>
      <c r="M1309" t="s">
        <v>649</v>
      </c>
    </row>
    <row r="1310" spans="1:13" hidden="1" x14ac:dyDescent="0.25">
      <c r="A1310" s="24">
        <f t="shared" si="86"/>
        <v>20</v>
      </c>
      <c r="B1310" s="24">
        <v>12</v>
      </c>
      <c r="C1310" s="24">
        <v>144.84</v>
      </c>
      <c r="E1310" s="4">
        <v>110178</v>
      </c>
      <c r="F1310" s="2" t="s">
        <v>2</v>
      </c>
      <c r="G1310" s="2" t="str">
        <f t="shared" si="85"/>
        <v>https://www.oreht.ru/modules.php?name=orehtPriceLS&amp;op=Search&amp;page=1&amp;stext=110178</v>
      </c>
      <c r="I1310">
        <v>110178</v>
      </c>
      <c r="J1310" t="s">
        <v>2</v>
      </c>
      <c r="K1310" t="s">
        <v>3664</v>
      </c>
      <c r="L1310" t="s">
        <v>3665</v>
      </c>
      <c r="M1310" t="s">
        <v>3666</v>
      </c>
    </row>
    <row r="1311" spans="1:13" x14ac:dyDescent="0.25">
      <c r="A1311" s="24">
        <f t="shared" si="86"/>
        <v>20</v>
      </c>
      <c r="B1311" s="24">
        <v>12</v>
      </c>
      <c r="C1311" s="24">
        <v>132.9</v>
      </c>
      <c r="E1311" s="4">
        <v>124629</v>
      </c>
      <c r="F1311" s="2" t="s">
        <v>2</v>
      </c>
      <c r="G1311" s="2" t="str">
        <f t="shared" si="85"/>
        <v>https://www.oreht.ru/modules.php?name=orehtPriceLS&amp;op=Search&amp;page=1&amp;stext=124629</v>
      </c>
      <c r="I1311">
        <v>124629</v>
      </c>
      <c r="J1311" t="s">
        <v>2</v>
      </c>
      <c r="K1311" t="s">
        <v>3667</v>
      </c>
      <c r="L1311" t="s">
        <v>3668</v>
      </c>
      <c r="M1311" t="s">
        <v>649</v>
      </c>
    </row>
    <row r="1312" spans="1:13" hidden="1" x14ac:dyDescent="0.25">
      <c r="A1312" s="24">
        <f t="shared" si="86"/>
        <v>20</v>
      </c>
      <c r="B1312" s="24">
        <v>10</v>
      </c>
      <c r="C1312" s="24">
        <v>79</v>
      </c>
      <c r="E1312" s="4">
        <v>372213</v>
      </c>
      <c r="F1312" s="2" t="s">
        <v>2</v>
      </c>
      <c r="G1312" s="2" t="str">
        <f t="shared" si="85"/>
        <v>https://www.oreht.ru/modules.php?name=orehtPriceLS&amp;op=Search&amp;page=1&amp;stext=372213</v>
      </c>
      <c r="I1312">
        <v>372213</v>
      </c>
      <c r="J1312" t="s">
        <v>2</v>
      </c>
      <c r="K1312" t="s">
        <v>3669</v>
      </c>
      <c r="L1312" t="s">
        <v>3670</v>
      </c>
      <c r="M1312" t="s">
        <v>661</v>
      </c>
    </row>
    <row r="1313" spans="1:13" hidden="1" x14ac:dyDescent="0.25">
      <c r="A1313" s="24">
        <f t="shared" si="86"/>
        <v>20</v>
      </c>
      <c r="B1313" s="24">
        <v>12</v>
      </c>
      <c r="C1313" s="24">
        <v>45</v>
      </c>
      <c r="E1313" s="4">
        <v>451164</v>
      </c>
      <c r="F1313" s="2" t="s">
        <v>2</v>
      </c>
      <c r="G1313" s="2" t="str">
        <f t="shared" si="85"/>
        <v>https://www.oreht.ru/modules.php?name=orehtPriceLS&amp;op=Search&amp;page=1&amp;stext=451164</v>
      </c>
      <c r="I1313">
        <v>451164</v>
      </c>
      <c r="J1313" t="s">
        <v>2</v>
      </c>
      <c r="K1313" t="s">
        <v>3671</v>
      </c>
      <c r="L1313" t="s">
        <v>3672</v>
      </c>
      <c r="M1313" t="s">
        <v>3673</v>
      </c>
    </row>
    <row r="1314" spans="1:13" x14ac:dyDescent="0.25">
      <c r="A1314" s="24">
        <f t="shared" si="86"/>
        <v>20</v>
      </c>
      <c r="B1314" s="24">
        <v>12</v>
      </c>
      <c r="C1314" s="24">
        <v>42</v>
      </c>
      <c r="E1314" s="4">
        <v>327146</v>
      </c>
      <c r="F1314" s="2" t="s">
        <v>2</v>
      </c>
      <c r="G1314" s="2" t="str">
        <f t="shared" si="85"/>
        <v>https://www.oreht.ru/modules.php?name=orehtPriceLS&amp;op=Search&amp;page=1&amp;stext=327146</v>
      </c>
      <c r="I1314">
        <v>327146</v>
      </c>
      <c r="J1314" t="s">
        <v>2</v>
      </c>
      <c r="K1314" t="s">
        <v>3674</v>
      </c>
      <c r="L1314" t="s">
        <v>3675</v>
      </c>
      <c r="M1314" t="s">
        <v>649</v>
      </c>
    </row>
    <row r="1315" spans="1:13" hidden="1" x14ac:dyDescent="0.25">
      <c r="A1315" s="24">
        <f t="shared" si="86"/>
        <v>20</v>
      </c>
      <c r="B1315" s="24">
        <v>9</v>
      </c>
      <c r="C1315" s="24">
        <v>40</v>
      </c>
      <c r="E1315" s="4">
        <v>423137</v>
      </c>
      <c r="F1315" s="2" t="s">
        <v>2</v>
      </c>
      <c r="G1315" s="2" t="str">
        <f t="shared" si="85"/>
        <v>https://www.oreht.ru/modules.php?name=orehtPriceLS&amp;op=Search&amp;page=1&amp;stext=423137</v>
      </c>
      <c r="I1315">
        <v>423137</v>
      </c>
      <c r="J1315" t="s">
        <v>2</v>
      </c>
      <c r="K1315" t="s">
        <v>3676</v>
      </c>
      <c r="L1315" t="s">
        <v>3677</v>
      </c>
      <c r="M1315" t="s">
        <v>3678</v>
      </c>
    </row>
    <row r="1316" spans="1:13" hidden="1" x14ac:dyDescent="0.25">
      <c r="A1316" s="24">
        <f t="shared" si="86"/>
        <v>20</v>
      </c>
      <c r="B1316" s="24">
        <v>12</v>
      </c>
      <c r="C1316" s="24">
        <v>45</v>
      </c>
      <c r="E1316" s="4">
        <v>390743</v>
      </c>
      <c r="F1316" s="2" t="s">
        <v>2</v>
      </c>
      <c r="G1316" s="2" t="str">
        <f t="shared" si="85"/>
        <v>https://www.oreht.ru/modules.php?name=orehtPriceLS&amp;op=Search&amp;page=1&amp;stext=390743</v>
      </c>
      <c r="I1316">
        <v>390743</v>
      </c>
      <c r="J1316" t="s">
        <v>2</v>
      </c>
      <c r="K1316" t="s">
        <v>3679</v>
      </c>
      <c r="L1316" t="s">
        <v>3680</v>
      </c>
      <c r="M1316" t="s">
        <v>3681</v>
      </c>
    </row>
    <row r="1317" spans="1:13" hidden="1" x14ac:dyDescent="0.25">
      <c r="A1317" s="24">
        <f t="shared" si="86"/>
        <v>20</v>
      </c>
      <c r="B1317" s="24">
        <v>12</v>
      </c>
      <c r="C1317" s="24">
        <v>40</v>
      </c>
      <c r="E1317" s="4">
        <v>320618</v>
      </c>
      <c r="F1317" s="2" t="s">
        <v>2</v>
      </c>
      <c r="G1317" s="2" t="str">
        <f t="shared" si="85"/>
        <v>https://www.oreht.ru/modules.php?name=orehtPriceLS&amp;op=Search&amp;page=1&amp;stext=320618</v>
      </c>
      <c r="I1317">
        <v>320618</v>
      </c>
      <c r="J1317" t="s">
        <v>2</v>
      </c>
      <c r="K1317" t="s">
        <v>3682</v>
      </c>
      <c r="L1317" t="s">
        <v>3683</v>
      </c>
      <c r="M1317" t="s">
        <v>3684</v>
      </c>
    </row>
    <row r="1318" spans="1:13" x14ac:dyDescent="0.25">
      <c r="A1318" s="24">
        <f t="shared" si="86"/>
        <v>20</v>
      </c>
      <c r="B1318" s="24">
        <v>12</v>
      </c>
      <c r="C1318" s="24">
        <v>42</v>
      </c>
      <c r="E1318" s="4">
        <v>293408</v>
      </c>
      <c r="F1318" s="2" t="s">
        <v>2</v>
      </c>
      <c r="G1318" s="2" t="str">
        <f t="shared" si="85"/>
        <v>https://www.oreht.ru/modules.php?name=orehtPriceLS&amp;op=Search&amp;page=1&amp;stext=293408</v>
      </c>
      <c r="I1318">
        <v>293408</v>
      </c>
      <c r="J1318" t="s">
        <v>2</v>
      </c>
      <c r="K1318" t="s">
        <v>3685</v>
      </c>
      <c r="L1318" t="s">
        <v>3686</v>
      </c>
      <c r="M1318" t="s">
        <v>649</v>
      </c>
    </row>
    <row r="1319" spans="1:13" hidden="1" x14ac:dyDescent="0.25">
      <c r="A1319" s="24">
        <f t="shared" si="86"/>
        <v>20</v>
      </c>
      <c r="B1319" s="24">
        <v>12</v>
      </c>
      <c r="C1319" s="24">
        <v>45</v>
      </c>
      <c r="E1319" s="4">
        <v>390742</v>
      </c>
      <c r="F1319" s="2" t="s">
        <v>2</v>
      </c>
      <c r="G1319" s="2" t="str">
        <f t="shared" si="85"/>
        <v>https://www.oreht.ru/modules.php?name=orehtPriceLS&amp;op=Search&amp;page=1&amp;stext=390742</v>
      </c>
      <c r="I1319">
        <v>390742</v>
      </c>
      <c r="J1319" t="s">
        <v>2</v>
      </c>
      <c r="K1319" t="s">
        <v>3687</v>
      </c>
      <c r="L1319" t="s">
        <v>3688</v>
      </c>
      <c r="M1319" t="s">
        <v>3689</v>
      </c>
    </row>
    <row r="1320" spans="1:13" hidden="1" x14ac:dyDescent="0.25">
      <c r="A1320" s="24">
        <f t="shared" si="86"/>
        <v>20</v>
      </c>
      <c r="B1320" s="24">
        <v>12</v>
      </c>
      <c r="C1320" s="24">
        <v>40</v>
      </c>
      <c r="E1320" s="4">
        <v>371231</v>
      </c>
      <c r="F1320" s="2" t="s">
        <v>2</v>
      </c>
      <c r="G1320" s="2" t="str">
        <f t="shared" si="85"/>
        <v>https://www.oreht.ru/modules.php?name=orehtPriceLS&amp;op=Search&amp;page=1&amp;stext=371231</v>
      </c>
      <c r="I1320">
        <v>371231</v>
      </c>
      <c r="J1320" t="s">
        <v>2</v>
      </c>
      <c r="K1320" t="s">
        <v>3690</v>
      </c>
      <c r="L1320" t="s">
        <v>3691</v>
      </c>
      <c r="M1320" t="s">
        <v>3692</v>
      </c>
    </row>
    <row r="1321" spans="1:13" hidden="1" x14ac:dyDescent="0.25">
      <c r="A1321" s="24">
        <f t="shared" si="86"/>
        <v>20</v>
      </c>
      <c r="B1321" s="24">
        <v>10</v>
      </c>
      <c r="C1321" s="24">
        <v>43</v>
      </c>
      <c r="E1321" s="4">
        <v>325749</v>
      </c>
      <c r="F1321" s="2" t="s">
        <v>2</v>
      </c>
      <c r="G1321" s="2" t="str">
        <f t="shared" si="85"/>
        <v>https://www.oreht.ru/modules.php?name=orehtPriceLS&amp;op=Search&amp;page=1&amp;stext=325749</v>
      </c>
      <c r="I1321">
        <v>325749</v>
      </c>
      <c r="J1321" t="s">
        <v>2</v>
      </c>
      <c r="K1321" t="s">
        <v>3693</v>
      </c>
      <c r="L1321" t="s">
        <v>3694</v>
      </c>
      <c r="M1321" t="s">
        <v>3695</v>
      </c>
    </row>
    <row r="1322" spans="1:13" hidden="1" x14ac:dyDescent="0.25">
      <c r="A1322" s="24">
        <f t="shared" si="86"/>
        <v>20</v>
      </c>
      <c r="B1322" s="24">
        <v>12</v>
      </c>
      <c r="C1322" s="24">
        <v>41</v>
      </c>
      <c r="E1322" s="4">
        <v>272652</v>
      </c>
      <c r="F1322" s="2" t="s">
        <v>2</v>
      </c>
      <c r="G1322" s="2" t="str">
        <f t="shared" si="85"/>
        <v>https://www.oreht.ru/modules.php?name=orehtPriceLS&amp;op=Search&amp;page=1&amp;stext=272652</v>
      </c>
      <c r="I1322">
        <v>272652</v>
      </c>
      <c r="J1322" t="s">
        <v>2</v>
      </c>
      <c r="K1322" t="s">
        <v>3696</v>
      </c>
      <c r="L1322" t="s">
        <v>3697</v>
      </c>
      <c r="M1322" t="s">
        <v>3698</v>
      </c>
    </row>
    <row r="1323" spans="1:13" x14ac:dyDescent="0.25">
      <c r="A1323" s="24">
        <f t="shared" si="86"/>
        <v>20</v>
      </c>
      <c r="B1323" s="24">
        <v>12</v>
      </c>
      <c r="C1323" s="24">
        <v>45</v>
      </c>
      <c r="E1323" s="4">
        <v>91508</v>
      </c>
      <c r="F1323" s="2" t="s">
        <v>2</v>
      </c>
      <c r="G1323" s="2" t="str">
        <f t="shared" si="85"/>
        <v>https://www.oreht.ru/modules.php?name=orehtPriceLS&amp;op=Search&amp;page=1&amp;stext=91508</v>
      </c>
      <c r="I1323">
        <v>91508</v>
      </c>
      <c r="J1323" t="s">
        <v>2</v>
      </c>
      <c r="K1323" t="s">
        <v>3699</v>
      </c>
    </row>
    <row r="1324" spans="1:13" hidden="1" x14ac:dyDescent="0.25">
      <c r="A1324" s="24">
        <f t="shared" si="86"/>
        <v>20</v>
      </c>
      <c r="B1324" s="24">
        <v>12</v>
      </c>
      <c r="C1324" s="24">
        <v>43</v>
      </c>
      <c r="E1324" s="4">
        <v>186432</v>
      </c>
      <c r="F1324" s="2" t="s">
        <v>2</v>
      </c>
      <c r="G1324" s="2" t="str">
        <f t="shared" si="85"/>
        <v>https://www.oreht.ru/modules.php?name=orehtPriceLS&amp;op=Search&amp;page=1&amp;stext=186432</v>
      </c>
      <c r="I1324">
        <v>186432</v>
      </c>
      <c r="J1324" t="s">
        <v>2</v>
      </c>
      <c r="K1324" t="s">
        <v>3700</v>
      </c>
      <c r="L1324" t="s">
        <v>3701</v>
      </c>
      <c r="M1324" t="s">
        <v>3702</v>
      </c>
    </row>
    <row r="1325" spans="1:13" hidden="1" x14ac:dyDescent="0.25">
      <c r="A1325" s="24">
        <f t="shared" si="86"/>
        <v>20</v>
      </c>
      <c r="B1325" s="24">
        <v>12</v>
      </c>
      <c r="C1325" s="24">
        <v>40</v>
      </c>
      <c r="E1325" s="4">
        <v>448060</v>
      </c>
      <c r="F1325" s="2" t="s">
        <v>2</v>
      </c>
      <c r="G1325" s="2" t="str">
        <f t="shared" si="85"/>
        <v>https://www.oreht.ru/modules.php?name=orehtPriceLS&amp;op=Search&amp;page=1&amp;stext=448060</v>
      </c>
      <c r="I1325">
        <v>448060</v>
      </c>
      <c r="J1325" t="s">
        <v>2</v>
      </c>
      <c r="K1325" t="s">
        <v>3703</v>
      </c>
      <c r="L1325" t="s">
        <v>3704</v>
      </c>
      <c r="M1325" t="s">
        <v>3702</v>
      </c>
    </row>
    <row r="1326" spans="1:13" hidden="1" x14ac:dyDescent="0.25">
      <c r="A1326" s="24">
        <f t="shared" si="86"/>
        <v>20</v>
      </c>
      <c r="B1326" s="24">
        <v>12</v>
      </c>
      <c r="C1326" s="24">
        <v>40</v>
      </c>
      <c r="E1326" s="4">
        <v>332436</v>
      </c>
      <c r="F1326" s="2" t="s">
        <v>2</v>
      </c>
      <c r="G1326" s="2" t="str">
        <f t="shared" si="85"/>
        <v>https://www.oreht.ru/modules.php?name=orehtPriceLS&amp;op=Search&amp;page=1&amp;stext=332436</v>
      </c>
      <c r="I1326">
        <v>332436</v>
      </c>
      <c r="J1326" t="s">
        <v>2</v>
      </c>
      <c r="K1326" t="s">
        <v>3705</v>
      </c>
      <c r="L1326" t="s">
        <v>3706</v>
      </c>
      <c r="M1326" t="s">
        <v>3702</v>
      </c>
    </row>
    <row r="1327" spans="1:13" hidden="1" x14ac:dyDescent="0.25">
      <c r="A1327" s="24">
        <f t="shared" si="86"/>
        <v>20</v>
      </c>
      <c r="B1327" s="24">
        <v>12</v>
      </c>
      <c r="C1327" s="24">
        <v>42</v>
      </c>
      <c r="E1327" s="4">
        <v>173351</v>
      </c>
      <c r="F1327" s="2" t="s">
        <v>2</v>
      </c>
      <c r="G1327" s="2" t="str">
        <f t="shared" si="85"/>
        <v>https://www.oreht.ru/modules.php?name=orehtPriceLS&amp;op=Search&amp;page=1&amp;stext=173351</v>
      </c>
      <c r="I1327">
        <v>173351</v>
      </c>
      <c r="J1327" t="s">
        <v>2</v>
      </c>
      <c r="K1327" t="s">
        <v>3707</v>
      </c>
      <c r="L1327" t="s">
        <v>3708</v>
      </c>
      <c r="M1327" t="s">
        <v>3709</v>
      </c>
    </row>
    <row r="1328" spans="1:13" x14ac:dyDescent="0.25">
      <c r="A1328" s="24">
        <f t="shared" si="86"/>
        <v>20</v>
      </c>
      <c r="B1328" s="24">
        <v>12</v>
      </c>
      <c r="C1328" s="24">
        <v>45</v>
      </c>
      <c r="E1328" s="4">
        <v>226974</v>
      </c>
      <c r="F1328" s="2" t="s">
        <v>2</v>
      </c>
      <c r="G1328" s="2" t="str">
        <f t="shared" si="85"/>
        <v>https://www.oreht.ru/modules.php?name=orehtPriceLS&amp;op=Search&amp;page=1&amp;stext=226974</v>
      </c>
      <c r="I1328">
        <v>226974</v>
      </c>
      <c r="J1328" t="s">
        <v>2</v>
      </c>
      <c r="K1328" t="s">
        <v>3710</v>
      </c>
      <c r="L1328" t="s">
        <v>3711</v>
      </c>
      <c r="M1328" t="s">
        <v>649</v>
      </c>
    </row>
    <row r="1329" spans="1:13" x14ac:dyDescent="0.25">
      <c r="A1329" s="24">
        <f t="shared" si="86"/>
        <v>20</v>
      </c>
      <c r="B1329" s="24">
        <v>12</v>
      </c>
      <c r="C1329" s="24">
        <v>40</v>
      </c>
      <c r="E1329" s="4">
        <v>368935</v>
      </c>
      <c r="F1329" s="2" t="s">
        <v>2</v>
      </c>
      <c r="G1329" s="2" t="str">
        <f t="shared" si="85"/>
        <v>https://www.oreht.ru/modules.php?name=orehtPriceLS&amp;op=Search&amp;page=1&amp;stext=368935</v>
      </c>
      <c r="I1329">
        <v>368935</v>
      </c>
      <c r="J1329" t="s">
        <v>2</v>
      </c>
      <c r="K1329" t="s">
        <v>3712</v>
      </c>
      <c r="L1329" t="s">
        <v>3713</v>
      </c>
      <c r="M1329" t="s">
        <v>649</v>
      </c>
    </row>
    <row r="1330" spans="1:13" hidden="1" x14ac:dyDescent="0.25">
      <c r="A1330" s="24">
        <f t="shared" si="86"/>
        <v>20</v>
      </c>
      <c r="B1330" s="24">
        <v>10</v>
      </c>
      <c r="C1330" s="24">
        <v>79</v>
      </c>
      <c r="E1330" s="4">
        <v>445616</v>
      </c>
      <c r="F1330" s="2" t="s">
        <v>2</v>
      </c>
      <c r="G1330" s="2" t="str">
        <f t="shared" si="85"/>
        <v>https://www.oreht.ru/modules.php?name=orehtPriceLS&amp;op=Search&amp;page=1&amp;stext=445616</v>
      </c>
      <c r="I1330">
        <v>445616</v>
      </c>
      <c r="J1330" t="s">
        <v>2</v>
      </c>
      <c r="K1330" t="s">
        <v>3714</v>
      </c>
      <c r="L1330" t="s">
        <v>3715</v>
      </c>
      <c r="M1330" t="s">
        <v>3716</v>
      </c>
    </row>
    <row r="1331" spans="1:13" hidden="1" x14ac:dyDescent="0.25">
      <c r="A1331" s="24">
        <f t="shared" si="86"/>
        <v>20</v>
      </c>
      <c r="B1331" s="24">
        <v>12</v>
      </c>
      <c r="C1331" s="24">
        <v>40</v>
      </c>
      <c r="E1331" s="4">
        <v>415043</v>
      </c>
      <c r="F1331" s="2" t="s">
        <v>2</v>
      </c>
      <c r="G1331" s="2" t="str">
        <f t="shared" si="85"/>
        <v>https://www.oreht.ru/modules.php?name=orehtPriceLS&amp;op=Search&amp;page=1&amp;stext=415043</v>
      </c>
      <c r="I1331">
        <v>415043</v>
      </c>
      <c r="J1331" t="s">
        <v>2</v>
      </c>
      <c r="K1331" t="s">
        <v>3717</v>
      </c>
      <c r="L1331" t="s">
        <v>3718</v>
      </c>
      <c r="M1331" t="s">
        <v>3719</v>
      </c>
    </row>
    <row r="1332" spans="1:13" hidden="1" x14ac:dyDescent="0.25">
      <c r="A1332" s="24">
        <f t="shared" si="86"/>
        <v>20</v>
      </c>
      <c r="B1332" s="24">
        <v>12</v>
      </c>
      <c r="C1332" s="24">
        <v>41</v>
      </c>
      <c r="E1332" s="4">
        <v>269814</v>
      </c>
      <c r="F1332" s="2" t="s">
        <v>2</v>
      </c>
      <c r="G1332" s="2" t="str">
        <f t="shared" si="85"/>
        <v>https://www.oreht.ru/modules.php?name=orehtPriceLS&amp;op=Search&amp;page=1&amp;stext=269814</v>
      </c>
      <c r="I1332">
        <v>269814</v>
      </c>
      <c r="J1332" t="s">
        <v>2</v>
      </c>
      <c r="K1332" t="s">
        <v>3720</v>
      </c>
      <c r="L1332" t="s">
        <v>3721</v>
      </c>
      <c r="M1332" t="s">
        <v>3722</v>
      </c>
    </row>
    <row r="1333" spans="1:13" hidden="1" x14ac:dyDescent="0.25">
      <c r="A1333" s="24">
        <f t="shared" si="86"/>
        <v>20</v>
      </c>
      <c r="B1333" s="24">
        <v>12</v>
      </c>
      <c r="C1333" s="24">
        <v>43</v>
      </c>
      <c r="E1333" s="4">
        <v>186362</v>
      </c>
      <c r="F1333" s="2" t="s">
        <v>2</v>
      </c>
      <c r="G1333" s="2" t="str">
        <f t="shared" si="85"/>
        <v>https://www.oreht.ru/modules.php?name=orehtPriceLS&amp;op=Search&amp;page=1&amp;stext=186362</v>
      </c>
      <c r="I1333">
        <v>186362</v>
      </c>
      <c r="J1333" t="s">
        <v>2</v>
      </c>
      <c r="K1333" t="s">
        <v>3723</v>
      </c>
      <c r="L1333" t="s">
        <v>3724</v>
      </c>
      <c r="M1333" t="s">
        <v>86</v>
      </c>
    </row>
    <row r="1334" spans="1:13" hidden="1" x14ac:dyDescent="0.25">
      <c r="A1334" s="24">
        <f t="shared" si="86"/>
        <v>20</v>
      </c>
      <c r="B1334" s="24">
        <v>10</v>
      </c>
      <c r="C1334" s="24">
        <v>79</v>
      </c>
      <c r="E1334" s="4">
        <v>409310</v>
      </c>
      <c r="F1334" s="2" t="s">
        <v>2</v>
      </c>
      <c r="G1334" s="2" t="str">
        <f t="shared" si="85"/>
        <v>https://www.oreht.ru/modules.php?name=orehtPriceLS&amp;op=Search&amp;page=1&amp;stext=409310</v>
      </c>
      <c r="I1334">
        <v>409310</v>
      </c>
      <c r="J1334" t="s">
        <v>2</v>
      </c>
      <c r="K1334" t="s">
        <v>3725</v>
      </c>
      <c r="L1334" t="s">
        <v>3726</v>
      </c>
      <c r="M1334" t="s">
        <v>86</v>
      </c>
    </row>
    <row r="1335" spans="1:13" hidden="1" x14ac:dyDescent="0.25">
      <c r="A1335" s="24">
        <f t="shared" si="86"/>
        <v>20</v>
      </c>
      <c r="B1335" s="24">
        <v>12</v>
      </c>
      <c r="C1335" s="24">
        <v>43</v>
      </c>
      <c r="E1335" s="4">
        <v>91516</v>
      </c>
      <c r="F1335" s="2" t="s">
        <v>2</v>
      </c>
      <c r="G1335" s="2" t="str">
        <f t="shared" si="85"/>
        <v>https://www.oreht.ru/modules.php?name=orehtPriceLS&amp;op=Search&amp;page=1&amp;stext=91516</v>
      </c>
      <c r="I1335">
        <v>91516</v>
      </c>
      <c r="J1335" t="s">
        <v>2</v>
      </c>
      <c r="K1335" t="s">
        <v>3727</v>
      </c>
      <c r="L1335" t="s">
        <v>3728</v>
      </c>
      <c r="M1335" t="s">
        <v>3729</v>
      </c>
    </row>
    <row r="1336" spans="1:13" hidden="1" x14ac:dyDescent="0.25">
      <c r="A1336" s="24">
        <f t="shared" si="86"/>
        <v>20</v>
      </c>
      <c r="B1336" s="24">
        <v>12</v>
      </c>
      <c r="C1336" s="24">
        <v>43</v>
      </c>
      <c r="E1336" s="4">
        <v>186431</v>
      </c>
      <c r="F1336" s="2" t="s">
        <v>2</v>
      </c>
      <c r="G1336" s="2" t="str">
        <f t="shared" si="85"/>
        <v>https://www.oreht.ru/modules.php?name=orehtPriceLS&amp;op=Search&amp;page=1&amp;stext=186431</v>
      </c>
      <c r="I1336">
        <v>186431</v>
      </c>
      <c r="J1336" t="s">
        <v>2</v>
      </c>
      <c r="K1336" t="s">
        <v>3730</v>
      </c>
      <c r="L1336" t="s">
        <v>3731</v>
      </c>
      <c r="M1336" t="s">
        <v>3732</v>
      </c>
    </row>
    <row r="1337" spans="1:13" hidden="1" x14ac:dyDescent="0.25">
      <c r="A1337" s="24">
        <f t="shared" si="86"/>
        <v>20</v>
      </c>
      <c r="B1337" s="24">
        <v>10</v>
      </c>
      <c r="C1337" s="24">
        <v>40</v>
      </c>
      <c r="E1337" s="4">
        <v>245417</v>
      </c>
      <c r="F1337" s="2" t="s">
        <v>2</v>
      </c>
      <c r="G1337" s="2" t="str">
        <f t="shared" si="85"/>
        <v>https://www.oreht.ru/modules.php?name=orehtPriceLS&amp;op=Search&amp;page=1&amp;stext=245417</v>
      </c>
      <c r="I1337">
        <v>245417</v>
      </c>
      <c r="J1337" t="s">
        <v>2</v>
      </c>
      <c r="K1337" t="s">
        <v>3733</v>
      </c>
      <c r="L1337" t="s">
        <v>3734</v>
      </c>
      <c r="M1337" t="s">
        <v>3735</v>
      </c>
    </row>
    <row r="1338" spans="1:13" hidden="1" x14ac:dyDescent="0.25">
      <c r="A1338" s="24">
        <f t="shared" si="86"/>
        <v>20</v>
      </c>
      <c r="B1338" s="24">
        <v>10</v>
      </c>
      <c r="C1338" s="24">
        <v>47</v>
      </c>
      <c r="E1338" s="4">
        <v>206844</v>
      </c>
      <c r="F1338" s="2" t="s">
        <v>2</v>
      </c>
      <c r="G1338" s="2" t="str">
        <f t="shared" si="85"/>
        <v>https://www.oreht.ru/modules.php?name=orehtPriceLS&amp;op=Search&amp;page=1&amp;stext=206844</v>
      </c>
      <c r="I1338">
        <v>206844</v>
      </c>
      <c r="J1338" t="s">
        <v>2</v>
      </c>
      <c r="K1338" t="s">
        <v>3736</v>
      </c>
      <c r="L1338" t="s">
        <v>3737</v>
      </c>
      <c r="M1338" t="s">
        <v>3738</v>
      </c>
    </row>
    <row r="1339" spans="1:13" hidden="1" x14ac:dyDescent="0.25">
      <c r="A1339" s="24">
        <f t="shared" si="86"/>
        <v>20</v>
      </c>
      <c r="B1339" s="24">
        <v>12</v>
      </c>
      <c r="C1339" s="24">
        <v>40</v>
      </c>
      <c r="E1339" s="4">
        <v>450140</v>
      </c>
      <c r="F1339" s="2" t="s">
        <v>2</v>
      </c>
      <c r="G1339" s="2" t="str">
        <f t="shared" si="85"/>
        <v>https://www.oreht.ru/modules.php?name=orehtPriceLS&amp;op=Search&amp;page=1&amp;stext=450140</v>
      </c>
      <c r="I1339">
        <v>450140</v>
      </c>
      <c r="J1339" t="s">
        <v>2</v>
      </c>
      <c r="K1339" t="s">
        <v>3739</v>
      </c>
      <c r="L1339" t="s">
        <v>3740</v>
      </c>
      <c r="M1339" t="s">
        <v>27</v>
      </c>
    </row>
    <row r="1340" spans="1:13" hidden="1" x14ac:dyDescent="0.25">
      <c r="A1340" s="24">
        <f t="shared" si="86"/>
        <v>20</v>
      </c>
      <c r="B1340" s="24">
        <v>11</v>
      </c>
      <c r="C1340" s="24">
        <v>51</v>
      </c>
      <c r="E1340" s="4">
        <v>305674</v>
      </c>
      <c r="F1340" s="2" t="s">
        <v>2</v>
      </c>
      <c r="G1340" s="2" t="str">
        <f t="shared" si="85"/>
        <v>https://www.oreht.ru/modules.php?name=orehtPriceLS&amp;op=Search&amp;page=1&amp;stext=305674</v>
      </c>
      <c r="I1340">
        <v>305674</v>
      </c>
      <c r="J1340" t="s">
        <v>2</v>
      </c>
      <c r="K1340" t="s">
        <v>3741</v>
      </c>
      <c r="L1340" t="s">
        <v>3742</v>
      </c>
      <c r="M1340" t="s">
        <v>3743</v>
      </c>
    </row>
    <row r="1341" spans="1:13" x14ac:dyDescent="0.25">
      <c r="A1341" s="24">
        <f t="shared" si="86"/>
        <v>20</v>
      </c>
      <c r="B1341" s="24">
        <v>11</v>
      </c>
      <c r="C1341" s="24">
        <v>43</v>
      </c>
      <c r="E1341" s="4">
        <v>308611</v>
      </c>
      <c r="F1341" s="2" t="s">
        <v>2</v>
      </c>
      <c r="G1341" s="2" t="str">
        <f t="shared" si="85"/>
        <v>https://www.oreht.ru/modules.php?name=orehtPriceLS&amp;op=Search&amp;page=1&amp;stext=308611</v>
      </c>
      <c r="I1341">
        <v>308611</v>
      </c>
      <c r="J1341" t="s">
        <v>2</v>
      </c>
      <c r="K1341" t="s">
        <v>3744</v>
      </c>
      <c r="L1341" t="s">
        <v>3745</v>
      </c>
      <c r="M1341" t="s">
        <v>649</v>
      </c>
    </row>
    <row r="1342" spans="1:13" x14ac:dyDescent="0.25">
      <c r="A1342" s="24">
        <f t="shared" si="86"/>
        <v>20</v>
      </c>
      <c r="B1342" s="24">
        <v>11</v>
      </c>
      <c r="C1342" s="24">
        <v>135</v>
      </c>
      <c r="E1342" s="4">
        <v>386981</v>
      </c>
      <c r="F1342" s="2" t="s">
        <v>2</v>
      </c>
      <c r="G1342" s="2" t="str">
        <f t="shared" si="85"/>
        <v>https://www.oreht.ru/modules.php?name=orehtPriceLS&amp;op=Search&amp;page=1&amp;stext=386981</v>
      </c>
      <c r="I1342">
        <v>386981</v>
      </c>
      <c r="J1342" t="s">
        <v>2</v>
      </c>
      <c r="K1342" t="s">
        <v>3746</v>
      </c>
      <c r="L1342" t="s">
        <v>3747</v>
      </c>
      <c r="M1342" t="s">
        <v>649</v>
      </c>
    </row>
    <row r="1343" spans="1:13" x14ac:dyDescent="0.25">
      <c r="A1343" s="24">
        <f t="shared" si="86"/>
        <v>20</v>
      </c>
      <c r="B1343" s="24">
        <v>11</v>
      </c>
      <c r="C1343" s="24">
        <v>70</v>
      </c>
      <c r="E1343" s="4">
        <v>425529</v>
      </c>
      <c r="F1343" s="2" t="s">
        <v>2</v>
      </c>
      <c r="G1343" s="2" t="str">
        <f t="shared" si="85"/>
        <v>https://www.oreht.ru/modules.php?name=orehtPriceLS&amp;op=Search&amp;page=1&amp;stext=425529</v>
      </c>
      <c r="I1343">
        <v>425529</v>
      </c>
      <c r="J1343" t="s">
        <v>2</v>
      </c>
      <c r="K1343" t="s">
        <v>3748</v>
      </c>
      <c r="L1343" t="s">
        <v>3749</v>
      </c>
      <c r="M1343" t="s">
        <v>649</v>
      </c>
    </row>
    <row r="1344" spans="1:13" hidden="1" x14ac:dyDescent="0.25">
      <c r="A1344" s="24">
        <f t="shared" si="86"/>
        <v>20</v>
      </c>
      <c r="B1344" s="24">
        <v>11</v>
      </c>
      <c r="C1344" s="24">
        <v>40</v>
      </c>
      <c r="E1344" s="4">
        <v>423558</v>
      </c>
      <c r="F1344" s="2" t="s">
        <v>2</v>
      </c>
      <c r="G1344" s="2" t="str">
        <f t="shared" si="85"/>
        <v>https://www.oreht.ru/modules.php?name=orehtPriceLS&amp;op=Search&amp;page=1&amp;stext=423558</v>
      </c>
      <c r="I1344">
        <v>423558</v>
      </c>
      <c r="J1344" t="s">
        <v>2</v>
      </c>
      <c r="K1344" t="s">
        <v>3750</v>
      </c>
      <c r="L1344" t="s">
        <v>3751</v>
      </c>
      <c r="M1344" t="s">
        <v>3472</v>
      </c>
    </row>
    <row r="1345" spans="1:13" hidden="1" x14ac:dyDescent="0.25">
      <c r="A1345" s="24">
        <f t="shared" si="86"/>
        <v>20</v>
      </c>
      <c r="B1345" s="24">
        <v>11</v>
      </c>
      <c r="C1345" s="24">
        <v>400</v>
      </c>
      <c r="E1345" s="4">
        <v>424598</v>
      </c>
      <c r="F1345" s="2" t="s">
        <v>2</v>
      </c>
      <c r="G1345" s="2" t="str">
        <f t="shared" si="85"/>
        <v>https://www.oreht.ru/modules.php?name=orehtPriceLS&amp;op=Search&amp;page=1&amp;stext=424598</v>
      </c>
      <c r="I1345">
        <v>424598</v>
      </c>
      <c r="J1345" t="s">
        <v>2</v>
      </c>
      <c r="K1345" t="s">
        <v>3752</v>
      </c>
      <c r="L1345" t="s">
        <v>3753</v>
      </c>
      <c r="M1345" t="s">
        <v>3472</v>
      </c>
    </row>
    <row r="1346" spans="1:13" hidden="1" x14ac:dyDescent="0.25">
      <c r="A1346" s="24">
        <f t="shared" si="86"/>
        <v>20</v>
      </c>
      <c r="B1346" s="24">
        <v>11</v>
      </c>
      <c r="C1346" s="24">
        <v>79</v>
      </c>
      <c r="E1346" s="4">
        <v>382587</v>
      </c>
      <c r="F1346" s="2" t="s">
        <v>2</v>
      </c>
      <c r="G1346" s="2" t="str">
        <f t="shared" ref="G1346:G1409" si="87">HYPERLINK(F1346&amp;E1346)</f>
        <v>https://www.oreht.ru/modules.php?name=orehtPriceLS&amp;op=Search&amp;page=1&amp;stext=382587</v>
      </c>
      <c r="I1346">
        <v>382587</v>
      </c>
      <c r="J1346" t="s">
        <v>2</v>
      </c>
      <c r="K1346" t="s">
        <v>3754</v>
      </c>
      <c r="L1346" t="s">
        <v>3755</v>
      </c>
      <c r="M1346" t="s">
        <v>3756</v>
      </c>
    </row>
    <row r="1347" spans="1:13" hidden="1" x14ac:dyDescent="0.25">
      <c r="A1347" s="24">
        <f t="shared" si="86"/>
        <v>20</v>
      </c>
      <c r="B1347" s="24">
        <v>11</v>
      </c>
      <c r="C1347" s="24">
        <v>69</v>
      </c>
      <c r="E1347" s="4">
        <v>382588</v>
      </c>
      <c r="F1347" s="2" t="s">
        <v>2</v>
      </c>
      <c r="G1347" s="2" t="str">
        <f t="shared" si="87"/>
        <v>https://www.oreht.ru/modules.php?name=orehtPriceLS&amp;op=Search&amp;page=1&amp;stext=382588</v>
      </c>
      <c r="I1347">
        <v>382588</v>
      </c>
      <c r="J1347" t="s">
        <v>2</v>
      </c>
      <c r="K1347" t="s">
        <v>3757</v>
      </c>
      <c r="L1347" t="s">
        <v>3758</v>
      </c>
      <c r="M1347" t="s">
        <v>3756</v>
      </c>
    </row>
    <row r="1348" spans="1:13" hidden="1" x14ac:dyDescent="0.25">
      <c r="A1348" s="24">
        <f t="shared" si="86"/>
        <v>20</v>
      </c>
      <c r="B1348" s="24">
        <v>11</v>
      </c>
      <c r="C1348" s="24">
        <v>79</v>
      </c>
      <c r="E1348" s="4">
        <v>382585</v>
      </c>
      <c r="F1348" s="2" t="s">
        <v>2</v>
      </c>
      <c r="G1348" s="2" t="str">
        <f t="shared" si="87"/>
        <v>https://www.oreht.ru/modules.php?name=orehtPriceLS&amp;op=Search&amp;page=1&amp;stext=382585</v>
      </c>
      <c r="I1348">
        <v>382585</v>
      </c>
      <c r="J1348" t="s">
        <v>2</v>
      </c>
      <c r="K1348" t="s">
        <v>3759</v>
      </c>
      <c r="L1348" t="s">
        <v>3760</v>
      </c>
      <c r="M1348" t="s">
        <v>3761</v>
      </c>
    </row>
    <row r="1349" spans="1:13" hidden="1" x14ac:dyDescent="0.25">
      <c r="A1349" s="24">
        <f t="shared" ref="A1349:A1412" si="88">IF(W1349*0.05&gt;=250,250,IF(W1349*0.05&gt;=20,IF(W1349*0.05&lt;20,20,W1349*0.05),20))</f>
        <v>20</v>
      </c>
      <c r="B1349" s="24">
        <v>11</v>
      </c>
      <c r="C1349" s="24">
        <v>100</v>
      </c>
      <c r="E1349" s="4">
        <v>60475</v>
      </c>
      <c r="F1349" s="2" t="s">
        <v>2</v>
      </c>
      <c r="G1349" s="2" t="str">
        <f t="shared" si="87"/>
        <v>https://www.oreht.ru/modules.php?name=orehtPriceLS&amp;op=Search&amp;page=1&amp;stext=60475</v>
      </c>
      <c r="I1349">
        <v>60475</v>
      </c>
      <c r="J1349" t="s">
        <v>2</v>
      </c>
      <c r="K1349" t="s">
        <v>3762</v>
      </c>
      <c r="L1349" t="s">
        <v>3763</v>
      </c>
      <c r="M1349" t="s">
        <v>3764</v>
      </c>
    </row>
    <row r="1350" spans="1:13" hidden="1" x14ac:dyDescent="0.25">
      <c r="A1350" s="24">
        <f t="shared" si="88"/>
        <v>20</v>
      </c>
      <c r="B1350" s="24">
        <v>11</v>
      </c>
      <c r="C1350" s="24">
        <v>100</v>
      </c>
      <c r="E1350" s="4">
        <v>59727</v>
      </c>
      <c r="F1350" s="2" t="s">
        <v>2</v>
      </c>
      <c r="G1350" s="2" t="str">
        <f t="shared" si="87"/>
        <v>https://www.oreht.ru/modules.php?name=orehtPriceLS&amp;op=Search&amp;page=1&amp;stext=59727</v>
      </c>
      <c r="I1350">
        <v>59727</v>
      </c>
      <c r="J1350" t="s">
        <v>2</v>
      </c>
      <c r="K1350" t="s">
        <v>3765</v>
      </c>
      <c r="L1350" t="s">
        <v>3766</v>
      </c>
      <c r="M1350" t="s">
        <v>3764</v>
      </c>
    </row>
    <row r="1351" spans="1:13" x14ac:dyDescent="0.25">
      <c r="A1351" s="24">
        <f t="shared" si="88"/>
        <v>20</v>
      </c>
      <c r="B1351" s="24">
        <v>11</v>
      </c>
      <c r="C1351" s="24">
        <v>43</v>
      </c>
      <c r="E1351" s="4">
        <v>386984</v>
      </c>
      <c r="F1351" s="2" t="s">
        <v>2</v>
      </c>
      <c r="G1351" s="2" t="str">
        <f t="shared" si="87"/>
        <v>https://www.oreht.ru/modules.php?name=orehtPriceLS&amp;op=Search&amp;page=1&amp;stext=386984</v>
      </c>
      <c r="I1351">
        <v>386984</v>
      </c>
      <c r="J1351" t="s">
        <v>2</v>
      </c>
      <c r="K1351" t="s">
        <v>3767</v>
      </c>
      <c r="L1351" t="s">
        <v>3768</v>
      </c>
      <c r="M1351" t="s">
        <v>649</v>
      </c>
    </row>
    <row r="1352" spans="1:13" hidden="1" x14ac:dyDescent="0.25">
      <c r="A1352" s="24">
        <f t="shared" si="88"/>
        <v>20</v>
      </c>
      <c r="B1352" s="24">
        <v>11</v>
      </c>
      <c r="C1352" s="24">
        <v>43</v>
      </c>
      <c r="E1352" s="4">
        <v>311992</v>
      </c>
      <c r="F1352" s="2" t="s">
        <v>2</v>
      </c>
      <c r="G1352" s="2" t="str">
        <f t="shared" si="87"/>
        <v>https://www.oreht.ru/modules.php?name=orehtPriceLS&amp;op=Search&amp;page=1&amp;stext=311992</v>
      </c>
      <c r="I1352">
        <v>311992</v>
      </c>
      <c r="J1352" t="s">
        <v>2</v>
      </c>
      <c r="K1352" t="s">
        <v>3769</v>
      </c>
      <c r="L1352" t="s">
        <v>3770</v>
      </c>
      <c r="M1352" t="s">
        <v>3771</v>
      </c>
    </row>
    <row r="1353" spans="1:13" hidden="1" x14ac:dyDescent="0.25">
      <c r="A1353" s="24">
        <f t="shared" si="88"/>
        <v>20</v>
      </c>
      <c r="B1353" s="24">
        <v>11</v>
      </c>
      <c r="C1353" s="24">
        <v>400</v>
      </c>
      <c r="E1353" s="4">
        <v>59725</v>
      </c>
      <c r="F1353" s="2" t="s">
        <v>2</v>
      </c>
      <c r="G1353" s="2" t="str">
        <f t="shared" si="87"/>
        <v>https://www.oreht.ru/modules.php?name=orehtPriceLS&amp;op=Search&amp;page=1&amp;stext=59725</v>
      </c>
      <c r="I1353">
        <v>59725</v>
      </c>
      <c r="J1353" t="s">
        <v>2</v>
      </c>
      <c r="K1353" t="s">
        <v>3772</v>
      </c>
      <c r="L1353" t="s">
        <v>3773</v>
      </c>
      <c r="M1353" t="s">
        <v>3774</v>
      </c>
    </row>
    <row r="1354" spans="1:13" hidden="1" x14ac:dyDescent="0.25">
      <c r="A1354" s="24">
        <f t="shared" si="88"/>
        <v>20</v>
      </c>
      <c r="B1354" s="24">
        <v>11</v>
      </c>
      <c r="C1354" s="24">
        <v>400</v>
      </c>
      <c r="E1354" s="4">
        <v>454185</v>
      </c>
      <c r="F1354" s="2" t="s">
        <v>2</v>
      </c>
      <c r="G1354" s="2" t="str">
        <f t="shared" si="87"/>
        <v>https://www.oreht.ru/modules.php?name=orehtPriceLS&amp;op=Search&amp;page=1&amp;stext=454185</v>
      </c>
      <c r="I1354">
        <v>454185</v>
      </c>
      <c r="J1354" t="s">
        <v>2</v>
      </c>
      <c r="K1354" t="s">
        <v>3775</v>
      </c>
      <c r="L1354" t="s">
        <v>3776</v>
      </c>
      <c r="M1354" t="s">
        <v>3777</v>
      </c>
    </row>
    <row r="1355" spans="1:13" hidden="1" x14ac:dyDescent="0.25">
      <c r="A1355" s="24">
        <f t="shared" si="88"/>
        <v>20</v>
      </c>
      <c r="B1355" s="24">
        <v>11</v>
      </c>
      <c r="C1355" s="24">
        <v>400</v>
      </c>
      <c r="E1355" s="4">
        <v>59724</v>
      </c>
      <c r="F1355" s="2" t="s">
        <v>2</v>
      </c>
      <c r="G1355" s="2" t="str">
        <f t="shared" si="87"/>
        <v>https://www.oreht.ru/modules.php?name=orehtPriceLS&amp;op=Search&amp;page=1&amp;stext=59724</v>
      </c>
      <c r="I1355">
        <v>59724</v>
      </c>
      <c r="J1355" t="s">
        <v>2</v>
      </c>
      <c r="K1355" t="s">
        <v>3778</v>
      </c>
      <c r="L1355" t="s">
        <v>3779</v>
      </c>
      <c r="M1355" t="s">
        <v>3780</v>
      </c>
    </row>
    <row r="1356" spans="1:13" hidden="1" x14ac:dyDescent="0.25">
      <c r="A1356" s="24">
        <f t="shared" si="88"/>
        <v>20</v>
      </c>
      <c r="B1356" s="24">
        <v>11</v>
      </c>
      <c r="C1356" s="24">
        <v>59.85</v>
      </c>
      <c r="E1356" s="4">
        <v>456406</v>
      </c>
      <c r="F1356" s="2" t="s">
        <v>2</v>
      </c>
      <c r="G1356" s="2" t="str">
        <f t="shared" si="87"/>
        <v>https://www.oreht.ru/modules.php?name=orehtPriceLS&amp;op=Search&amp;page=1&amp;stext=456406</v>
      </c>
      <c r="I1356">
        <v>456406</v>
      </c>
      <c r="J1356" t="s">
        <v>2</v>
      </c>
      <c r="K1356" t="s">
        <v>3781</v>
      </c>
      <c r="L1356" t="s">
        <v>3782</v>
      </c>
      <c r="M1356" t="s">
        <v>3783</v>
      </c>
    </row>
    <row r="1357" spans="1:13" hidden="1" x14ac:dyDescent="0.25">
      <c r="A1357" s="24">
        <f t="shared" si="88"/>
        <v>20</v>
      </c>
      <c r="B1357" s="24">
        <v>11</v>
      </c>
      <c r="C1357" s="24">
        <v>400</v>
      </c>
      <c r="E1357" s="4">
        <v>456407</v>
      </c>
      <c r="F1357" s="2" t="s">
        <v>2</v>
      </c>
      <c r="G1357" s="2" t="str">
        <f t="shared" si="87"/>
        <v>https://www.oreht.ru/modules.php?name=orehtPriceLS&amp;op=Search&amp;page=1&amp;stext=456407</v>
      </c>
      <c r="I1357">
        <v>456407</v>
      </c>
      <c r="J1357" t="s">
        <v>2</v>
      </c>
      <c r="K1357" t="s">
        <v>3784</v>
      </c>
      <c r="L1357" t="s">
        <v>3785</v>
      </c>
      <c r="M1357" t="s">
        <v>3783</v>
      </c>
    </row>
    <row r="1358" spans="1:13" hidden="1" x14ac:dyDescent="0.25">
      <c r="A1358" s="24">
        <f t="shared" si="88"/>
        <v>20</v>
      </c>
      <c r="B1358" s="24">
        <v>11</v>
      </c>
      <c r="C1358" s="24">
        <v>265</v>
      </c>
      <c r="E1358" s="4">
        <v>416545</v>
      </c>
      <c r="F1358" s="2" t="s">
        <v>2</v>
      </c>
      <c r="G1358" s="2" t="str">
        <f t="shared" si="87"/>
        <v>https://www.oreht.ru/modules.php?name=orehtPriceLS&amp;op=Search&amp;page=1&amp;stext=416545</v>
      </c>
      <c r="I1358">
        <v>416545</v>
      </c>
      <c r="J1358" t="s">
        <v>2</v>
      </c>
      <c r="K1358" t="s">
        <v>3786</v>
      </c>
      <c r="L1358" t="s">
        <v>3787</v>
      </c>
      <c r="M1358" t="s">
        <v>3783</v>
      </c>
    </row>
    <row r="1359" spans="1:13" x14ac:dyDescent="0.25">
      <c r="A1359" s="24">
        <f t="shared" si="88"/>
        <v>20</v>
      </c>
      <c r="B1359" s="24">
        <v>11</v>
      </c>
      <c r="C1359" s="24">
        <v>78.099999999999994</v>
      </c>
      <c r="E1359" s="4">
        <v>453488</v>
      </c>
      <c r="F1359" s="2" t="s">
        <v>2</v>
      </c>
      <c r="G1359" s="2" t="str">
        <f t="shared" si="87"/>
        <v>https://www.oreht.ru/modules.php?name=orehtPriceLS&amp;op=Search&amp;page=1&amp;stext=453488</v>
      </c>
      <c r="I1359">
        <v>453488</v>
      </c>
      <c r="J1359" t="s">
        <v>2</v>
      </c>
      <c r="K1359" t="s">
        <v>3788</v>
      </c>
      <c r="L1359" t="s">
        <v>3789</v>
      </c>
      <c r="M1359" t="s">
        <v>649</v>
      </c>
    </row>
    <row r="1360" spans="1:13" x14ac:dyDescent="0.25">
      <c r="A1360" s="24">
        <f t="shared" si="88"/>
        <v>20</v>
      </c>
      <c r="B1360" s="24">
        <v>11</v>
      </c>
      <c r="C1360" s="24">
        <v>79.55</v>
      </c>
      <c r="E1360" s="4">
        <v>454183</v>
      </c>
      <c r="F1360" s="2" t="s">
        <v>2</v>
      </c>
      <c r="G1360" s="2" t="str">
        <f t="shared" si="87"/>
        <v>https://www.oreht.ru/modules.php?name=orehtPriceLS&amp;op=Search&amp;page=1&amp;stext=454183</v>
      </c>
      <c r="I1360">
        <v>454183</v>
      </c>
      <c r="J1360" t="s">
        <v>2</v>
      </c>
      <c r="K1360" t="s">
        <v>3790</v>
      </c>
      <c r="L1360" t="s">
        <v>3791</v>
      </c>
      <c r="M1360" t="s">
        <v>649</v>
      </c>
    </row>
    <row r="1361" spans="1:13" x14ac:dyDescent="0.25">
      <c r="A1361" s="24">
        <f t="shared" si="88"/>
        <v>20</v>
      </c>
      <c r="B1361" s="24">
        <v>11</v>
      </c>
      <c r="C1361" s="24">
        <v>100</v>
      </c>
      <c r="E1361" s="4">
        <v>420829</v>
      </c>
      <c r="F1361" s="2" t="s">
        <v>2</v>
      </c>
      <c r="G1361" s="2" t="str">
        <f t="shared" si="87"/>
        <v>https://www.oreht.ru/modules.php?name=orehtPriceLS&amp;op=Search&amp;page=1&amp;stext=420829</v>
      </c>
      <c r="I1361">
        <v>420829</v>
      </c>
      <c r="J1361" t="s">
        <v>2</v>
      </c>
      <c r="K1361" t="s">
        <v>3792</v>
      </c>
      <c r="L1361" t="s">
        <v>3793</v>
      </c>
      <c r="M1361" t="s">
        <v>649</v>
      </c>
    </row>
    <row r="1362" spans="1:13" hidden="1" x14ac:dyDescent="0.25">
      <c r="A1362" s="24">
        <f t="shared" si="88"/>
        <v>20</v>
      </c>
      <c r="B1362" s="24">
        <v>11</v>
      </c>
      <c r="C1362" s="24">
        <v>700</v>
      </c>
      <c r="E1362" s="4">
        <v>273010</v>
      </c>
      <c r="F1362" s="2" t="s">
        <v>2</v>
      </c>
      <c r="G1362" s="2" t="str">
        <f t="shared" si="87"/>
        <v>https://www.oreht.ru/modules.php?name=orehtPriceLS&amp;op=Search&amp;page=1&amp;stext=273010</v>
      </c>
      <c r="I1362">
        <v>273010</v>
      </c>
      <c r="J1362" t="s">
        <v>2</v>
      </c>
      <c r="K1362" t="s">
        <v>3794</v>
      </c>
      <c r="L1362" t="s">
        <v>3795</v>
      </c>
      <c r="M1362" t="s">
        <v>3796</v>
      </c>
    </row>
    <row r="1363" spans="1:13" hidden="1" x14ac:dyDescent="0.25">
      <c r="A1363" s="24">
        <f t="shared" si="88"/>
        <v>20</v>
      </c>
      <c r="B1363" s="24">
        <v>11</v>
      </c>
      <c r="C1363" s="24">
        <v>118.8</v>
      </c>
      <c r="E1363" s="4">
        <v>428997</v>
      </c>
      <c r="F1363" s="2" t="s">
        <v>2</v>
      </c>
      <c r="G1363" s="2" t="str">
        <f t="shared" si="87"/>
        <v>https://www.oreht.ru/modules.php?name=orehtPriceLS&amp;op=Search&amp;page=1&amp;stext=428997</v>
      </c>
      <c r="I1363">
        <v>428997</v>
      </c>
      <c r="J1363" t="s">
        <v>2</v>
      </c>
      <c r="K1363" t="s">
        <v>3797</v>
      </c>
      <c r="L1363" t="s">
        <v>3798</v>
      </c>
      <c r="M1363" t="s">
        <v>3799</v>
      </c>
    </row>
    <row r="1364" spans="1:13" hidden="1" x14ac:dyDescent="0.25">
      <c r="A1364" s="24">
        <f t="shared" si="88"/>
        <v>20</v>
      </c>
      <c r="B1364" s="24">
        <v>11</v>
      </c>
      <c r="C1364" s="24">
        <v>120</v>
      </c>
      <c r="E1364" s="4">
        <v>428998</v>
      </c>
      <c r="F1364" s="2" t="s">
        <v>2</v>
      </c>
      <c r="G1364" s="2" t="str">
        <f t="shared" si="87"/>
        <v>https://www.oreht.ru/modules.php?name=orehtPriceLS&amp;op=Search&amp;page=1&amp;stext=428998</v>
      </c>
      <c r="I1364">
        <v>428998</v>
      </c>
      <c r="J1364" t="s">
        <v>2</v>
      </c>
      <c r="K1364" t="s">
        <v>3800</v>
      </c>
      <c r="L1364" t="s">
        <v>3801</v>
      </c>
      <c r="M1364" t="s">
        <v>3799</v>
      </c>
    </row>
    <row r="1365" spans="1:13" x14ac:dyDescent="0.25">
      <c r="A1365" s="24">
        <f t="shared" si="88"/>
        <v>20</v>
      </c>
      <c r="B1365" s="24">
        <v>11</v>
      </c>
      <c r="C1365" s="24">
        <v>135</v>
      </c>
      <c r="E1365" s="4">
        <v>426627</v>
      </c>
      <c r="F1365" s="2" t="s">
        <v>2</v>
      </c>
      <c r="G1365" s="2" t="str">
        <f t="shared" si="87"/>
        <v>https://www.oreht.ru/modules.php?name=orehtPriceLS&amp;op=Search&amp;page=1&amp;stext=426627</v>
      </c>
      <c r="I1365">
        <v>426627</v>
      </c>
      <c r="J1365" t="s">
        <v>2</v>
      </c>
      <c r="K1365" t="s">
        <v>3802</v>
      </c>
      <c r="L1365" t="s">
        <v>3803</v>
      </c>
      <c r="M1365" t="s">
        <v>649</v>
      </c>
    </row>
    <row r="1366" spans="1:13" hidden="1" x14ac:dyDescent="0.25">
      <c r="A1366" s="24">
        <f t="shared" si="88"/>
        <v>20</v>
      </c>
      <c r="B1366" s="24">
        <v>11</v>
      </c>
      <c r="C1366" s="24">
        <v>120</v>
      </c>
      <c r="E1366" s="4">
        <v>386707</v>
      </c>
      <c r="F1366" s="2" t="s">
        <v>2</v>
      </c>
      <c r="G1366" s="2" t="str">
        <f t="shared" si="87"/>
        <v>https://www.oreht.ru/modules.php?name=orehtPriceLS&amp;op=Search&amp;page=1&amp;stext=386707</v>
      </c>
      <c r="I1366">
        <v>386707</v>
      </c>
      <c r="J1366" t="s">
        <v>2</v>
      </c>
      <c r="K1366" t="s">
        <v>3804</v>
      </c>
      <c r="L1366" t="s">
        <v>3805</v>
      </c>
      <c r="M1366" t="s">
        <v>3806</v>
      </c>
    </row>
    <row r="1367" spans="1:13" hidden="1" x14ac:dyDescent="0.25">
      <c r="A1367" s="24">
        <f t="shared" si="88"/>
        <v>20</v>
      </c>
      <c r="B1367" s="24">
        <v>11</v>
      </c>
      <c r="C1367" s="24">
        <v>130.32</v>
      </c>
      <c r="E1367" s="4">
        <v>388454</v>
      </c>
      <c r="F1367" s="2" t="s">
        <v>2</v>
      </c>
      <c r="G1367" s="2" t="str">
        <f t="shared" si="87"/>
        <v>https://www.oreht.ru/modules.php?name=orehtPriceLS&amp;op=Search&amp;page=1&amp;stext=388454</v>
      </c>
      <c r="I1367">
        <v>388454</v>
      </c>
      <c r="J1367" t="s">
        <v>2</v>
      </c>
      <c r="K1367" t="s">
        <v>3807</v>
      </c>
      <c r="L1367" t="s">
        <v>3808</v>
      </c>
      <c r="M1367" t="s">
        <v>3809</v>
      </c>
    </row>
    <row r="1368" spans="1:13" hidden="1" x14ac:dyDescent="0.25">
      <c r="A1368" s="24">
        <f t="shared" si="88"/>
        <v>20</v>
      </c>
      <c r="B1368" s="24">
        <v>11</v>
      </c>
      <c r="C1368" s="24">
        <v>130.56</v>
      </c>
      <c r="E1368" s="4">
        <v>386705</v>
      </c>
      <c r="F1368" s="2" t="s">
        <v>2</v>
      </c>
      <c r="G1368" s="2" t="str">
        <f t="shared" si="87"/>
        <v>https://www.oreht.ru/modules.php?name=orehtPriceLS&amp;op=Search&amp;page=1&amp;stext=386705</v>
      </c>
      <c r="I1368">
        <v>386705</v>
      </c>
      <c r="J1368" t="s">
        <v>2</v>
      </c>
      <c r="K1368" t="s">
        <v>3810</v>
      </c>
      <c r="L1368" t="s">
        <v>3811</v>
      </c>
      <c r="M1368" t="s">
        <v>3812</v>
      </c>
    </row>
    <row r="1369" spans="1:13" hidden="1" x14ac:dyDescent="0.25">
      <c r="A1369" s="24">
        <f t="shared" si="88"/>
        <v>20</v>
      </c>
      <c r="B1369" s="24">
        <v>11</v>
      </c>
      <c r="C1369" s="24">
        <v>130.56</v>
      </c>
      <c r="E1369" s="4">
        <v>382593</v>
      </c>
      <c r="F1369" s="2" t="s">
        <v>2</v>
      </c>
      <c r="G1369" s="2" t="str">
        <f t="shared" si="87"/>
        <v>https://www.oreht.ru/modules.php?name=orehtPriceLS&amp;op=Search&amp;page=1&amp;stext=382593</v>
      </c>
      <c r="I1369">
        <v>382593</v>
      </c>
      <c r="J1369" t="s">
        <v>2</v>
      </c>
      <c r="K1369" t="s">
        <v>3813</v>
      </c>
      <c r="L1369" t="s">
        <v>3814</v>
      </c>
      <c r="M1369" t="s">
        <v>3812</v>
      </c>
    </row>
    <row r="1370" spans="1:13" hidden="1" x14ac:dyDescent="0.25">
      <c r="A1370" s="24">
        <f t="shared" si="88"/>
        <v>20</v>
      </c>
      <c r="B1370" s="24">
        <v>11</v>
      </c>
      <c r="C1370" s="24">
        <v>130.56</v>
      </c>
      <c r="E1370" s="4">
        <v>382595</v>
      </c>
      <c r="F1370" s="2" t="s">
        <v>2</v>
      </c>
      <c r="G1370" s="2" t="str">
        <f t="shared" si="87"/>
        <v>https://www.oreht.ru/modules.php?name=orehtPriceLS&amp;op=Search&amp;page=1&amp;stext=382595</v>
      </c>
      <c r="I1370">
        <v>382595</v>
      </c>
      <c r="J1370" t="s">
        <v>2</v>
      </c>
      <c r="K1370" t="s">
        <v>3815</v>
      </c>
      <c r="L1370" t="s">
        <v>3816</v>
      </c>
      <c r="M1370" t="s">
        <v>3812</v>
      </c>
    </row>
    <row r="1371" spans="1:13" hidden="1" x14ac:dyDescent="0.25">
      <c r="A1371" s="24">
        <f t="shared" si="88"/>
        <v>20</v>
      </c>
      <c r="B1371" s="24">
        <v>11</v>
      </c>
      <c r="C1371" s="24">
        <v>130.56</v>
      </c>
      <c r="E1371" s="4">
        <v>386633</v>
      </c>
      <c r="F1371" s="2" t="s">
        <v>2</v>
      </c>
      <c r="G1371" s="2" t="str">
        <f t="shared" si="87"/>
        <v>https://www.oreht.ru/modules.php?name=orehtPriceLS&amp;op=Search&amp;page=1&amp;stext=386633</v>
      </c>
      <c r="I1371">
        <v>386633</v>
      </c>
      <c r="J1371" t="s">
        <v>2</v>
      </c>
      <c r="K1371" t="s">
        <v>3817</v>
      </c>
      <c r="L1371" t="s">
        <v>3818</v>
      </c>
      <c r="M1371" t="s">
        <v>3812</v>
      </c>
    </row>
    <row r="1372" spans="1:13" hidden="1" x14ac:dyDescent="0.25">
      <c r="A1372" s="24">
        <f t="shared" si="88"/>
        <v>20</v>
      </c>
      <c r="B1372" s="24">
        <v>11</v>
      </c>
      <c r="C1372" s="24">
        <v>133.56</v>
      </c>
      <c r="E1372" s="4">
        <v>388457</v>
      </c>
      <c r="F1372" s="2" t="s">
        <v>2</v>
      </c>
      <c r="G1372" s="2" t="str">
        <f t="shared" si="87"/>
        <v>https://www.oreht.ru/modules.php?name=orehtPriceLS&amp;op=Search&amp;page=1&amp;stext=388457</v>
      </c>
      <c r="I1372">
        <v>388457</v>
      </c>
      <c r="J1372" t="s">
        <v>2</v>
      </c>
      <c r="K1372" t="s">
        <v>3819</v>
      </c>
      <c r="L1372" t="s">
        <v>3820</v>
      </c>
      <c r="M1372" t="s">
        <v>3821</v>
      </c>
    </row>
    <row r="1373" spans="1:13" hidden="1" x14ac:dyDescent="0.25">
      <c r="A1373" s="24">
        <f t="shared" si="88"/>
        <v>20</v>
      </c>
      <c r="B1373" s="24">
        <v>11</v>
      </c>
      <c r="C1373" s="24">
        <v>133.56</v>
      </c>
      <c r="E1373" s="4">
        <v>388458</v>
      </c>
      <c r="F1373" s="2" t="s">
        <v>2</v>
      </c>
      <c r="G1373" s="2" t="str">
        <f t="shared" si="87"/>
        <v>https://www.oreht.ru/modules.php?name=orehtPriceLS&amp;op=Search&amp;page=1&amp;stext=388458</v>
      </c>
      <c r="I1373">
        <v>388458</v>
      </c>
      <c r="J1373" t="s">
        <v>2</v>
      </c>
      <c r="K1373" t="s">
        <v>3822</v>
      </c>
      <c r="L1373" t="s">
        <v>3823</v>
      </c>
      <c r="M1373" t="s">
        <v>3821</v>
      </c>
    </row>
    <row r="1374" spans="1:13" hidden="1" x14ac:dyDescent="0.25">
      <c r="A1374" s="24">
        <f t="shared" si="88"/>
        <v>20</v>
      </c>
      <c r="B1374" s="24">
        <v>11</v>
      </c>
      <c r="C1374" s="24">
        <v>700</v>
      </c>
      <c r="E1374" s="4">
        <v>273009</v>
      </c>
      <c r="F1374" s="2" t="s">
        <v>2</v>
      </c>
      <c r="G1374" s="2" t="str">
        <f t="shared" si="87"/>
        <v>https://www.oreht.ru/modules.php?name=orehtPriceLS&amp;op=Search&amp;page=1&amp;stext=273009</v>
      </c>
      <c r="I1374">
        <v>273009</v>
      </c>
      <c r="J1374" t="s">
        <v>2</v>
      </c>
      <c r="K1374" t="s">
        <v>3824</v>
      </c>
      <c r="L1374" t="s">
        <v>3825</v>
      </c>
      <c r="M1374" t="s">
        <v>3826</v>
      </c>
    </row>
    <row r="1375" spans="1:13" hidden="1" x14ac:dyDescent="0.25">
      <c r="A1375" s="24">
        <f t="shared" si="88"/>
        <v>20</v>
      </c>
      <c r="B1375" s="24">
        <v>11</v>
      </c>
      <c r="C1375" s="24">
        <v>150</v>
      </c>
      <c r="E1375" s="4">
        <v>345822</v>
      </c>
      <c r="F1375" s="2" t="s">
        <v>2</v>
      </c>
      <c r="G1375" s="2" t="str">
        <f t="shared" si="87"/>
        <v>https://www.oreht.ru/modules.php?name=orehtPriceLS&amp;op=Search&amp;page=1&amp;stext=345822</v>
      </c>
      <c r="I1375">
        <v>345822</v>
      </c>
      <c r="J1375" t="s">
        <v>2</v>
      </c>
      <c r="K1375" t="s">
        <v>3827</v>
      </c>
      <c r="L1375" t="s">
        <v>3828</v>
      </c>
      <c r="M1375" t="s">
        <v>3829</v>
      </c>
    </row>
    <row r="1376" spans="1:13" hidden="1" x14ac:dyDescent="0.25">
      <c r="A1376" s="24">
        <f t="shared" si="88"/>
        <v>20</v>
      </c>
      <c r="B1376" s="24">
        <v>11</v>
      </c>
      <c r="C1376" s="24">
        <v>140.69999999999999</v>
      </c>
      <c r="E1376" s="4">
        <v>382591</v>
      </c>
      <c r="F1376" s="2" t="s">
        <v>2</v>
      </c>
      <c r="G1376" s="2" t="str">
        <f t="shared" si="87"/>
        <v>https://www.oreht.ru/modules.php?name=orehtPriceLS&amp;op=Search&amp;page=1&amp;stext=382591</v>
      </c>
      <c r="I1376">
        <v>382591</v>
      </c>
      <c r="J1376" t="s">
        <v>2</v>
      </c>
      <c r="K1376" t="s">
        <v>3830</v>
      </c>
      <c r="L1376" t="s">
        <v>3831</v>
      </c>
      <c r="M1376" t="s">
        <v>3829</v>
      </c>
    </row>
    <row r="1377" spans="1:13" hidden="1" x14ac:dyDescent="0.25">
      <c r="A1377" s="24">
        <f t="shared" si="88"/>
        <v>20</v>
      </c>
      <c r="B1377" s="24">
        <v>11</v>
      </c>
      <c r="C1377" s="24">
        <v>137.69999999999999</v>
      </c>
      <c r="E1377" s="4">
        <v>393643</v>
      </c>
      <c r="F1377" s="2" t="s">
        <v>2</v>
      </c>
      <c r="G1377" s="2" t="str">
        <f t="shared" si="87"/>
        <v>https://www.oreht.ru/modules.php?name=orehtPriceLS&amp;op=Search&amp;page=1&amp;stext=393643</v>
      </c>
      <c r="I1377">
        <v>393643</v>
      </c>
      <c r="J1377" t="s">
        <v>2</v>
      </c>
      <c r="K1377" t="s">
        <v>3832</v>
      </c>
      <c r="L1377" t="s">
        <v>3833</v>
      </c>
      <c r="M1377" t="s">
        <v>3829</v>
      </c>
    </row>
    <row r="1378" spans="1:13" hidden="1" x14ac:dyDescent="0.25">
      <c r="A1378" s="24">
        <f t="shared" si="88"/>
        <v>20</v>
      </c>
      <c r="B1378" s="24">
        <v>11</v>
      </c>
      <c r="C1378" s="24">
        <v>137.69999999999999</v>
      </c>
      <c r="E1378" s="4">
        <v>345837</v>
      </c>
      <c r="F1378" s="2" t="s">
        <v>2</v>
      </c>
      <c r="G1378" s="2" t="str">
        <f t="shared" si="87"/>
        <v>https://www.oreht.ru/modules.php?name=orehtPriceLS&amp;op=Search&amp;page=1&amp;stext=345837</v>
      </c>
      <c r="I1378">
        <v>345837</v>
      </c>
      <c r="J1378" t="s">
        <v>2</v>
      </c>
      <c r="K1378" t="s">
        <v>3834</v>
      </c>
      <c r="L1378" t="s">
        <v>3835</v>
      </c>
      <c r="M1378" t="s">
        <v>3829</v>
      </c>
    </row>
    <row r="1379" spans="1:13" hidden="1" x14ac:dyDescent="0.25">
      <c r="A1379" s="24">
        <f t="shared" si="88"/>
        <v>20</v>
      </c>
      <c r="B1379" s="24">
        <v>11</v>
      </c>
      <c r="C1379" s="24">
        <v>113</v>
      </c>
      <c r="E1379" s="4">
        <v>345834</v>
      </c>
      <c r="F1379" s="2" t="s">
        <v>2</v>
      </c>
      <c r="G1379" s="2" t="str">
        <f t="shared" si="87"/>
        <v>https://www.oreht.ru/modules.php?name=orehtPriceLS&amp;op=Search&amp;page=1&amp;stext=345834</v>
      </c>
      <c r="I1379">
        <v>345834</v>
      </c>
      <c r="J1379" t="s">
        <v>2</v>
      </c>
      <c r="K1379" t="s">
        <v>3836</v>
      </c>
      <c r="L1379" t="s">
        <v>3837</v>
      </c>
      <c r="M1379" t="s">
        <v>3829</v>
      </c>
    </row>
    <row r="1380" spans="1:13" hidden="1" x14ac:dyDescent="0.25">
      <c r="A1380" s="24">
        <f t="shared" si="88"/>
        <v>20</v>
      </c>
      <c r="B1380" s="24">
        <v>11</v>
      </c>
      <c r="C1380" s="24">
        <v>143.28</v>
      </c>
      <c r="E1380" s="4">
        <v>383655</v>
      </c>
      <c r="F1380" s="2" t="s">
        <v>2</v>
      </c>
      <c r="G1380" s="2" t="str">
        <f t="shared" si="87"/>
        <v>https://www.oreht.ru/modules.php?name=orehtPriceLS&amp;op=Search&amp;page=1&amp;stext=383655</v>
      </c>
      <c r="I1380">
        <v>383655</v>
      </c>
      <c r="J1380" t="s">
        <v>2</v>
      </c>
      <c r="K1380" t="s">
        <v>3838</v>
      </c>
      <c r="L1380" t="s">
        <v>3839</v>
      </c>
      <c r="M1380" t="s">
        <v>3840</v>
      </c>
    </row>
    <row r="1381" spans="1:13" hidden="1" x14ac:dyDescent="0.25">
      <c r="A1381" s="24">
        <f t="shared" si="88"/>
        <v>20</v>
      </c>
      <c r="B1381" s="24">
        <v>11</v>
      </c>
      <c r="C1381" s="24">
        <v>151.26</v>
      </c>
      <c r="E1381" s="4">
        <v>451806</v>
      </c>
      <c r="F1381" s="2" t="s">
        <v>2</v>
      </c>
      <c r="G1381" s="2" t="str">
        <f t="shared" si="87"/>
        <v>https://www.oreht.ru/modules.php?name=orehtPriceLS&amp;op=Search&amp;page=1&amp;stext=451806</v>
      </c>
      <c r="I1381">
        <v>451806</v>
      </c>
      <c r="J1381" t="s">
        <v>2</v>
      </c>
      <c r="K1381" t="s">
        <v>3841</v>
      </c>
      <c r="L1381" t="s">
        <v>3842</v>
      </c>
      <c r="M1381" t="s">
        <v>3843</v>
      </c>
    </row>
    <row r="1382" spans="1:13" hidden="1" x14ac:dyDescent="0.25">
      <c r="A1382" s="24">
        <f t="shared" si="88"/>
        <v>20</v>
      </c>
      <c r="B1382" s="24">
        <v>11</v>
      </c>
      <c r="C1382" s="24">
        <v>151.32</v>
      </c>
      <c r="E1382" s="4">
        <v>451807</v>
      </c>
      <c r="F1382" s="2" t="s">
        <v>2</v>
      </c>
      <c r="G1382" s="2" t="str">
        <f t="shared" si="87"/>
        <v>https://www.oreht.ru/modules.php?name=orehtPriceLS&amp;op=Search&amp;page=1&amp;stext=451807</v>
      </c>
      <c r="I1382">
        <v>451807</v>
      </c>
      <c r="J1382" t="s">
        <v>2</v>
      </c>
      <c r="K1382" t="s">
        <v>3844</v>
      </c>
      <c r="L1382" t="s">
        <v>3845</v>
      </c>
      <c r="M1382" t="s">
        <v>3843</v>
      </c>
    </row>
    <row r="1383" spans="1:13" hidden="1" x14ac:dyDescent="0.25">
      <c r="A1383" s="24">
        <f t="shared" si="88"/>
        <v>20</v>
      </c>
      <c r="B1383" s="24">
        <v>15</v>
      </c>
      <c r="C1383" s="24">
        <v>43</v>
      </c>
      <c r="E1383" s="4">
        <v>136261</v>
      </c>
      <c r="F1383" s="2" t="s">
        <v>2</v>
      </c>
      <c r="G1383" s="2" t="str">
        <f t="shared" si="87"/>
        <v>https://www.oreht.ru/modules.php?name=orehtPriceLS&amp;op=Search&amp;page=1&amp;stext=136261</v>
      </c>
      <c r="I1383">
        <v>136261</v>
      </c>
      <c r="J1383" t="s">
        <v>2</v>
      </c>
      <c r="K1383" t="s">
        <v>3846</v>
      </c>
      <c r="L1383" t="s">
        <v>3847</v>
      </c>
      <c r="M1383" t="s">
        <v>955</v>
      </c>
    </row>
    <row r="1384" spans="1:13" x14ac:dyDescent="0.25">
      <c r="A1384" s="24">
        <f t="shared" si="88"/>
        <v>20</v>
      </c>
      <c r="B1384" s="24">
        <v>11</v>
      </c>
      <c r="C1384" s="24">
        <v>151.32</v>
      </c>
      <c r="E1384" s="4">
        <v>343792</v>
      </c>
      <c r="F1384" s="2" t="s">
        <v>2</v>
      </c>
      <c r="G1384" s="2" t="str">
        <f t="shared" si="87"/>
        <v>https://www.oreht.ru/modules.php?name=orehtPriceLS&amp;op=Search&amp;page=1&amp;stext=343792</v>
      </c>
      <c r="I1384">
        <v>343792</v>
      </c>
      <c r="J1384" t="s">
        <v>2</v>
      </c>
      <c r="K1384" t="s">
        <v>3848</v>
      </c>
      <c r="L1384" t="s">
        <v>3849</v>
      </c>
      <c r="M1384" t="s">
        <v>649</v>
      </c>
    </row>
    <row r="1385" spans="1:13" hidden="1" x14ac:dyDescent="0.25">
      <c r="A1385" s="24">
        <f t="shared" si="88"/>
        <v>20</v>
      </c>
      <c r="B1385" s="24">
        <v>11</v>
      </c>
      <c r="C1385" s="24">
        <v>115</v>
      </c>
      <c r="E1385" s="4">
        <v>344828</v>
      </c>
      <c r="F1385" s="2" t="s">
        <v>2</v>
      </c>
      <c r="G1385" s="2" t="str">
        <f t="shared" si="87"/>
        <v>https://www.oreht.ru/modules.php?name=orehtPriceLS&amp;op=Search&amp;page=1&amp;stext=344828</v>
      </c>
      <c r="I1385">
        <v>344828</v>
      </c>
      <c r="J1385" t="s">
        <v>2</v>
      </c>
      <c r="K1385" t="s">
        <v>3850</v>
      </c>
      <c r="L1385" t="s">
        <v>3851</v>
      </c>
      <c r="M1385" t="s">
        <v>3843</v>
      </c>
    </row>
    <row r="1386" spans="1:13" hidden="1" x14ac:dyDescent="0.25">
      <c r="A1386" s="24">
        <f t="shared" si="88"/>
        <v>20</v>
      </c>
      <c r="B1386" s="24">
        <v>11</v>
      </c>
      <c r="C1386" s="24">
        <v>151.32</v>
      </c>
      <c r="E1386" s="4">
        <v>349337</v>
      </c>
      <c r="F1386" s="2" t="s">
        <v>2</v>
      </c>
      <c r="G1386" s="2" t="str">
        <f t="shared" si="87"/>
        <v>https://www.oreht.ru/modules.php?name=orehtPriceLS&amp;op=Search&amp;page=1&amp;stext=349337</v>
      </c>
      <c r="I1386">
        <v>349337</v>
      </c>
      <c r="J1386" t="s">
        <v>2</v>
      </c>
      <c r="K1386" t="s">
        <v>3852</v>
      </c>
      <c r="L1386" t="s">
        <v>3853</v>
      </c>
      <c r="M1386" t="s">
        <v>3843</v>
      </c>
    </row>
    <row r="1387" spans="1:13" x14ac:dyDescent="0.25">
      <c r="A1387" s="24">
        <f t="shared" si="88"/>
        <v>20</v>
      </c>
      <c r="B1387" s="24">
        <v>11</v>
      </c>
      <c r="C1387" s="24">
        <v>151.32</v>
      </c>
      <c r="E1387" s="4">
        <v>451804</v>
      </c>
      <c r="F1387" s="2" t="s">
        <v>2</v>
      </c>
      <c r="G1387" s="2" t="str">
        <f t="shared" si="87"/>
        <v>https://www.oreht.ru/modules.php?name=orehtPriceLS&amp;op=Search&amp;page=1&amp;stext=451804</v>
      </c>
      <c r="I1387">
        <v>451804</v>
      </c>
      <c r="J1387" t="s">
        <v>2</v>
      </c>
      <c r="K1387" t="s">
        <v>3854</v>
      </c>
      <c r="L1387" t="s">
        <v>3855</v>
      </c>
      <c r="M1387" t="s">
        <v>649</v>
      </c>
    </row>
    <row r="1388" spans="1:13" x14ac:dyDescent="0.25">
      <c r="A1388" s="24">
        <f t="shared" si="88"/>
        <v>20</v>
      </c>
      <c r="B1388" s="24">
        <v>11</v>
      </c>
      <c r="C1388" s="24">
        <v>151.32</v>
      </c>
      <c r="E1388" s="4">
        <v>456413</v>
      </c>
      <c r="F1388" s="2" t="s">
        <v>2</v>
      </c>
      <c r="G1388" s="2" t="str">
        <f t="shared" si="87"/>
        <v>https://www.oreht.ru/modules.php?name=orehtPriceLS&amp;op=Search&amp;page=1&amp;stext=456413</v>
      </c>
      <c r="I1388">
        <v>456413</v>
      </c>
      <c r="J1388" t="s">
        <v>2</v>
      </c>
      <c r="K1388" t="s">
        <v>3856</v>
      </c>
      <c r="L1388" t="s">
        <v>3857</v>
      </c>
      <c r="M1388" t="s">
        <v>649</v>
      </c>
    </row>
    <row r="1389" spans="1:13" hidden="1" x14ac:dyDescent="0.25">
      <c r="A1389" s="24">
        <f t="shared" si="88"/>
        <v>20</v>
      </c>
      <c r="B1389" s="24">
        <v>10</v>
      </c>
      <c r="C1389" s="24">
        <v>79</v>
      </c>
      <c r="E1389" s="4">
        <v>442454</v>
      </c>
      <c r="F1389" s="2" t="s">
        <v>2</v>
      </c>
      <c r="G1389" s="2" t="str">
        <f t="shared" si="87"/>
        <v>https://www.oreht.ru/modules.php?name=orehtPriceLS&amp;op=Search&amp;page=1&amp;stext=442454</v>
      </c>
      <c r="I1389">
        <v>442454</v>
      </c>
      <c r="J1389" t="s">
        <v>2</v>
      </c>
      <c r="K1389" t="s">
        <v>3858</v>
      </c>
      <c r="L1389" t="s">
        <v>3859</v>
      </c>
      <c r="M1389" t="s">
        <v>3860</v>
      </c>
    </row>
    <row r="1390" spans="1:13" hidden="1" x14ac:dyDescent="0.25">
      <c r="A1390" s="24">
        <f t="shared" si="88"/>
        <v>20</v>
      </c>
      <c r="B1390" s="24">
        <v>11</v>
      </c>
      <c r="C1390" s="24">
        <v>115</v>
      </c>
      <c r="E1390" s="4">
        <v>342974</v>
      </c>
      <c r="F1390" s="2" t="s">
        <v>2</v>
      </c>
      <c r="G1390" s="2" t="str">
        <f t="shared" si="87"/>
        <v>https://www.oreht.ru/modules.php?name=orehtPriceLS&amp;op=Search&amp;page=1&amp;stext=342974</v>
      </c>
      <c r="I1390">
        <v>342974</v>
      </c>
      <c r="J1390" t="s">
        <v>2</v>
      </c>
      <c r="K1390" t="s">
        <v>3861</v>
      </c>
      <c r="L1390" t="s">
        <v>3862</v>
      </c>
      <c r="M1390" t="s">
        <v>3843</v>
      </c>
    </row>
    <row r="1391" spans="1:13" hidden="1" x14ac:dyDescent="0.25">
      <c r="A1391" s="24">
        <f t="shared" si="88"/>
        <v>20</v>
      </c>
      <c r="B1391" s="24">
        <v>11</v>
      </c>
      <c r="C1391" s="24">
        <v>525</v>
      </c>
      <c r="E1391" s="4">
        <v>345814</v>
      </c>
      <c r="F1391" s="2" t="s">
        <v>2</v>
      </c>
      <c r="G1391" s="2" t="str">
        <f t="shared" si="87"/>
        <v>https://www.oreht.ru/modules.php?name=orehtPriceLS&amp;op=Search&amp;page=1&amp;stext=345814</v>
      </c>
      <c r="I1391">
        <v>345814</v>
      </c>
      <c r="J1391" t="s">
        <v>2</v>
      </c>
      <c r="K1391" t="s">
        <v>3863</v>
      </c>
      <c r="L1391" t="s">
        <v>3864</v>
      </c>
      <c r="M1391" t="s">
        <v>3865</v>
      </c>
    </row>
    <row r="1392" spans="1:13" hidden="1" x14ac:dyDescent="0.25">
      <c r="A1392" s="24">
        <f t="shared" si="88"/>
        <v>20</v>
      </c>
      <c r="B1392" s="24">
        <v>11</v>
      </c>
      <c r="C1392" s="24">
        <v>157.91999999999999</v>
      </c>
      <c r="E1392" s="4">
        <v>386703</v>
      </c>
      <c r="F1392" s="2" t="s">
        <v>2</v>
      </c>
      <c r="G1392" s="2" t="str">
        <f t="shared" si="87"/>
        <v>https://www.oreht.ru/modules.php?name=orehtPriceLS&amp;op=Search&amp;page=1&amp;stext=386703</v>
      </c>
      <c r="I1392">
        <v>386703</v>
      </c>
      <c r="J1392" t="s">
        <v>2</v>
      </c>
      <c r="K1392" t="s">
        <v>3866</v>
      </c>
      <c r="L1392" t="s">
        <v>3867</v>
      </c>
      <c r="M1392" t="s">
        <v>3868</v>
      </c>
    </row>
    <row r="1393" spans="1:13" hidden="1" x14ac:dyDescent="0.25">
      <c r="A1393" s="24">
        <f t="shared" si="88"/>
        <v>20</v>
      </c>
      <c r="B1393" s="24">
        <v>8</v>
      </c>
      <c r="C1393" s="24">
        <v>40</v>
      </c>
      <c r="E1393" s="4">
        <v>463302</v>
      </c>
      <c r="F1393" s="2" t="s">
        <v>2</v>
      </c>
      <c r="G1393" s="2" t="str">
        <f t="shared" si="87"/>
        <v>https://www.oreht.ru/modules.php?name=orehtPriceLS&amp;op=Search&amp;page=1&amp;stext=463302</v>
      </c>
      <c r="I1393">
        <v>463302</v>
      </c>
      <c r="J1393" t="s">
        <v>2</v>
      </c>
      <c r="K1393" t="s">
        <v>3869</v>
      </c>
      <c r="L1393" t="s">
        <v>3870</v>
      </c>
      <c r="M1393" t="s">
        <v>3871</v>
      </c>
    </row>
    <row r="1394" spans="1:13" hidden="1" x14ac:dyDescent="0.25">
      <c r="A1394" s="24">
        <f t="shared" si="88"/>
        <v>20</v>
      </c>
      <c r="B1394" s="24">
        <v>11</v>
      </c>
      <c r="C1394" s="24">
        <v>159.30000000000001</v>
      </c>
      <c r="E1394" s="4">
        <v>345668</v>
      </c>
      <c r="F1394" s="2" t="s">
        <v>2</v>
      </c>
      <c r="G1394" s="2" t="str">
        <f t="shared" si="87"/>
        <v>https://www.oreht.ru/modules.php?name=orehtPriceLS&amp;op=Search&amp;page=1&amp;stext=345668</v>
      </c>
      <c r="I1394">
        <v>345668</v>
      </c>
      <c r="J1394" t="s">
        <v>2</v>
      </c>
      <c r="K1394" t="s">
        <v>3872</v>
      </c>
      <c r="L1394" t="s">
        <v>3873</v>
      </c>
      <c r="M1394" t="s">
        <v>3868</v>
      </c>
    </row>
    <row r="1395" spans="1:13" hidden="1" x14ac:dyDescent="0.25">
      <c r="A1395" s="24">
        <f t="shared" si="88"/>
        <v>20</v>
      </c>
      <c r="B1395" s="24">
        <v>11</v>
      </c>
      <c r="C1395" s="24">
        <v>162.54</v>
      </c>
      <c r="E1395" s="4">
        <v>429534</v>
      </c>
      <c r="F1395" s="2" t="s">
        <v>2</v>
      </c>
      <c r="G1395" s="2" t="str">
        <f t="shared" si="87"/>
        <v>https://www.oreht.ru/modules.php?name=orehtPriceLS&amp;op=Search&amp;page=1&amp;stext=429534</v>
      </c>
      <c r="I1395">
        <v>429534</v>
      </c>
      <c r="J1395" t="s">
        <v>2</v>
      </c>
      <c r="K1395" t="s">
        <v>3874</v>
      </c>
      <c r="L1395" t="s">
        <v>3875</v>
      </c>
      <c r="M1395" t="s">
        <v>3876</v>
      </c>
    </row>
    <row r="1396" spans="1:13" hidden="1" x14ac:dyDescent="0.25">
      <c r="A1396" s="24">
        <f t="shared" si="88"/>
        <v>20</v>
      </c>
      <c r="B1396" s="24">
        <v>11</v>
      </c>
      <c r="C1396" s="24">
        <v>115</v>
      </c>
      <c r="E1396" s="4">
        <v>393646</v>
      </c>
      <c r="F1396" s="2" t="s">
        <v>2</v>
      </c>
      <c r="G1396" s="2" t="str">
        <f t="shared" si="87"/>
        <v>https://www.oreht.ru/modules.php?name=orehtPriceLS&amp;op=Search&amp;page=1&amp;stext=393646</v>
      </c>
      <c r="I1396">
        <v>393646</v>
      </c>
      <c r="J1396" t="s">
        <v>2</v>
      </c>
      <c r="K1396" t="s">
        <v>3877</v>
      </c>
      <c r="L1396" t="s">
        <v>3878</v>
      </c>
      <c r="M1396" t="s">
        <v>3876</v>
      </c>
    </row>
    <row r="1397" spans="1:13" hidden="1" x14ac:dyDescent="0.25">
      <c r="A1397" s="24">
        <f t="shared" si="88"/>
        <v>20</v>
      </c>
      <c r="B1397" s="24">
        <v>15</v>
      </c>
      <c r="C1397" s="24">
        <v>51</v>
      </c>
      <c r="E1397" s="4">
        <v>375008</v>
      </c>
      <c r="F1397" s="2" t="s">
        <v>2</v>
      </c>
      <c r="G1397" s="2" t="str">
        <f t="shared" si="87"/>
        <v>https://www.oreht.ru/modules.php?name=orehtPriceLS&amp;op=Search&amp;page=1&amp;stext=375008</v>
      </c>
      <c r="I1397">
        <v>375008</v>
      </c>
      <c r="J1397" t="s">
        <v>2</v>
      </c>
      <c r="K1397" t="s">
        <v>3879</v>
      </c>
      <c r="L1397" t="s">
        <v>3880</v>
      </c>
      <c r="M1397" t="s">
        <v>3881</v>
      </c>
    </row>
    <row r="1398" spans="1:13" hidden="1" x14ac:dyDescent="0.25">
      <c r="A1398" s="24">
        <f t="shared" si="88"/>
        <v>20</v>
      </c>
      <c r="B1398" s="24">
        <v>11</v>
      </c>
      <c r="C1398" s="24">
        <v>162.54</v>
      </c>
      <c r="E1398" s="4">
        <v>425527</v>
      </c>
      <c r="F1398" s="2" t="s">
        <v>2</v>
      </c>
      <c r="G1398" s="2" t="str">
        <f t="shared" si="87"/>
        <v>https://www.oreht.ru/modules.php?name=orehtPriceLS&amp;op=Search&amp;page=1&amp;stext=425527</v>
      </c>
      <c r="I1398">
        <v>425527</v>
      </c>
      <c r="J1398" t="s">
        <v>2</v>
      </c>
      <c r="K1398" t="s">
        <v>3882</v>
      </c>
      <c r="L1398" t="s">
        <v>3883</v>
      </c>
      <c r="M1398" t="s">
        <v>3876</v>
      </c>
    </row>
    <row r="1399" spans="1:13" hidden="1" x14ac:dyDescent="0.25">
      <c r="A1399" s="24">
        <f t="shared" si="88"/>
        <v>20</v>
      </c>
      <c r="B1399" s="24">
        <v>15</v>
      </c>
      <c r="C1399" s="24">
        <v>49</v>
      </c>
      <c r="E1399" s="4">
        <v>366767</v>
      </c>
      <c r="F1399" s="2" t="s">
        <v>2</v>
      </c>
      <c r="G1399" s="2" t="str">
        <f t="shared" si="87"/>
        <v>https://www.oreht.ru/modules.php?name=orehtPriceLS&amp;op=Search&amp;page=1&amp;stext=366767</v>
      </c>
      <c r="I1399">
        <v>366767</v>
      </c>
      <c r="J1399" t="s">
        <v>2</v>
      </c>
      <c r="K1399" t="s">
        <v>3884</v>
      </c>
      <c r="L1399" t="s">
        <v>3885</v>
      </c>
      <c r="M1399" t="s">
        <v>3886</v>
      </c>
    </row>
    <row r="1400" spans="1:13" hidden="1" x14ac:dyDescent="0.25">
      <c r="A1400" s="24">
        <f t="shared" si="88"/>
        <v>20</v>
      </c>
      <c r="B1400" s="24">
        <v>11</v>
      </c>
      <c r="C1400" s="24">
        <v>115</v>
      </c>
      <c r="E1400" s="4">
        <v>456416</v>
      </c>
      <c r="F1400" s="2" t="s">
        <v>2</v>
      </c>
      <c r="G1400" s="2" t="str">
        <f t="shared" si="87"/>
        <v>https://www.oreht.ru/modules.php?name=orehtPriceLS&amp;op=Search&amp;page=1&amp;stext=456416</v>
      </c>
      <c r="I1400">
        <v>456416</v>
      </c>
      <c r="J1400" t="s">
        <v>2</v>
      </c>
      <c r="K1400" t="s">
        <v>3887</v>
      </c>
      <c r="L1400" t="s">
        <v>3888</v>
      </c>
      <c r="M1400" t="s">
        <v>3876</v>
      </c>
    </row>
    <row r="1401" spans="1:13" hidden="1" x14ac:dyDescent="0.25">
      <c r="A1401" s="24">
        <f t="shared" si="88"/>
        <v>20</v>
      </c>
      <c r="B1401" s="24">
        <v>11</v>
      </c>
      <c r="C1401" s="24">
        <v>162.54</v>
      </c>
      <c r="E1401" s="4">
        <v>386637</v>
      </c>
      <c r="F1401" s="2" t="s">
        <v>2</v>
      </c>
      <c r="G1401" s="2" t="str">
        <f t="shared" si="87"/>
        <v>https://www.oreht.ru/modules.php?name=orehtPriceLS&amp;op=Search&amp;page=1&amp;stext=386637</v>
      </c>
      <c r="I1401">
        <v>386637</v>
      </c>
      <c r="J1401" t="s">
        <v>2</v>
      </c>
      <c r="K1401" t="s">
        <v>3889</v>
      </c>
      <c r="L1401" t="s">
        <v>3890</v>
      </c>
      <c r="M1401" t="s">
        <v>3876</v>
      </c>
    </row>
    <row r="1402" spans="1:13" hidden="1" x14ac:dyDescent="0.25">
      <c r="A1402" s="24">
        <f t="shared" si="88"/>
        <v>20</v>
      </c>
      <c r="B1402" s="24">
        <v>15</v>
      </c>
      <c r="C1402" s="24">
        <v>40</v>
      </c>
      <c r="E1402" s="4">
        <v>391780</v>
      </c>
      <c r="F1402" s="2" t="s">
        <v>2</v>
      </c>
      <c r="G1402" s="2" t="str">
        <f t="shared" si="87"/>
        <v>https://www.oreht.ru/modules.php?name=orehtPriceLS&amp;op=Search&amp;page=1&amp;stext=391780</v>
      </c>
      <c r="I1402">
        <v>391780</v>
      </c>
      <c r="J1402" t="s">
        <v>2</v>
      </c>
      <c r="K1402" t="s">
        <v>3891</v>
      </c>
      <c r="L1402" t="s">
        <v>3892</v>
      </c>
      <c r="M1402" t="s">
        <v>3893</v>
      </c>
    </row>
    <row r="1403" spans="1:13" hidden="1" x14ac:dyDescent="0.25">
      <c r="A1403" s="24">
        <f t="shared" si="88"/>
        <v>20</v>
      </c>
      <c r="B1403" s="24">
        <v>5</v>
      </c>
      <c r="C1403" s="24">
        <v>41</v>
      </c>
      <c r="E1403" s="4">
        <v>275704</v>
      </c>
      <c r="F1403" s="2" t="s">
        <v>2</v>
      </c>
      <c r="G1403" s="2" t="str">
        <f t="shared" si="87"/>
        <v>https://www.oreht.ru/modules.php?name=orehtPriceLS&amp;op=Search&amp;page=1&amp;stext=275704</v>
      </c>
      <c r="I1403">
        <v>275704</v>
      </c>
      <c r="J1403" t="s">
        <v>2</v>
      </c>
      <c r="K1403" t="s">
        <v>3894</v>
      </c>
      <c r="L1403" t="s">
        <v>3895</v>
      </c>
      <c r="M1403" t="s">
        <v>3896</v>
      </c>
    </row>
    <row r="1404" spans="1:13" hidden="1" x14ac:dyDescent="0.25">
      <c r="A1404" s="24">
        <f t="shared" si="88"/>
        <v>20</v>
      </c>
      <c r="B1404" s="24">
        <v>15</v>
      </c>
      <c r="C1404" s="24">
        <v>40</v>
      </c>
      <c r="E1404" s="4">
        <v>391781</v>
      </c>
      <c r="F1404" s="2" t="s">
        <v>2</v>
      </c>
      <c r="G1404" s="2" t="str">
        <f t="shared" si="87"/>
        <v>https://www.oreht.ru/modules.php?name=orehtPriceLS&amp;op=Search&amp;page=1&amp;stext=391781</v>
      </c>
      <c r="I1404">
        <v>391781</v>
      </c>
      <c r="J1404" t="s">
        <v>2</v>
      </c>
      <c r="K1404" t="s">
        <v>3897</v>
      </c>
      <c r="L1404" t="s">
        <v>3898</v>
      </c>
      <c r="M1404" t="s">
        <v>3536</v>
      </c>
    </row>
    <row r="1405" spans="1:13" hidden="1" x14ac:dyDescent="0.25">
      <c r="A1405" s="24">
        <f t="shared" si="88"/>
        <v>20</v>
      </c>
      <c r="B1405" s="24">
        <v>11</v>
      </c>
      <c r="C1405" s="24">
        <v>162.54</v>
      </c>
      <c r="E1405" s="4">
        <v>386706</v>
      </c>
      <c r="F1405" s="2" t="s">
        <v>2</v>
      </c>
      <c r="G1405" s="2" t="str">
        <f t="shared" si="87"/>
        <v>https://www.oreht.ru/modules.php?name=orehtPriceLS&amp;op=Search&amp;page=1&amp;stext=386706</v>
      </c>
      <c r="I1405">
        <v>386706</v>
      </c>
      <c r="J1405" t="s">
        <v>2</v>
      </c>
      <c r="K1405" t="s">
        <v>3899</v>
      </c>
      <c r="L1405" t="s">
        <v>3900</v>
      </c>
      <c r="M1405" t="s">
        <v>3876</v>
      </c>
    </row>
    <row r="1406" spans="1:13" x14ac:dyDescent="0.25">
      <c r="A1406" s="24">
        <f t="shared" si="88"/>
        <v>20</v>
      </c>
      <c r="B1406" s="24">
        <v>11</v>
      </c>
      <c r="C1406" s="24">
        <v>162.54</v>
      </c>
      <c r="E1406" s="4">
        <v>345666</v>
      </c>
      <c r="F1406" s="2" t="s">
        <v>2</v>
      </c>
      <c r="G1406" s="2" t="str">
        <f t="shared" si="87"/>
        <v>https://www.oreht.ru/modules.php?name=orehtPriceLS&amp;op=Search&amp;page=1&amp;stext=345666</v>
      </c>
      <c r="I1406">
        <v>345666</v>
      </c>
      <c r="J1406" t="s">
        <v>2</v>
      </c>
      <c r="K1406" t="s">
        <v>3901</v>
      </c>
      <c r="L1406" t="s">
        <v>3902</v>
      </c>
      <c r="M1406" t="s">
        <v>649</v>
      </c>
    </row>
    <row r="1407" spans="1:13" hidden="1" x14ac:dyDescent="0.25">
      <c r="A1407" s="24">
        <f t="shared" si="88"/>
        <v>20</v>
      </c>
      <c r="B1407" s="24">
        <v>11</v>
      </c>
      <c r="C1407" s="24">
        <v>176.04</v>
      </c>
      <c r="E1407" s="4">
        <v>349328</v>
      </c>
      <c r="F1407" s="2" t="s">
        <v>2</v>
      </c>
      <c r="G1407" s="2" t="str">
        <f t="shared" si="87"/>
        <v>https://www.oreht.ru/modules.php?name=orehtPriceLS&amp;op=Search&amp;page=1&amp;stext=349328</v>
      </c>
      <c r="I1407">
        <v>349328</v>
      </c>
      <c r="J1407" t="s">
        <v>2</v>
      </c>
      <c r="K1407" t="s">
        <v>3903</v>
      </c>
      <c r="L1407" t="s">
        <v>3904</v>
      </c>
      <c r="M1407" t="s">
        <v>3905</v>
      </c>
    </row>
    <row r="1408" spans="1:13" hidden="1" x14ac:dyDescent="0.25">
      <c r="A1408" s="24">
        <f t="shared" si="88"/>
        <v>20</v>
      </c>
      <c r="B1408" s="24">
        <v>11</v>
      </c>
      <c r="C1408" s="24">
        <v>174.48</v>
      </c>
      <c r="E1408" s="4">
        <v>351870</v>
      </c>
      <c r="F1408" s="2" t="s">
        <v>2</v>
      </c>
      <c r="G1408" s="2" t="str">
        <f t="shared" si="87"/>
        <v>https://www.oreht.ru/modules.php?name=orehtPriceLS&amp;op=Search&amp;page=1&amp;stext=351870</v>
      </c>
      <c r="I1408">
        <v>351870</v>
      </c>
      <c r="J1408" t="s">
        <v>2</v>
      </c>
      <c r="K1408" t="s">
        <v>3906</v>
      </c>
      <c r="L1408" t="s">
        <v>3907</v>
      </c>
      <c r="M1408" t="s">
        <v>3905</v>
      </c>
    </row>
    <row r="1409" spans="1:13" hidden="1" x14ac:dyDescent="0.25">
      <c r="A1409" s="24">
        <f t="shared" si="88"/>
        <v>20</v>
      </c>
      <c r="B1409" s="24">
        <v>11</v>
      </c>
      <c r="C1409" s="24">
        <v>174.72</v>
      </c>
      <c r="E1409" s="4">
        <v>415580</v>
      </c>
      <c r="F1409" s="2" t="s">
        <v>2</v>
      </c>
      <c r="G1409" s="2" t="str">
        <f t="shared" si="87"/>
        <v>https://www.oreht.ru/modules.php?name=orehtPriceLS&amp;op=Search&amp;page=1&amp;stext=415580</v>
      </c>
      <c r="I1409">
        <v>415580</v>
      </c>
      <c r="J1409" t="s">
        <v>2</v>
      </c>
      <c r="K1409" t="s">
        <v>3908</v>
      </c>
      <c r="L1409" t="s">
        <v>3909</v>
      </c>
      <c r="M1409" t="s">
        <v>3910</v>
      </c>
    </row>
    <row r="1410" spans="1:13" hidden="1" x14ac:dyDescent="0.25">
      <c r="A1410" s="24">
        <f t="shared" si="88"/>
        <v>20</v>
      </c>
      <c r="B1410" s="24">
        <v>11</v>
      </c>
      <c r="C1410" s="24">
        <v>174.72</v>
      </c>
      <c r="E1410" s="4">
        <v>420832</v>
      </c>
      <c r="F1410" s="2" t="s">
        <v>2</v>
      </c>
      <c r="G1410" s="2" t="str">
        <f t="shared" ref="G1410:G1473" si="89">HYPERLINK(F1410&amp;E1410)</f>
        <v>https://www.oreht.ru/modules.php?name=orehtPriceLS&amp;op=Search&amp;page=1&amp;stext=420832</v>
      </c>
      <c r="I1410">
        <v>420832</v>
      </c>
      <c r="J1410" t="s">
        <v>2</v>
      </c>
      <c r="K1410" t="s">
        <v>3911</v>
      </c>
      <c r="L1410" t="s">
        <v>3912</v>
      </c>
      <c r="M1410" t="s">
        <v>3910</v>
      </c>
    </row>
    <row r="1411" spans="1:13" hidden="1" x14ac:dyDescent="0.25">
      <c r="A1411" s="24">
        <f t="shared" si="88"/>
        <v>20</v>
      </c>
      <c r="B1411" s="24">
        <v>15</v>
      </c>
      <c r="C1411" s="24">
        <v>40</v>
      </c>
      <c r="E1411" s="4">
        <v>346430</v>
      </c>
      <c r="F1411" s="2" t="s">
        <v>2</v>
      </c>
      <c r="G1411" s="2" t="str">
        <f t="shared" si="89"/>
        <v>https://www.oreht.ru/modules.php?name=orehtPriceLS&amp;op=Search&amp;page=1&amp;stext=346430</v>
      </c>
      <c r="I1411">
        <v>346430</v>
      </c>
      <c r="J1411" t="s">
        <v>2</v>
      </c>
      <c r="K1411" t="s">
        <v>3913</v>
      </c>
      <c r="L1411" t="s">
        <v>3914</v>
      </c>
      <c r="M1411" t="s">
        <v>3915</v>
      </c>
    </row>
    <row r="1412" spans="1:13" hidden="1" x14ac:dyDescent="0.25">
      <c r="A1412" s="24">
        <f t="shared" si="88"/>
        <v>20</v>
      </c>
      <c r="B1412" s="24">
        <v>11</v>
      </c>
      <c r="C1412" s="24">
        <v>400</v>
      </c>
      <c r="E1412" s="4">
        <v>419215</v>
      </c>
      <c r="F1412" s="2" t="s">
        <v>2</v>
      </c>
      <c r="G1412" s="2" t="str">
        <f t="shared" si="89"/>
        <v>https://www.oreht.ru/modules.php?name=orehtPriceLS&amp;op=Search&amp;page=1&amp;stext=419215</v>
      </c>
      <c r="I1412">
        <v>419215</v>
      </c>
      <c r="J1412" t="s">
        <v>2</v>
      </c>
      <c r="K1412" t="s">
        <v>3916</v>
      </c>
      <c r="L1412" t="s">
        <v>3917</v>
      </c>
      <c r="M1412" t="s">
        <v>3918</v>
      </c>
    </row>
    <row r="1413" spans="1:13" hidden="1" x14ac:dyDescent="0.25">
      <c r="A1413" s="24">
        <f t="shared" ref="A1413:A1476" si="90">IF(W1413*0.05&gt;=250,250,IF(W1413*0.05&gt;=20,IF(W1413*0.05&lt;20,20,W1413*0.05),20))</f>
        <v>20</v>
      </c>
      <c r="B1413" s="24">
        <v>9</v>
      </c>
      <c r="C1413" s="24">
        <v>41</v>
      </c>
      <c r="E1413" s="4">
        <v>119090</v>
      </c>
      <c r="F1413" s="2" t="s">
        <v>2</v>
      </c>
      <c r="G1413" s="2" t="str">
        <f t="shared" si="89"/>
        <v>https://www.oreht.ru/modules.php?name=orehtPriceLS&amp;op=Search&amp;page=1&amp;stext=119090</v>
      </c>
      <c r="I1413">
        <v>119090</v>
      </c>
      <c r="J1413" t="s">
        <v>2</v>
      </c>
      <c r="K1413" t="s">
        <v>3919</v>
      </c>
      <c r="L1413" t="s">
        <v>3920</v>
      </c>
      <c r="M1413" t="s">
        <v>3921</v>
      </c>
    </row>
    <row r="1414" spans="1:13" x14ac:dyDescent="0.25">
      <c r="A1414" s="24">
        <f t="shared" si="90"/>
        <v>20</v>
      </c>
      <c r="B1414" s="24">
        <v>11</v>
      </c>
      <c r="C1414" s="24">
        <v>193.74</v>
      </c>
      <c r="E1414" s="4">
        <v>415578</v>
      </c>
      <c r="F1414" s="2" t="s">
        <v>2</v>
      </c>
      <c r="G1414" s="2" t="str">
        <f t="shared" si="89"/>
        <v>https://www.oreht.ru/modules.php?name=orehtPriceLS&amp;op=Search&amp;page=1&amp;stext=415578</v>
      </c>
      <c r="I1414">
        <v>415578</v>
      </c>
      <c r="J1414" t="s">
        <v>2</v>
      </c>
      <c r="K1414" t="s">
        <v>3922</v>
      </c>
      <c r="L1414" t="s">
        <v>3923</v>
      </c>
      <c r="M1414" t="s">
        <v>649</v>
      </c>
    </row>
    <row r="1415" spans="1:13" hidden="1" x14ac:dyDescent="0.25">
      <c r="A1415" s="24">
        <f t="shared" si="90"/>
        <v>20</v>
      </c>
      <c r="B1415" s="24">
        <v>11</v>
      </c>
      <c r="C1415" s="24">
        <v>265</v>
      </c>
      <c r="E1415" s="4">
        <v>386698</v>
      </c>
      <c r="F1415" s="2" t="s">
        <v>2</v>
      </c>
      <c r="G1415" s="2" t="str">
        <f t="shared" si="89"/>
        <v>https://www.oreht.ru/modules.php?name=orehtPriceLS&amp;op=Search&amp;page=1&amp;stext=386698</v>
      </c>
      <c r="I1415">
        <v>386698</v>
      </c>
      <c r="J1415" t="s">
        <v>2</v>
      </c>
      <c r="K1415" t="s">
        <v>3924</v>
      </c>
      <c r="L1415" t="s">
        <v>3925</v>
      </c>
      <c r="M1415" t="s">
        <v>3926</v>
      </c>
    </row>
    <row r="1416" spans="1:13" hidden="1" x14ac:dyDescent="0.25">
      <c r="A1416" s="24">
        <f t="shared" si="90"/>
        <v>20</v>
      </c>
      <c r="B1416" s="24">
        <v>11</v>
      </c>
      <c r="C1416" s="24">
        <v>265</v>
      </c>
      <c r="E1416" s="4">
        <v>386699</v>
      </c>
      <c r="F1416" s="2" t="s">
        <v>2</v>
      </c>
      <c r="G1416" s="2" t="str">
        <f t="shared" si="89"/>
        <v>https://www.oreht.ru/modules.php?name=orehtPriceLS&amp;op=Search&amp;page=1&amp;stext=386699</v>
      </c>
      <c r="I1416">
        <v>386699</v>
      </c>
      <c r="J1416" t="s">
        <v>2</v>
      </c>
      <c r="K1416" t="s">
        <v>3927</v>
      </c>
      <c r="L1416" t="s">
        <v>3928</v>
      </c>
      <c r="M1416" t="s">
        <v>3926</v>
      </c>
    </row>
    <row r="1417" spans="1:13" hidden="1" x14ac:dyDescent="0.25">
      <c r="A1417" s="24">
        <f t="shared" si="90"/>
        <v>20</v>
      </c>
      <c r="B1417" s="24">
        <v>11</v>
      </c>
      <c r="C1417" s="24">
        <v>100</v>
      </c>
      <c r="E1417" s="4">
        <v>386700</v>
      </c>
      <c r="F1417" s="2" t="s">
        <v>2</v>
      </c>
      <c r="G1417" s="2" t="str">
        <f t="shared" si="89"/>
        <v>https://www.oreht.ru/modules.php?name=orehtPriceLS&amp;op=Search&amp;page=1&amp;stext=386700</v>
      </c>
      <c r="I1417">
        <v>386700</v>
      </c>
      <c r="J1417" t="s">
        <v>2</v>
      </c>
      <c r="K1417" t="s">
        <v>3929</v>
      </c>
      <c r="L1417" t="s">
        <v>3930</v>
      </c>
      <c r="M1417" t="s">
        <v>3926</v>
      </c>
    </row>
    <row r="1418" spans="1:13" hidden="1" x14ac:dyDescent="0.25">
      <c r="A1418" s="24">
        <f t="shared" si="90"/>
        <v>20</v>
      </c>
      <c r="B1418" s="24">
        <v>11</v>
      </c>
      <c r="C1418" s="24">
        <v>225</v>
      </c>
      <c r="E1418" s="4">
        <v>429529</v>
      </c>
      <c r="F1418" s="2" t="s">
        <v>2</v>
      </c>
      <c r="G1418" s="2" t="str">
        <f t="shared" si="89"/>
        <v>https://www.oreht.ru/modules.php?name=orehtPriceLS&amp;op=Search&amp;page=1&amp;stext=429529</v>
      </c>
      <c r="I1418">
        <v>429529</v>
      </c>
      <c r="J1418" t="s">
        <v>2</v>
      </c>
      <c r="K1418" t="s">
        <v>3931</v>
      </c>
      <c r="L1418" t="s">
        <v>3932</v>
      </c>
      <c r="M1418" t="s">
        <v>3933</v>
      </c>
    </row>
    <row r="1419" spans="1:13" hidden="1" x14ac:dyDescent="0.25">
      <c r="A1419" s="24">
        <f t="shared" si="90"/>
        <v>20</v>
      </c>
      <c r="B1419" s="24">
        <v>11</v>
      </c>
      <c r="C1419" s="24">
        <v>290</v>
      </c>
      <c r="E1419" s="4">
        <v>463239</v>
      </c>
      <c r="F1419" s="2" t="s">
        <v>2</v>
      </c>
      <c r="G1419" s="2" t="str">
        <f t="shared" si="89"/>
        <v>https://www.oreht.ru/modules.php?name=orehtPriceLS&amp;op=Search&amp;page=1&amp;stext=463239</v>
      </c>
      <c r="I1419">
        <v>463239</v>
      </c>
      <c r="J1419" t="s">
        <v>2</v>
      </c>
      <c r="K1419" t="s">
        <v>3934</v>
      </c>
      <c r="L1419" t="s">
        <v>3935</v>
      </c>
      <c r="M1419" t="s">
        <v>3936</v>
      </c>
    </row>
    <row r="1420" spans="1:13" hidden="1" x14ac:dyDescent="0.25">
      <c r="A1420" s="24">
        <f t="shared" si="90"/>
        <v>20</v>
      </c>
      <c r="B1420" s="24">
        <v>11</v>
      </c>
      <c r="C1420" s="24">
        <v>700</v>
      </c>
      <c r="E1420" s="4">
        <v>386987</v>
      </c>
      <c r="F1420" s="2" t="s">
        <v>2</v>
      </c>
      <c r="G1420" s="2" t="str">
        <f t="shared" si="89"/>
        <v>https://www.oreht.ru/modules.php?name=orehtPriceLS&amp;op=Search&amp;page=1&amp;stext=386987</v>
      </c>
      <c r="I1420">
        <v>386987</v>
      </c>
      <c r="J1420" t="s">
        <v>2</v>
      </c>
      <c r="K1420" t="s">
        <v>3937</v>
      </c>
      <c r="L1420" t="s">
        <v>3938</v>
      </c>
      <c r="M1420" t="s">
        <v>3936</v>
      </c>
    </row>
    <row r="1421" spans="1:13" x14ac:dyDescent="0.25">
      <c r="A1421" s="24">
        <f t="shared" si="90"/>
        <v>20</v>
      </c>
      <c r="B1421" s="24">
        <v>11</v>
      </c>
      <c r="C1421" s="24">
        <v>189.9</v>
      </c>
      <c r="E1421" s="4">
        <v>451809</v>
      </c>
      <c r="F1421" s="2" t="s">
        <v>2</v>
      </c>
      <c r="G1421" s="2" t="str">
        <f t="shared" si="89"/>
        <v>https://www.oreht.ru/modules.php?name=orehtPriceLS&amp;op=Search&amp;page=1&amp;stext=451809</v>
      </c>
      <c r="I1421">
        <v>451809</v>
      </c>
      <c r="J1421" t="s">
        <v>2</v>
      </c>
      <c r="K1421" t="s">
        <v>3939</v>
      </c>
      <c r="L1421" t="s">
        <v>3940</v>
      </c>
      <c r="M1421" t="s">
        <v>649</v>
      </c>
    </row>
    <row r="1422" spans="1:13" hidden="1" x14ac:dyDescent="0.25">
      <c r="A1422" s="24">
        <f t="shared" si="90"/>
        <v>20</v>
      </c>
      <c r="B1422" s="24">
        <v>5</v>
      </c>
      <c r="C1422" s="24">
        <v>41</v>
      </c>
      <c r="E1422" s="4">
        <v>275711</v>
      </c>
      <c r="F1422" s="2" t="s">
        <v>2</v>
      </c>
      <c r="G1422" s="2" t="str">
        <f t="shared" si="89"/>
        <v>https://www.oreht.ru/modules.php?name=orehtPriceLS&amp;op=Search&amp;page=1&amp;stext=275711</v>
      </c>
      <c r="I1422">
        <v>275711</v>
      </c>
      <c r="J1422" t="s">
        <v>2</v>
      </c>
      <c r="K1422" t="s">
        <v>3941</v>
      </c>
      <c r="L1422" t="s">
        <v>3942</v>
      </c>
      <c r="M1422" t="s">
        <v>3943</v>
      </c>
    </row>
    <row r="1423" spans="1:13" x14ac:dyDescent="0.25">
      <c r="A1423" s="24">
        <f t="shared" si="90"/>
        <v>20</v>
      </c>
      <c r="B1423" s="24">
        <v>11</v>
      </c>
      <c r="C1423" s="24">
        <v>174.42</v>
      </c>
      <c r="E1423" s="4">
        <v>451810</v>
      </c>
      <c r="F1423" s="2" t="s">
        <v>2</v>
      </c>
      <c r="G1423" s="2" t="str">
        <f t="shared" si="89"/>
        <v>https://www.oreht.ru/modules.php?name=orehtPriceLS&amp;op=Search&amp;page=1&amp;stext=451810</v>
      </c>
      <c r="I1423">
        <v>451810</v>
      </c>
      <c r="J1423" t="s">
        <v>2</v>
      </c>
      <c r="K1423" t="s">
        <v>3944</v>
      </c>
      <c r="L1423" t="s">
        <v>3945</v>
      </c>
      <c r="M1423" t="s">
        <v>649</v>
      </c>
    </row>
    <row r="1424" spans="1:13" hidden="1" x14ac:dyDescent="0.25">
      <c r="A1424" s="24">
        <f t="shared" si="90"/>
        <v>20</v>
      </c>
      <c r="B1424" s="24">
        <v>11</v>
      </c>
      <c r="C1424" s="24">
        <v>189.9</v>
      </c>
      <c r="E1424" s="4">
        <v>349340</v>
      </c>
      <c r="F1424" s="2" t="s">
        <v>2</v>
      </c>
      <c r="G1424" s="2" t="str">
        <f t="shared" si="89"/>
        <v>https://www.oreht.ru/modules.php?name=orehtPriceLS&amp;op=Search&amp;page=1&amp;stext=349340</v>
      </c>
      <c r="I1424">
        <v>349340</v>
      </c>
      <c r="J1424" t="s">
        <v>2</v>
      </c>
      <c r="K1424" t="s">
        <v>3946</v>
      </c>
      <c r="L1424" t="s">
        <v>3947</v>
      </c>
      <c r="M1424" t="s">
        <v>3948</v>
      </c>
    </row>
    <row r="1425" spans="1:13" x14ac:dyDescent="0.25">
      <c r="A1425" s="24">
        <f t="shared" si="90"/>
        <v>20</v>
      </c>
      <c r="B1425" s="24">
        <v>11</v>
      </c>
      <c r="C1425" s="24">
        <v>525</v>
      </c>
      <c r="E1425" s="4">
        <v>351452</v>
      </c>
      <c r="F1425" s="2" t="s">
        <v>2</v>
      </c>
      <c r="G1425" s="2" t="str">
        <f t="shared" si="89"/>
        <v>https://www.oreht.ru/modules.php?name=orehtPriceLS&amp;op=Search&amp;page=1&amp;stext=351452</v>
      </c>
      <c r="I1425">
        <v>351452</v>
      </c>
      <c r="J1425" t="s">
        <v>2</v>
      </c>
      <c r="K1425" t="s">
        <v>3949</v>
      </c>
      <c r="L1425" t="s">
        <v>3950</v>
      </c>
      <c r="M1425" t="s">
        <v>649</v>
      </c>
    </row>
    <row r="1426" spans="1:13" hidden="1" x14ac:dyDescent="0.25">
      <c r="A1426" s="24">
        <f t="shared" si="90"/>
        <v>20</v>
      </c>
      <c r="B1426" s="24">
        <v>11</v>
      </c>
      <c r="C1426" s="24">
        <v>350</v>
      </c>
      <c r="E1426" s="4">
        <v>351451</v>
      </c>
      <c r="F1426" s="2" t="s">
        <v>2</v>
      </c>
      <c r="G1426" s="2" t="str">
        <f t="shared" si="89"/>
        <v>https://www.oreht.ru/modules.php?name=orehtPriceLS&amp;op=Search&amp;page=1&amp;stext=351451</v>
      </c>
      <c r="I1426">
        <v>351451</v>
      </c>
      <c r="J1426" t="s">
        <v>2</v>
      </c>
      <c r="K1426" t="s">
        <v>3951</v>
      </c>
      <c r="L1426" t="s">
        <v>3952</v>
      </c>
      <c r="M1426" t="s">
        <v>3953</v>
      </c>
    </row>
    <row r="1427" spans="1:13" hidden="1" x14ac:dyDescent="0.25">
      <c r="A1427" s="24">
        <f t="shared" si="90"/>
        <v>20</v>
      </c>
      <c r="B1427" s="24">
        <v>11</v>
      </c>
      <c r="C1427" s="24">
        <v>700</v>
      </c>
      <c r="E1427" s="4">
        <v>420324</v>
      </c>
      <c r="F1427" s="2" t="s">
        <v>2</v>
      </c>
      <c r="G1427" s="2" t="str">
        <f t="shared" si="89"/>
        <v>https://www.oreht.ru/modules.php?name=orehtPriceLS&amp;op=Search&amp;page=1&amp;stext=420324</v>
      </c>
      <c r="I1427">
        <v>420324</v>
      </c>
      <c r="J1427" t="s">
        <v>2</v>
      </c>
      <c r="K1427" t="s">
        <v>3954</v>
      </c>
      <c r="L1427" t="s">
        <v>3955</v>
      </c>
      <c r="M1427" t="s">
        <v>3956</v>
      </c>
    </row>
    <row r="1428" spans="1:13" hidden="1" x14ac:dyDescent="0.25">
      <c r="A1428" s="24">
        <f t="shared" si="90"/>
        <v>20</v>
      </c>
      <c r="B1428" s="24">
        <v>12</v>
      </c>
      <c r="C1428" s="24">
        <v>41</v>
      </c>
      <c r="E1428" s="4">
        <v>138650</v>
      </c>
      <c r="F1428" s="2" t="s">
        <v>2</v>
      </c>
      <c r="G1428" s="2" t="str">
        <f t="shared" si="89"/>
        <v>https://www.oreht.ru/modules.php?name=orehtPriceLS&amp;op=Search&amp;page=1&amp;stext=138650</v>
      </c>
      <c r="I1428">
        <v>138650</v>
      </c>
      <c r="J1428" t="s">
        <v>2</v>
      </c>
      <c r="K1428" t="s">
        <v>3957</v>
      </c>
      <c r="L1428" t="s">
        <v>3958</v>
      </c>
      <c r="M1428" t="s">
        <v>3959</v>
      </c>
    </row>
    <row r="1429" spans="1:13" hidden="1" x14ac:dyDescent="0.25">
      <c r="A1429" s="24">
        <f t="shared" si="90"/>
        <v>20</v>
      </c>
      <c r="B1429" s="24">
        <v>11</v>
      </c>
      <c r="C1429" s="24">
        <v>193.32</v>
      </c>
      <c r="E1429" s="4">
        <v>458150</v>
      </c>
      <c r="F1429" s="2" t="s">
        <v>2</v>
      </c>
      <c r="G1429" s="2" t="str">
        <f t="shared" si="89"/>
        <v>https://www.oreht.ru/modules.php?name=orehtPriceLS&amp;op=Search&amp;page=1&amp;stext=458150</v>
      </c>
      <c r="I1429">
        <v>458150</v>
      </c>
      <c r="J1429" t="s">
        <v>2</v>
      </c>
      <c r="K1429" t="s">
        <v>3960</v>
      </c>
      <c r="L1429" t="s">
        <v>3961</v>
      </c>
      <c r="M1429" t="s">
        <v>3956</v>
      </c>
    </row>
    <row r="1430" spans="1:13" x14ac:dyDescent="0.25">
      <c r="A1430" s="24">
        <f t="shared" si="90"/>
        <v>20</v>
      </c>
      <c r="B1430" s="24">
        <v>11</v>
      </c>
      <c r="C1430" s="24">
        <v>193.38</v>
      </c>
      <c r="E1430" s="4">
        <v>458151</v>
      </c>
      <c r="F1430" s="2" t="s">
        <v>2</v>
      </c>
      <c r="G1430" s="2" t="str">
        <f t="shared" si="89"/>
        <v>https://www.oreht.ru/modules.php?name=orehtPriceLS&amp;op=Search&amp;page=1&amp;stext=458151</v>
      </c>
      <c r="I1430">
        <v>458151</v>
      </c>
      <c r="J1430" t="s">
        <v>2</v>
      </c>
      <c r="K1430" t="s">
        <v>3962</v>
      </c>
      <c r="L1430" t="s">
        <v>3963</v>
      </c>
      <c r="M1430" t="s">
        <v>649</v>
      </c>
    </row>
    <row r="1431" spans="1:13" hidden="1" x14ac:dyDescent="0.25">
      <c r="A1431" s="24">
        <f t="shared" si="90"/>
        <v>20</v>
      </c>
      <c r="B1431" s="24">
        <v>11</v>
      </c>
      <c r="C1431" s="24">
        <v>195.78</v>
      </c>
      <c r="E1431" s="4">
        <v>386628</v>
      </c>
      <c r="F1431" s="2" t="s">
        <v>2</v>
      </c>
      <c r="G1431" s="2" t="str">
        <f t="shared" si="89"/>
        <v>https://www.oreht.ru/modules.php?name=orehtPriceLS&amp;op=Search&amp;page=1&amp;stext=386628</v>
      </c>
      <c r="I1431">
        <v>386628</v>
      </c>
      <c r="J1431" t="s">
        <v>2</v>
      </c>
      <c r="K1431" t="s">
        <v>3964</v>
      </c>
      <c r="L1431" t="s">
        <v>3965</v>
      </c>
      <c r="M1431" t="s">
        <v>3966</v>
      </c>
    </row>
    <row r="1432" spans="1:13" hidden="1" x14ac:dyDescent="0.25">
      <c r="A1432" s="24">
        <f t="shared" si="90"/>
        <v>20</v>
      </c>
      <c r="B1432" s="24">
        <v>11</v>
      </c>
      <c r="C1432" s="24">
        <v>525</v>
      </c>
      <c r="E1432" s="4">
        <v>345854</v>
      </c>
      <c r="F1432" s="2" t="s">
        <v>2</v>
      </c>
      <c r="G1432" s="2" t="str">
        <f t="shared" si="89"/>
        <v>https://www.oreht.ru/modules.php?name=orehtPriceLS&amp;op=Search&amp;page=1&amp;stext=345854</v>
      </c>
      <c r="I1432">
        <v>345854</v>
      </c>
      <c r="J1432" t="s">
        <v>2</v>
      </c>
      <c r="K1432" t="s">
        <v>3967</v>
      </c>
      <c r="L1432" t="s">
        <v>3968</v>
      </c>
      <c r="M1432" t="s">
        <v>3969</v>
      </c>
    </row>
    <row r="1433" spans="1:13" x14ac:dyDescent="0.25">
      <c r="A1433" s="24">
        <f t="shared" si="90"/>
        <v>20</v>
      </c>
      <c r="B1433" s="24">
        <v>11</v>
      </c>
      <c r="C1433" s="24">
        <v>400</v>
      </c>
      <c r="E1433" s="4">
        <v>345819</v>
      </c>
      <c r="F1433" s="2" t="s">
        <v>2</v>
      </c>
      <c r="G1433" s="2" t="str">
        <f t="shared" si="89"/>
        <v>https://www.oreht.ru/modules.php?name=orehtPriceLS&amp;op=Search&amp;page=1&amp;stext=345819</v>
      </c>
      <c r="I1433">
        <v>345819</v>
      </c>
      <c r="J1433" t="s">
        <v>2</v>
      </c>
      <c r="K1433" t="s">
        <v>3970</v>
      </c>
      <c r="L1433" t="s">
        <v>3971</v>
      </c>
      <c r="M1433" t="s">
        <v>649</v>
      </c>
    </row>
    <row r="1434" spans="1:13" hidden="1" x14ac:dyDescent="0.25">
      <c r="A1434" s="24">
        <f t="shared" si="90"/>
        <v>20</v>
      </c>
      <c r="B1434" s="24">
        <v>15</v>
      </c>
      <c r="C1434" s="24">
        <v>43</v>
      </c>
      <c r="E1434" s="4">
        <v>124935</v>
      </c>
      <c r="F1434" s="2" t="s">
        <v>2</v>
      </c>
      <c r="G1434" s="2" t="str">
        <f t="shared" si="89"/>
        <v>https://www.oreht.ru/modules.php?name=orehtPriceLS&amp;op=Search&amp;page=1&amp;stext=124935</v>
      </c>
      <c r="I1434">
        <v>124935</v>
      </c>
      <c r="J1434" t="s">
        <v>2</v>
      </c>
      <c r="K1434" t="s">
        <v>3972</v>
      </c>
      <c r="L1434" t="s">
        <v>3973</v>
      </c>
      <c r="M1434" t="s">
        <v>3974</v>
      </c>
    </row>
    <row r="1435" spans="1:13" hidden="1" x14ac:dyDescent="0.25">
      <c r="A1435" s="24">
        <f t="shared" si="90"/>
        <v>20</v>
      </c>
      <c r="B1435" s="24">
        <v>11</v>
      </c>
      <c r="C1435" s="24">
        <v>115</v>
      </c>
      <c r="E1435" s="4">
        <v>415581</v>
      </c>
      <c r="F1435" s="2" t="s">
        <v>2</v>
      </c>
      <c r="G1435" s="2" t="str">
        <f t="shared" si="89"/>
        <v>https://www.oreht.ru/modules.php?name=orehtPriceLS&amp;op=Search&amp;page=1&amp;stext=415581</v>
      </c>
      <c r="I1435">
        <v>415581</v>
      </c>
      <c r="J1435" t="s">
        <v>2</v>
      </c>
      <c r="K1435" t="s">
        <v>3975</v>
      </c>
      <c r="L1435" t="s">
        <v>3976</v>
      </c>
      <c r="M1435" t="s">
        <v>3134</v>
      </c>
    </row>
    <row r="1436" spans="1:13" hidden="1" x14ac:dyDescent="0.25">
      <c r="A1436" s="24">
        <f t="shared" si="90"/>
        <v>20</v>
      </c>
      <c r="B1436" s="24">
        <v>11</v>
      </c>
      <c r="C1436" s="24">
        <v>525</v>
      </c>
      <c r="E1436" s="4">
        <v>386686</v>
      </c>
      <c r="F1436" s="2" t="s">
        <v>2</v>
      </c>
      <c r="G1436" s="2" t="str">
        <f t="shared" si="89"/>
        <v>https://www.oreht.ru/modules.php?name=orehtPriceLS&amp;op=Search&amp;page=1&amp;stext=386686</v>
      </c>
      <c r="I1436">
        <v>386686</v>
      </c>
      <c r="J1436" t="s">
        <v>2</v>
      </c>
      <c r="K1436" t="s">
        <v>3977</v>
      </c>
      <c r="L1436" t="s">
        <v>3978</v>
      </c>
      <c r="M1436" t="s">
        <v>3979</v>
      </c>
    </row>
    <row r="1437" spans="1:13" hidden="1" x14ac:dyDescent="0.25">
      <c r="A1437" s="24">
        <f t="shared" si="90"/>
        <v>20</v>
      </c>
      <c r="B1437" s="24">
        <v>11</v>
      </c>
      <c r="C1437" s="24">
        <v>100</v>
      </c>
      <c r="E1437" s="4">
        <v>415563</v>
      </c>
      <c r="F1437" s="2" t="s">
        <v>2</v>
      </c>
      <c r="G1437" s="2" t="str">
        <f t="shared" si="89"/>
        <v>https://www.oreht.ru/modules.php?name=orehtPriceLS&amp;op=Search&amp;page=1&amp;stext=415563</v>
      </c>
      <c r="I1437">
        <v>415563</v>
      </c>
      <c r="J1437" t="s">
        <v>2</v>
      </c>
      <c r="K1437" t="s">
        <v>3980</v>
      </c>
      <c r="L1437" t="s">
        <v>3981</v>
      </c>
      <c r="M1437" t="s">
        <v>3979</v>
      </c>
    </row>
    <row r="1438" spans="1:13" hidden="1" x14ac:dyDescent="0.25">
      <c r="A1438" s="24">
        <f t="shared" si="90"/>
        <v>20</v>
      </c>
      <c r="B1438" s="24">
        <v>10</v>
      </c>
      <c r="C1438" s="24">
        <v>70</v>
      </c>
      <c r="E1438" s="4">
        <v>433891</v>
      </c>
      <c r="F1438" s="2" t="s">
        <v>2</v>
      </c>
      <c r="G1438" s="2" t="str">
        <f t="shared" si="89"/>
        <v>https://www.oreht.ru/modules.php?name=orehtPriceLS&amp;op=Search&amp;page=1&amp;stext=433891</v>
      </c>
      <c r="I1438">
        <v>433891</v>
      </c>
      <c r="J1438" t="s">
        <v>2</v>
      </c>
      <c r="K1438" t="s">
        <v>3982</v>
      </c>
      <c r="L1438" t="s">
        <v>3983</v>
      </c>
      <c r="M1438" t="s">
        <v>3984</v>
      </c>
    </row>
    <row r="1439" spans="1:13" hidden="1" x14ac:dyDescent="0.25">
      <c r="A1439" s="24">
        <f t="shared" si="90"/>
        <v>20</v>
      </c>
      <c r="B1439" s="24">
        <v>15</v>
      </c>
      <c r="C1439" s="24">
        <v>160</v>
      </c>
      <c r="E1439" s="4">
        <v>354747</v>
      </c>
      <c r="F1439" s="2" t="s">
        <v>2</v>
      </c>
      <c r="G1439" s="2" t="str">
        <f t="shared" si="89"/>
        <v>https://www.oreht.ru/modules.php?name=orehtPriceLS&amp;op=Search&amp;page=1&amp;stext=354747</v>
      </c>
      <c r="I1439">
        <v>354747</v>
      </c>
      <c r="J1439" t="s">
        <v>2</v>
      </c>
      <c r="K1439" t="s">
        <v>3985</v>
      </c>
      <c r="L1439" t="s">
        <v>3986</v>
      </c>
      <c r="M1439" t="s">
        <v>1108</v>
      </c>
    </row>
    <row r="1440" spans="1:13" x14ac:dyDescent="0.25">
      <c r="A1440" s="24">
        <f t="shared" si="90"/>
        <v>20</v>
      </c>
      <c r="B1440" s="24">
        <v>11</v>
      </c>
      <c r="C1440" s="24">
        <v>215.28</v>
      </c>
      <c r="E1440" s="4">
        <v>415561</v>
      </c>
      <c r="F1440" s="2" t="s">
        <v>2</v>
      </c>
      <c r="G1440" s="2" t="str">
        <f t="shared" si="89"/>
        <v>https://www.oreht.ru/modules.php?name=orehtPriceLS&amp;op=Search&amp;page=1&amp;stext=415561</v>
      </c>
      <c r="I1440">
        <v>415561</v>
      </c>
      <c r="J1440" t="s">
        <v>2</v>
      </c>
      <c r="K1440" t="s">
        <v>3987</v>
      </c>
      <c r="L1440" t="s">
        <v>3988</v>
      </c>
      <c r="M1440" t="s">
        <v>649</v>
      </c>
    </row>
    <row r="1441" spans="1:13" x14ac:dyDescent="0.25">
      <c r="A1441" s="24">
        <f t="shared" si="90"/>
        <v>20</v>
      </c>
      <c r="B1441" s="24">
        <v>11</v>
      </c>
      <c r="C1441" s="24">
        <v>212.16</v>
      </c>
      <c r="E1441" s="4">
        <v>386708</v>
      </c>
      <c r="F1441" s="2" t="s">
        <v>2</v>
      </c>
      <c r="G1441" s="2" t="str">
        <f t="shared" si="89"/>
        <v>https://www.oreht.ru/modules.php?name=orehtPriceLS&amp;op=Search&amp;page=1&amp;stext=386708</v>
      </c>
      <c r="I1441">
        <v>386708</v>
      </c>
      <c r="J1441" t="s">
        <v>2</v>
      </c>
      <c r="K1441" t="s">
        <v>3989</v>
      </c>
      <c r="L1441" t="s">
        <v>3990</v>
      </c>
      <c r="M1441" t="s">
        <v>649</v>
      </c>
    </row>
    <row r="1442" spans="1:13" hidden="1" x14ac:dyDescent="0.25">
      <c r="A1442" s="24">
        <f t="shared" si="90"/>
        <v>20</v>
      </c>
      <c r="B1442" s="24">
        <v>15</v>
      </c>
      <c r="C1442" s="24">
        <v>51</v>
      </c>
      <c r="E1442" s="4">
        <v>313401</v>
      </c>
      <c r="F1442" s="2" t="s">
        <v>2</v>
      </c>
      <c r="G1442" s="2" t="str">
        <f t="shared" si="89"/>
        <v>https://www.oreht.ru/modules.php?name=orehtPriceLS&amp;op=Search&amp;page=1&amp;stext=313401</v>
      </c>
      <c r="I1442">
        <v>313401</v>
      </c>
      <c r="J1442" t="s">
        <v>2</v>
      </c>
      <c r="K1442" t="s">
        <v>3991</v>
      </c>
      <c r="L1442" t="s">
        <v>3992</v>
      </c>
      <c r="M1442" t="s">
        <v>3993</v>
      </c>
    </row>
    <row r="1443" spans="1:13" x14ac:dyDescent="0.25">
      <c r="A1443" s="24">
        <f t="shared" si="90"/>
        <v>20</v>
      </c>
      <c r="B1443" s="24">
        <v>11</v>
      </c>
      <c r="C1443" s="24">
        <v>210.66</v>
      </c>
      <c r="E1443" s="4">
        <v>386709</v>
      </c>
      <c r="F1443" s="2" t="s">
        <v>2</v>
      </c>
      <c r="G1443" s="2" t="str">
        <f t="shared" si="89"/>
        <v>https://www.oreht.ru/modules.php?name=orehtPriceLS&amp;op=Search&amp;page=1&amp;stext=386709</v>
      </c>
      <c r="I1443">
        <v>386709</v>
      </c>
      <c r="J1443" t="s">
        <v>2</v>
      </c>
      <c r="K1443" t="s">
        <v>3994</v>
      </c>
      <c r="L1443" t="s">
        <v>3995</v>
      </c>
      <c r="M1443" t="s">
        <v>649</v>
      </c>
    </row>
    <row r="1444" spans="1:13" hidden="1" x14ac:dyDescent="0.25">
      <c r="A1444" s="24">
        <f t="shared" si="90"/>
        <v>20</v>
      </c>
      <c r="B1444" s="24">
        <v>11</v>
      </c>
      <c r="C1444" s="24">
        <v>700</v>
      </c>
      <c r="E1444" s="4">
        <v>458115</v>
      </c>
      <c r="F1444" s="2" t="s">
        <v>2</v>
      </c>
      <c r="G1444" s="2" t="str">
        <f t="shared" si="89"/>
        <v>https://www.oreht.ru/modules.php?name=orehtPriceLS&amp;op=Search&amp;page=1&amp;stext=458115</v>
      </c>
      <c r="I1444">
        <v>458115</v>
      </c>
      <c r="J1444" t="s">
        <v>2</v>
      </c>
      <c r="K1444" t="s">
        <v>3996</v>
      </c>
      <c r="L1444" t="s">
        <v>3997</v>
      </c>
      <c r="M1444" t="s">
        <v>3998</v>
      </c>
    </row>
    <row r="1445" spans="1:13" hidden="1" x14ac:dyDescent="0.25">
      <c r="A1445" s="24">
        <f t="shared" si="90"/>
        <v>20</v>
      </c>
      <c r="B1445" s="24">
        <v>15</v>
      </c>
      <c r="C1445" s="24">
        <v>40</v>
      </c>
      <c r="E1445" s="4">
        <v>354710</v>
      </c>
      <c r="F1445" s="2" t="s">
        <v>2</v>
      </c>
      <c r="G1445" s="2" t="str">
        <f t="shared" si="89"/>
        <v>https://www.oreht.ru/modules.php?name=orehtPriceLS&amp;op=Search&amp;page=1&amp;stext=354710</v>
      </c>
      <c r="I1445">
        <v>354710</v>
      </c>
      <c r="J1445" t="s">
        <v>2</v>
      </c>
      <c r="K1445" t="s">
        <v>3999</v>
      </c>
      <c r="L1445" t="s">
        <v>4000</v>
      </c>
      <c r="M1445" t="s">
        <v>4001</v>
      </c>
    </row>
    <row r="1446" spans="1:13" hidden="1" x14ac:dyDescent="0.25">
      <c r="A1446" s="24">
        <f t="shared" si="90"/>
        <v>20</v>
      </c>
      <c r="B1446" s="24">
        <v>11</v>
      </c>
      <c r="C1446" s="24">
        <v>400</v>
      </c>
      <c r="E1446" s="4">
        <v>420320</v>
      </c>
      <c r="F1446" s="2" t="s">
        <v>2</v>
      </c>
      <c r="G1446" s="2" t="str">
        <f t="shared" si="89"/>
        <v>https://www.oreht.ru/modules.php?name=orehtPriceLS&amp;op=Search&amp;page=1&amp;stext=420320</v>
      </c>
      <c r="I1446">
        <v>420320</v>
      </c>
      <c r="J1446" t="s">
        <v>2</v>
      </c>
      <c r="K1446" t="s">
        <v>4002</v>
      </c>
      <c r="L1446" t="s">
        <v>4003</v>
      </c>
      <c r="M1446" t="s">
        <v>3998</v>
      </c>
    </row>
    <row r="1447" spans="1:13" hidden="1" x14ac:dyDescent="0.25">
      <c r="A1447" s="24">
        <f t="shared" si="90"/>
        <v>20</v>
      </c>
      <c r="B1447" s="24">
        <v>10</v>
      </c>
      <c r="C1447" s="24">
        <v>40</v>
      </c>
      <c r="E1447" s="4">
        <v>448068</v>
      </c>
      <c r="F1447" s="2" t="s">
        <v>2</v>
      </c>
      <c r="G1447" s="2" t="str">
        <f t="shared" si="89"/>
        <v>https://www.oreht.ru/modules.php?name=orehtPriceLS&amp;op=Search&amp;page=1&amp;stext=448068</v>
      </c>
      <c r="I1447">
        <v>448068</v>
      </c>
      <c r="J1447" t="s">
        <v>2</v>
      </c>
      <c r="K1447" t="s">
        <v>4004</v>
      </c>
      <c r="L1447" t="s">
        <v>4005</v>
      </c>
      <c r="M1447" t="s">
        <v>4006</v>
      </c>
    </row>
    <row r="1448" spans="1:13" hidden="1" x14ac:dyDescent="0.25">
      <c r="A1448" s="24">
        <f t="shared" si="90"/>
        <v>20</v>
      </c>
      <c r="B1448" s="24">
        <v>15</v>
      </c>
      <c r="C1448" s="24">
        <v>45</v>
      </c>
      <c r="E1448" s="4">
        <v>249075</v>
      </c>
      <c r="F1448" s="2" t="s">
        <v>2</v>
      </c>
      <c r="G1448" s="2" t="str">
        <f t="shared" si="89"/>
        <v>https://www.oreht.ru/modules.php?name=orehtPriceLS&amp;op=Search&amp;page=1&amp;stext=249075</v>
      </c>
      <c r="I1448">
        <v>249075</v>
      </c>
      <c r="J1448" t="s">
        <v>2</v>
      </c>
      <c r="K1448" t="s">
        <v>4007</v>
      </c>
      <c r="L1448" t="s">
        <v>4008</v>
      </c>
      <c r="M1448" t="s">
        <v>4009</v>
      </c>
    </row>
    <row r="1449" spans="1:13" hidden="1" x14ac:dyDescent="0.25">
      <c r="A1449" s="24">
        <f t="shared" si="90"/>
        <v>20</v>
      </c>
      <c r="B1449" s="24">
        <v>9</v>
      </c>
      <c r="C1449" s="24">
        <v>42</v>
      </c>
      <c r="E1449" s="4">
        <v>356589</v>
      </c>
      <c r="F1449" s="2" t="s">
        <v>2</v>
      </c>
      <c r="G1449" s="2" t="str">
        <f t="shared" si="89"/>
        <v>https://www.oreht.ru/modules.php?name=orehtPriceLS&amp;op=Search&amp;page=1&amp;stext=356589</v>
      </c>
      <c r="I1449">
        <v>356589</v>
      </c>
      <c r="J1449" t="s">
        <v>2</v>
      </c>
      <c r="K1449" t="s">
        <v>4010</v>
      </c>
      <c r="L1449" t="s">
        <v>4011</v>
      </c>
      <c r="M1449" t="s">
        <v>4012</v>
      </c>
    </row>
    <row r="1450" spans="1:13" hidden="1" x14ac:dyDescent="0.25">
      <c r="A1450" s="24">
        <f t="shared" si="90"/>
        <v>20</v>
      </c>
      <c r="B1450" s="24">
        <v>9</v>
      </c>
      <c r="C1450" s="24">
        <v>43</v>
      </c>
      <c r="E1450" s="4">
        <v>356587</v>
      </c>
      <c r="F1450" s="2" t="s">
        <v>2</v>
      </c>
      <c r="G1450" s="2" t="str">
        <f t="shared" si="89"/>
        <v>https://www.oreht.ru/modules.php?name=orehtPriceLS&amp;op=Search&amp;page=1&amp;stext=356587</v>
      </c>
      <c r="I1450">
        <v>356587</v>
      </c>
      <c r="J1450" t="s">
        <v>2</v>
      </c>
      <c r="K1450" t="s">
        <v>4013</v>
      </c>
      <c r="L1450" t="s">
        <v>4014</v>
      </c>
      <c r="M1450" t="s">
        <v>4015</v>
      </c>
    </row>
    <row r="1451" spans="1:13" hidden="1" x14ac:dyDescent="0.25">
      <c r="A1451" s="24">
        <f t="shared" si="90"/>
        <v>20</v>
      </c>
      <c r="B1451" s="24">
        <v>9</v>
      </c>
      <c r="C1451" s="24">
        <v>43</v>
      </c>
      <c r="E1451" s="4">
        <v>356588</v>
      </c>
      <c r="F1451" s="2" t="s">
        <v>2</v>
      </c>
      <c r="G1451" s="2" t="str">
        <f t="shared" si="89"/>
        <v>https://www.oreht.ru/modules.php?name=orehtPriceLS&amp;op=Search&amp;page=1&amp;stext=356588</v>
      </c>
      <c r="I1451">
        <v>356588</v>
      </c>
      <c r="J1451" t="s">
        <v>2</v>
      </c>
      <c r="K1451" t="s">
        <v>4016</v>
      </c>
      <c r="L1451" t="s">
        <v>4017</v>
      </c>
      <c r="M1451" t="s">
        <v>4018</v>
      </c>
    </row>
    <row r="1452" spans="1:13" hidden="1" x14ac:dyDescent="0.25">
      <c r="A1452" s="24">
        <f t="shared" si="90"/>
        <v>20</v>
      </c>
      <c r="B1452" s="24">
        <v>9</v>
      </c>
      <c r="C1452" s="24">
        <v>42</v>
      </c>
      <c r="E1452" s="4">
        <v>356590</v>
      </c>
      <c r="F1452" s="2" t="s">
        <v>2</v>
      </c>
      <c r="G1452" s="2" t="str">
        <f t="shared" si="89"/>
        <v>https://www.oreht.ru/modules.php?name=orehtPriceLS&amp;op=Search&amp;page=1&amp;stext=356590</v>
      </c>
      <c r="I1452">
        <v>356590</v>
      </c>
      <c r="J1452" t="s">
        <v>2</v>
      </c>
      <c r="K1452" t="s">
        <v>4019</v>
      </c>
      <c r="L1452" t="s">
        <v>4020</v>
      </c>
      <c r="M1452" t="s">
        <v>4018</v>
      </c>
    </row>
    <row r="1453" spans="1:13" hidden="1" x14ac:dyDescent="0.25">
      <c r="A1453" s="24">
        <f t="shared" si="90"/>
        <v>20</v>
      </c>
      <c r="B1453" s="24">
        <v>11</v>
      </c>
      <c r="C1453" s="24">
        <v>213.6</v>
      </c>
      <c r="E1453" s="4">
        <v>458057</v>
      </c>
      <c r="F1453" s="2" t="s">
        <v>2</v>
      </c>
      <c r="G1453" s="2" t="str">
        <f t="shared" si="89"/>
        <v>https://www.oreht.ru/modules.php?name=orehtPriceLS&amp;op=Search&amp;page=1&amp;stext=458057</v>
      </c>
      <c r="I1453">
        <v>458057</v>
      </c>
      <c r="J1453" t="s">
        <v>2</v>
      </c>
      <c r="K1453" t="s">
        <v>4021</v>
      </c>
      <c r="L1453" t="s">
        <v>4022</v>
      </c>
      <c r="M1453" t="s">
        <v>4023</v>
      </c>
    </row>
    <row r="1454" spans="1:13" hidden="1" x14ac:dyDescent="0.25">
      <c r="A1454" s="24">
        <f t="shared" si="90"/>
        <v>20</v>
      </c>
      <c r="B1454" s="24">
        <v>9</v>
      </c>
      <c r="C1454" s="24">
        <v>42</v>
      </c>
      <c r="E1454" s="4">
        <v>232434</v>
      </c>
      <c r="F1454" s="2" t="s">
        <v>2</v>
      </c>
      <c r="G1454" s="2" t="str">
        <f t="shared" si="89"/>
        <v>https://www.oreht.ru/modules.php?name=orehtPriceLS&amp;op=Search&amp;page=1&amp;stext=232434</v>
      </c>
      <c r="I1454">
        <v>232434</v>
      </c>
      <c r="J1454" t="s">
        <v>2</v>
      </c>
      <c r="K1454" t="s">
        <v>4024</v>
      </c>
      <c r="L1454" t="s">
        <v>4025</v>
      </c>
      <c r="M1454" t="s">
        <v>4026</v>
      </c>
    </row>
    <row r="1455" spans="1:13" hidden="1" x14ac:dyDescent="0.25">
      <c r="A1455" s="24">
        <f t="shared" si="90"/>
        <v>20</v>
      </c>
      <c r="B1455" s="24">
        <v>11</v>
      </c>
      <c r="C1455" s="24">
        <v>223.38</v>
      </c>
      <c r="E1455" s="4">
        <v>456404</v>
      </c>
      <c r="F1455" s="2" t="s">
        <v>2</v>
      </c>
      <c r="G1455" s="2" t="str">
        <f t="shared" si="89"/>
        <v>https://www.oreht.ru/modules.php?name=orehtPriceLS&amp;op=Search&amp;page=1&amp;stext=456404</v>
      </c>
      <c r="I1455">
        <v>456404</v>
      </c>
      <c r="J1455" t="s">
        <v>2</v>
      </c>
      <c r="K1455" t="s">
        <v>4027</v>
      </c>
      <c r="L1455" t="s">
        <v>4028</v>
      </c>
      <c r="M1455" t="s">
        <v>4029</v>
      </c>
    </row>
    <row r="1456" spans="1:13" hidden="1" x14ac:dyDescent="0.25">
      <c r="A1456" s="24">
        <f t="shared" si="90"/>
        <v>20</v>
      </c>
      <c r="B1456" s="24">
        <v>10</v>
      </c>
      <c r="C1456" s="24">
        <v>63</v>
      </c>
      <c r="E1456" s="4">
        <v>311245</v>
      </c>
      <c r="F1456" s="2" t="s">
        <v>2</v>
      </c>
      <c r="G1456" s="2" t="str">
        <f t="shared" si="89"/>
        <v>https://www.oreht.ru/modules.php?name=orehtPriceLS&amp;op=Search&amp;page=1&amp;stext=311245</v>
      </c>
      <c r="I1456">
        <v>311245</v>
      </c>
      <c r="J1456" t="s">
        <v>2</v>
      </c>
      <c r="K1456" t="s">
        <v>4030</v>
      </c>
      <c r="L1456" t="s">
        <v>4031</v>
      </c>
      <c r="M1456" t="s">
        <v>804</v>
      </c>
    </row>
    <row r="1457" spans="1:13" hidden="1" x14ac:dyDescent="0.25">
      <c r="A1457" s="24">
        <f t="shared" si="90"/>
        <v>20</v>
      </c>
      <c r="B1457" s="24">
        <v>10</v>
      </c>
      <c r="C1457" s="24">
        <v>71</v>
      </c>
      <c r="E1457" s="4">
        <v>311246</v>
      </c>
      <c r="F1457" s="2" t="s">
        <v>2</v>
      </c>
      <c r="G1457" s="2" t="str">
        <f t="shared" si="89"/>
        <v>https://www.oreht.ru/modules.php?name=orehtPriceLS&amp;op=Search&amp;page=1&amp;stext=311246</v>
      </c>
      <c r="I1457">
        <v>311246</v>
      </c>
      <c r="J1457" t="s">
        <v>2</v>
      </c>
      <c r="K1457" t="s">
        <v>4032</v>
      </c>
      <c r="L1457" t="s">
        <v>4033</v>
      </c>
      <c r="M1457" t="s">
        <v>958</v>
      </c>
    </row>
    <row r="1458" spans="1:13" hidden="1" x14ac:dyDescent="0.25">
      <c r="A1458" s="24">
        <f t="shared" si="90"/>
        <v>20</v>
      </c>
      <c r="B1458" s="24">
        <v>10</v>
      </c>
      <c r="C1458" s="24">
        <v>45</v>
      </c>
      <c r="E1458" s="4">
        <v>349200</v>
      </c>
      <c r="F1458" s="2" t="s">
        <v>2</v>
      </c>
      <c r="G1458" s="2" t="str">
        <f t="shared" si="89"/>
        <v>https://www.oreht.ru/modules.php?name=orehtPriceLS&amp;op=Search&amp;page=1&amp;stext=349200</v>
      </c>
      <c r="I1458">
        <v>349200</v>
      </c>
      <c r="J1458" t="s">
        <v>2</v>
      </c>
      <c r="K1458" t="s">
        <v>4034</v>
      </c>
      <c r="L1458" t="s">
        <v>4035</v>
      </c>
      <c r="M1458" t="s">
        <v>917</v>
      </c>
    </row>
    <row r="1459" spans="1:13" hidden="1" x14ac:dyDescent="0.25">
      <c r="A1459" s="24">
        <f t="shared" si="90"/>
        <v>20</v>
      </c>
      <c r="B1459" s="24">
        <v>10</v>
      </c>
      <c r="C1459" s="24">
        <v>79</v>
      </c>
      <c r="E1459" s="4">
        <v>437853</v>
      </c>
      <c r="F1459" s="2" t="s">
        <v>2</v>
      </c>
      <c r="G1459" s="2" t="str">
        <f t="shared" si="89"/>
        <v>https://www.oreht.ru/modules.php?name=orehtPriceLS&amp;op=Search&amp;page=1&amp;stext=437853</v>
      </c>
      <c r="I1459">
        <v>437853</v>
      </c>
      <c r="J1459" t="s">
        <v>2</v>
      </c>
      <c r="K1459" t="s">
        <v>4036</v>
      </c>
      <c r="L1459" t="s">
        <v>4037</v>
      </c>
      <c r="M1459" t="s">
        <v>1305</v>
      </c>
    </row>
    <row r="1460" spans="1:13" hidden="1" x14ac:dyDescent="0.25">
      <c r="A1460" s="24">
        <f t="shared" si="90"/>
        <v>20</v>
      </c>
      <c r="B1460" s="24">
        <v>10</v>
      </c>
      <c r="C1460" s="24">
        <v>69</v>
      </c>
      <c r="E1460" s="4">
        <v>313754</v>
      </c>
      <c r="F1460" s="2" t="s">
        <v>2</v>
      </c>
      <c r="G1460" s="2" t="str">
        <f t="shared" si="89"/>
        <v>https://www.oreht.ru/modules.php?name=orehtPriceLS&amp;op=Search&amp;page=1&amp;stext=313754</v>
      </c>
      <c r="I1460">
        <v>313754</v>
      </c>
      <c r="J1460" t="s">
        <v>2</v>
      </c>
      <c r="K1460" t="s">
        <v>4038</v>
      </c>
      <c r="L1460" t="s">
        <v>4039</v>
      </c>
      <c r="M1460" t="s">
        <v>4040</v>
      </c>
    </row>
    <row r="1461" spans="1:13" hidden="1" x14ac:dyDescent="0.25">
      <c r="A1461" s="24">
        <f t="shared" si="90"/>
        <v>20</v>
      </c>
      <c r="B1461" s="24">
        <v>10</v>
      </c>
      <c r="C1461" s="24">
        <v>100</v>
      </c>
      <c r="E1461" s="4">
        <v>311236</v>
      </c>
      <c r="F1461" s="2" t="s">
        <v>2</v>
      </c>
      <c r="G1461" s="2" t="str">
        <f t="shared" si="89"/>
        <v>https://www.oreht.ru/modules.php?name=orehtPriceLS&amp;op=Search&amp;page=1&amp;stext=311236</v>
      </c>
      <c r="I1461">
        <v>311236</v>
      </c>
      <c r="J1461" t="s">
        <v>2</v>
      </c>
      <c r="K1461" t="s">
        <v>4041</v>
      </c>
      <c r="L1461" t="s">
        <v>4042</v>
      </c>
      <c r="M1461" t="s">
        <v>3349</v>
      </c>
    </row>
    <row r="1462" spans="1:13" hidden="1" x14ac:dyDescent="0.25">
      <c r="A1462" s="24">
        <f t="shared" si="90"/>
        <v>20</v>
      </c>
      <c r="B1462" s="24">
        <v>10</v>
      </c>
      <c r="C1462" s="24">
        <v>70</v>
      </c>
      <c r="E1462" s="4">
        <v>311235</v>
      </c>
      <c r="F1462" s="2" t="s">
        <v>2</v>
      </c>
      <c r="G1462" s="2" t="str">
        <f t="shared" si="89"/>
        <v>https://www.oreht.ru/modules.php?name=orehtPriceLS&amp;op=Search&amp;page=1&amp;stext=311235</v>
      </c>
      <c r="I1462">
        <v>311235</v>
      </c>
      <c r="J1462" t="s">
        <v>2</v>
      </c>
      <c r="K1462" t="s">
        <v>4043</v>
      </c>
      <c r="L1462" t="s">
        <v>4044</v>
      </c>
      <c r="M1462" t="s">
        <v>4045</v>
      </c>
    </row>
    <row r="1463" spans="1:13" hidden="1" x14ac:dyDescent="0.25">
      <c r="A1463" s="24">
        <f t="shared" si="90"/>
        <v>20</v>
      </c>
      <c r="B1463" s="24">
        <v>10</v>
      </c>
      <c r="C1463" s="24">
        <v>100</v>
      </c>
      <c r="E1463" s="4">
        <v>311240</v>
      </c>
      <c r="F1463" s="2" t="s">
        <v>2</v>
      </c>
      <c r="G1463" s="2" t="str">
        <f t="shared" si="89"/>
        <v>https://www.oreht.ru/modules.php?name=orehtPriceLS&amp;op=Search&amp;page=1&amp;stext=311240</v>
      </c>
      <c r="I1463">
        <v>311240</v>
      </c>
      <c r="J1463" t="s">
        <v>2</v>
      </c>
      <c r="K1463" t="s">
        <v>4046</v>
      </c>
      <c r="L1463" t="s">
        <v>4047</v>
      </c>
      <c r="M1463" t="s">
        <v>4048</v>
      </c>
    </row>
    <row r="1464" spans="1:13" hidden="1" x14ac:dyDescent="0.25">
      <c r="A1464" s="24">
        <f t="shared" si="90"/>
        <v>20</v>
      </c>
      <c r="B1464" s="24">
        <v>10</v>
      </c>
      <c r="C1464" s="24">
        <v>290</v>
      </c>
      <c r="E1464" s="4">
        <v>104491</v>
      </c>
      <c r="F1464" s="2" t="s">
        <v>2</v>
      </c>
      <c r="G1464" s="2" t="str">
        <f t="shared" si="89"/>
        <v>https://www.oreht.ru/modules.php?name=orehtPriceLS&amp;op=Search&amp;page=1&amp;stext=104491</v>
      </c>
      <c r="I1464">
        <v>104491</v>
      </c>
      <c r="J1464" t="s">
        <v>2</v>
      </c>
      <c r="K1464" t="s">
        <v>4049</v>
      </c>
      <c r="L1464" t="s">
        <v>4050</v>
      </c>
      <c r="M1464" t="s">
        <v>4051</v>
      </c>
    </row>
    <row r="1465" spans="1:13" hidden="1" x14ac:dyDescent="0.25">
      <c r="A1465" s="24">
        <f t="shared" si="90"/>
        <v>20</v>
      </c>
      <c r="B1465" s="24">
        <v>10</v>
      </c>
      <c r="C1465" s="24">
        <v>210</v>
      </c>
      <c r="E1465" s="4">
        <v>337327</v>
      </c>
      <c r="F1465" s="2" t="s">
        <v>2</v>
      </c>
      <c r="G1465" s="2" t="str">
        <f t="shared" si="89"/>
        <v>https://www.oreht.ru/modules.php?name=orehtPriceLS&amp;op=Search&amp;page=1&amp;stext=337327</v>
      </c>
      <c r="I1465">
        <v>337327</v>
      </c>
      <c r="J1465" t="s">
        <v>2</v>
      </c>
      <c r="K1465" t="s">
        <v>4052</v>
      </c>
      <c r="L1465" t="s">
        <v>4053</v>
      </c>
      <c r="M1465" t="s">
        <v>4054</v>
      </c>
    </row>
    <row r="1466" spans="1:13" hidden="1" x14ac:dyDescent="0.25">
      <c r="A1466" s="24">
        <f t="shared" si="90"/>
        <v>20</v>
      </c>
      <c r="B1466" s="24">
        <v>10</v>
      </c>
      <c r="C1466" s="24">
        <v>225</v>
      </c>
      <c r="E1466" s="4">
        <v>361689</v>
      </c>
      <c r="F1466" s="2" t="s">
        <v>2</v>
      </c>
      <c r="G1466" s="2" t="str">
        <f t="shared" si="89"/>
        <v>https://www.oreht.ru/modules.php?name=orehtPriceLS&amp;op=Search&amp;page=1&amp;stext=361689</v>
      </c>
      <c r="I1466">
        <v>361689</v>
      </c>
      <c r="J1466" t="s">
        <v>2</v>
      </c>
      <c r="K1466" t="s">
        <v>4055</v>
      </c>
      <c r="L1466" t="s">
        <v>4056</v>
      </c>
      <c r="M1466" t="s">
        <v>4057</v>
      </c>
    </row>
    <row r="1467" spans="1:13" hidden="1" x14ac:dyDescent="0.25">
      <c r="A1467" s="24">
        <f t="shared" si="90"/>
        <v>20</v>
      </c>
      <c r="B1467" s="24">
        <v>10</v>
      </c>
      <c r="C1467" s="24">
        <v>290</v>
      </c>
      <c r="E1467" s="4">
        <v>104492</v>
      </c>
      <c r="F1467" s="2" t="s">
        <v>2</v>
      </c>
      <c r="G1467" s="2" t="str">
        <f t="shared" si="89"/>
        <v>https://www.oreht.ru/modules.php?name=orehtPriceLS&amp;op=Search&amp;page=1&amp;stext=104492</v>
      </c>
      <c r="I1467">
        <v>104492</v>
      </c>
      <c r="J1467" t="s">
        <v>2</v>
      </c>
      <c r="K1467" t="s">
        <v>4058</v>
      </c>
      <c r="L1467" t="s">
        <v>4059</v>
      </c>
      <c r="M1467" t="s">
        <v>4060</v>
      </c>
    </row>
    <row r="1468" spans="1:13" hidden="1" x14ac:dyDescent="0.25">
      <c r="A1468" s="24">
        <f t="shared" si="90"/>
        <v>20</v>
      </c>
      <c r="B1468" s="24">
        <v>8</v>
      </c>
      <c r="C1468" s="24">
        <v>100</v>
      </c>
      <c r="E1468" s="4">
        <v>429041</v>
      </c>
      <c r="F1468" s="2" t="s">
        <v>2</v>
      </c>
      <c r="G1468" s="2" t="str">
        <f t="shared" si="89"/>
        <v>https://www.oreht.ru/modules.php?name=orehtPriceLS&amp;op=Search&amp;page=1&amp;stext=429041</v>
      </c>
      <c r="I1468">
        <v>429041</v>
      </c>
      <c r="J1468" t="s">
        <v>2</v>
      </c>
      <c r="K1468" t="s">
        <v>4061</v>
      </c>
      <c r="L1468" t="s">
        <v>4062</v>
      </c>
      <c r="M1468" t="s">
        <v>4063</v>
      </c>
    </row>
    <row r="1469" spans="1:13" hidden="1" x14ac:dyDescent="0.25">
      <c r="A1469" s="24">
        <f t="shared" si="90"/>
        <v>20</v>
      </c>
      <c r="B1469" s="24">
        <v>8</v>
      </c>
      <c r="C1469" s="24">
        <v>100</v>
      </c>
      <c r="E1469" s="4">
        <v>429043</v>
      </c>
      <c r="F1469" s="2" t="s">
        <v>2</v>
      </c>
      <c r="G1469" s="2" t="str">
        <f t="shared" si="89"/>
        <v>https://www.oreht.ru/modules.php?name=orehtPriceLS&amp;op=Search&amp;page=1&amp;stext=429043</v>
      </c>
      <c r="I1469">
        <v>429043</v>
      </c>
      <c r="J1469" t="s">
        <v>2</v>
      </c>
      <c r="K1469" t="s">
        <v>4064</v>
      </c>
      <c r="L1469" t="s">
        <v>4065</v>
      </c>
      <c r="M1469" t="s">
        <v>4063</v>
      </c>
    </row>
    <row r="1470" spans="1:13" hidden="1" x14ac:dyDescent="0.25">
      <c r="A1470" s="24">
        <f t="shared" si="90"/>
        <v>20</v>
      </c>
      <c r="B1470" s="24">
        <v>10</v>
      </c>
      <c r="C1470" s="24">
        <v>41</v>
      </c>
      <c r="E1470" s="4">
        <v>104497</v>
      </c>
      <c r="F1470" s="2" t="s">
        <v>2</v>
      </c>
      <c r="G1470" s="2" t="str">
        <f t="shared" si="89"/>
        <v>https://www.oreht.ru/modules.php?name=orehtPriceLS&amp;op=Search&amp;page=1&amp;stext=104497</v>
      </c>
      <c r="I1470">
        <v>104497</v>
      </c>
      <c r="J1470" t="s">
        <v>2</v>
      </c>
      <c r="K1470" t="s">
        <v>4066</v>
      </c>
      <c r="L1470" t="s">
        <v>4067</v>
      </c>
      <c r="M1470" t="s">
        <v>3506</v>
      </c>
    </row>
    <row r="1471" spans="1:13" hidden="1" x14ac:dyDescent="0.25">
      <c r="A1471" s="24">
        <f t="shared" si="90"/>
        <v>20</v>
      </c>
      <c r="B1471" s="24">
        <v>10</v>
      </c>
      <c r="C1471" s="24">
        <v>65</v>
      </c>
      <c r="E1471" s="4">
        <v>104499</v>
      </c>
      <c r="F1471" s="2" t="s">
        <v>2</v>
      </c>
      <c r="G1471" s="2" t="str">
        <f t="shared" si="89"/>
        <v>https://www.oreht.ru/modules.php?name=orehtPriceLS&amp;op=Search&amp;page=1&amp;stext=104499</v>
      </c>
      <c r="I1471">
        <v>104499</v>
      </c>
      <c r="J1471" t="s">
        <v>2</v>
      </c>
      <c r="K1471" t="s">
        <v>4068</v>
      </c>
      <c r="L1471" t="s">
        <v>4069</v>
      </c>
      <c r="M1471" t="s">
        <v>4070</v>
      </c>
    </row>
    <row r="1472" spans="1:13" hidden="1" x14ac:dyDescent="0.25">
      <c r="A1472" s="24">
        <f t="shared" si="90"/>
        <v>20</v>
      </c>
      <c r="B1472" s="24">
        <v>10</v>
      </c>
      <c r="C1472" s="24">
        <v>67</v>
      </c>
      <c r="E1472" s="4">
        <v>386068</v>
      </c>
      <c r="F1472" s="2" t="s">
        <v>2</v>
      </c>
      <c r="G1472" s="2" t="str">
        <f t="shared" si="89"/>
        <v>https://www.oreht.ru/modules.php?name=orehtPriceLS&amp;op=Search&amp;page=1&amp;stext=386068</v>
      </c>
      <c r="I1472">
        <v>386068</v>
      </c>
      <c r="J1472" t="s">
        <v>2</v>
      </c>
      <c r="K1472" t="s">
        <v>4071</v>
      </c>
      <c r="L1472" t="s">
        <v>4072</v>
      </c>
      <c r="M1472" t="s">
        <v>4073</v>
      </c>
    </row>
    <row r="1473" spans="1:13" hidden="1" x14ac:dyDescent="0.25">
      <c r="A1473" s="24">
        <f t="shared" si="90"/>
        <v>20</v>
      </c>
      <c r="B1473" s="24">
        <v>12</v>
      </c>
      <c r="C1473" s="24">
        <v>160</v>
      </c>
      <c r="E1473" s="4">
        <v>228244</v>
      </c>
      <c r="F1473" s="2" t="s">
        <v>2</v>
      </c>
      <c r="G1473" s="2" t="str">
        <f t="shared" si="89"/>
        <v>https://www.oreht.ru/modules.php?name=orehtPriceLS&amp;op=Search&amp;page=1&amp;stext=228244</v>
      </c>
      <c r="I1473">
        <v>228244</v>
      </c>
      <c r="J1473" t="s">
        <v>2</v>
      </c>
      <c r="K1473" t="s">
        <v>4074</v>
      </c>
      <c r="L1473" t="s">
        <v>4075</v>
      </c>
      <c r="M1473" t="s">
        <v>4076</v>
      </c>
    </row>
    <row r="1474" spans="1:13" hidden="1" x14ac:dyDescent="0.25">
      <c r="A1474" s="24">
        <f t="shared" si="90"/>
        <v>20</v>
      </c>
      <c r="B1474" s="24">
        <v>12</v>
      </c>
      <c r="C1474" s="24">
        <v>79</v>
      </c>
      <c r="E1474" s="4">
        <v>228246</v>
      </c>
      <c r="F1474" s="2" t="s">
        <v>2</v>
      </c>
      <c r="G1474" s="2" t="str">
        <f t="shared" ref="G1474:G1537" si="91">HYPERLINK(F1474&amp;E1474)</f>
        <v>https://www.oreht.ru/modules.php?name=orehtPriceLS&amp;op=Search&amp;page=1&amp;stext=228246</v>
      </c>
      <c r="I1474">
        <v>228246</v>
      </c>
      <c r="J1474" t="s">
        <v>2</v>
      </c>
      <c r="K1474" t="s">
        <v>4077</v>
      </c>
      <c r="L1474" t="s">
        <v>4078</v>
      </c>
      <c r="M1474" t="s">
        <v>4079</v>
      </c>
    </row>
    <row r="1475" spans="1:13" hidden="1" x14ac:dyDescent="0.25">
      <c r="A1475" s="24">
        <f t="shared" si="90"/>
        <v>20</v>
      </c>
      <c r="B1475" s="24">
        <v>15</v>
      </c>
      <c r="C1475" s="24">
        <v>65</v>
      </c>
      <c r="E1475" s="4">
        <v>374624</v>
      </c>
      <c r="F1475" s="2" t="s">
        <v>2</v>
      </c>
      <c r="G1475" s="2" t="str">
        <f t="shared" si="91"/>
        <v>https://www.oreht.ru/modules.php?name=orehtPriceLS&amp;op=Search&amp;page=1&amp;stext=374624</v>
      </c>
      <c r="I1475">
        <v>374624</v>
      </c>
      <c r="J1475" t="s">
        <v>2</v>
      </c>
      <c r="K1475" t="s">
        <v>4080</v>
      </c>
      <c r="L1475" t="s">
        <v>4081</v>
      </c>
      <c r="M1475" t="s">
        <v>4082</v>
      </c>
    </row>
    <row r="1476" spans="1:13" hidden="1" x14ac:dyDescent="0.25">
      <c r="A1476" s="24">
        <f t="shared" si="90"/>
        <v>20</v>
      </c>
      <c r="B1476" s="24">
        <v>15</v>
      </c>
      <c r="C1476" s="24">
        <v>100</v>
      </c>
      <c r="E1476" s="4">
        <v>360116</v>
      </c>
      <c r="F1476" s="2" t="s">
        <v>2</v>
      </c>
      <c r="G1476" s="2" t="str">
        <f t="shared" si="91"/>
        <v>https://www.oreht.ru/modules.php?name=orehtPriceLS&amp;op=Search&amp;page=1&amp;stext=360116</v>
      </c>
      <c r="I1476">
        <v>360116</v>
      </c>
      <c r="J1476" t="s">
        <v>2</v>
      </c>
      <c r="K1476" t="s">
        <v>4083</v>
      </c>
      <c r="L1476" t="s">
        <v>4084</v>
      </c>
      <c r="M1476" t="s">
        <v>4085</v>
      </c>
    </row>
    <row r="1477" spans="1:13" hidden="1" x14ac:dyDescent="0.25">
      <c r="A1477" s="24">
        <f t="shared" ref="A1477:A1540" si="92">IF(W1477*0.05&gt;=250,250,IF(W1477*0.05&gt;=20,IF(W1477*0.05&lt;20,20,W1477*0.05),20))</f>
        <v>20</v>
      </c>
      <c r="B1477" s="24">
        <v>10</v>
      </c>
      <c r="C1477" s="24">
        <v>40</v>
      </c>
      <c r="E1477" s="4">
        <v>433892</v>
      </c>
      <c r="F1477" s="2" t="s">
        <v>2</v>
      </c>
      <c r="G1477" s="2" t="str">
        <f t="shared" si="91"/>
        <v>https://www.oreht.ru/modules.php?name=orehtPriceLS&amp;op=Search&amp;page=1&amp;stext=433892</v>
      </c>
      <c r="I1477">
        <v>433892</v>
      </c>
      <c r="J1477" t="s">
        <v>2</v>
      </c>
      <c r="K1477" t="s">
        <v>4086</v>
      </c>
      <c r="L1477" t="s">
        <v>4087</v>
      </c>
      <c r="M1477" t="s">
        <v>4088</v>
      </c>
    </row>
    <row r="1478" spans="1:13" hidden="1" x14ac:dyDescent="0.25">
      <c r="A1478" s="24">
        <f t="shared" si="92"/>
        <v>20</v>
      </c>
      <c r="B1478" s="24">
        <v>12</v>
      </c>
      <c r="C1478" s="24">
        <v>100</v>
      </c>
      <c r="E1478" s="4">
        <v>394294</v>
      </c>
      <c r="F1478" s="2" t="s">
        <v>2</v>
      </c>
      <c r="G1478" s="2" t="str">
        <f t="shared" si="91"/>
        <v>https://www.oreht.ru/modules.php?name=orehtPriceLS&amp;op=Search&amp;page=1&amp;stext=394294</v>
      </c>
      <c r="I1478">
        <v>394294</v>
      </c>
      <c r="J1478" t="s">
        <v>2</v>
      </c>
      <c r="K1478" t="s">
        <v>4089</v>
      </c>
      <c r="L1478" t="s">
        <v>4090</v>
      </c>
      <c r="M1478" t="s">
        <v>3566</v>
      </c>
    </row>
    <row r="1479" spans="1:13" hidden="1" x14ac:dyDescent="0.25">
      <c r="A1479" s="24">
        <f t="shared" si="92"/>
        <v>20</v>
      </c>
      <c r="B1479" s="24">
        <v>12</v>
      </c>
      <c r="C1479" s="24">
        <v>47</v>
      </c>
      <c r="E1479" s="4">
        <v>406501</v>
      </c>
      <c r="F1479" s="2" t="s">
        <v>2</v>
      </c>
      <c r="G1479" s="2" t="str">
        <f t="shared" si="91"/>
        <v>https://www.oreht.ru/modules.php?name=orehtPriceLS&amp;op=Search&amp;page=1&amp;stext=406501</v>
      </c>
      <c r="I1479">
        <v>406501</v>
      </c>
      <c r="J1479" t="s">
        <v>2</v>
      </c>
      <c r="K1479" t="s">
        <v>4091</v>
      </c>
      <c r="L1479" t="s">
        <v>4092</v>
      </c>
      <c r="M1479" t="s">
        <v>4093</v>
      </c>
    </row>
    <row r="1480" spans="1:13" hidden="1" x14ac:dyDescent="0.25">
      <c r="A1480" s="24">
        <f t="shared" si="92"/>
        <v>20</v>
      </c>
      <c r="B1480" s="24">
        <v>12</v>
      </c>
      <c r="C1480" s="24">
        <v>79</v>
      </c>
      <c r="E1480" s="4">
        <v>312001</v>
      </c>
      <c r="F1480" s="2" t="s">
        <v>2</v>
      </c>
      <c r="G1480" s="2" t="str">
        <f t="shared" si="91"/>
        <v>https://www.oreht.ru/modules.php?name=orehtPriceLS&amp;op=Search&amp;page=1&amp;stext=312001</v>
      </c>
      <c r="I1480">
        <v>312001</v>
      </c>
      <c r="J1480" t="s">
        <v>2</v>
      </c>
      <c r="K1480" t="s">
        <v>4094</v>
      </c>
      <c r="L1480" t="s">
        <v>4095</v>
      </c>
      <c r="M1480" t="s">
        <v>3896</v>
      </c>
    </row>
    <row r="1481" spans="1:13" hidden="1" x14ac:dyDescent="0.25">
      <c r="A1481" s="24">
        <f t="shared" si="92"/>
        <v>20</v>
      </c>
      <c r="B1481" s="24">
        <v>12</v>
      </c>
      <c r="C1481" s="24">
        <v>41</v>
      </c>
      <c r="E1481" s="4">
        <v>356579</v>
      </c>
      <c r="F1481" s="2" t="s">
        <v>2</v>
      </c>
      <c r="G1481" s="2" t="str">
        <f t="shared" si="91"/>
        <v>https://www.oreht.ru/modules.php?name=orehtPriceLS&amp;op=Search&amp;page=1&amp;stext=356579</v>
      </c>
      <c r="I1481">
        <v>356579</v>
      </c>
      <c r="J1481" t="s">
        <v>2</v>
      </c>
      <c r="K1481" t="s">
        <v>4096</v>
      </c>
      <c r="L1481" t="s">
        <v>4097</v>
      </c>
      <c r="M1481" t="s">
        <v>4098</v>
      </c>
    </row>
    <row r="1482" spans="1:13" hidden="1" x14ac:dyDescent="0.25">
      <c r="A1482" s="24">
        <f t="shared" si="92"/>
        <v>20</v>
      </c>
      <c r="B1482" s="24">
        <v>12</v>
      </c>
      <c r="C1482" s="24">
        <v>45</v>
      </c>
      <c r="E1482" s="4">
        <v>358263</v>
      </c>
      <c r="F1482" s="2" t="s">
        <v>2</v>
      </c>
      <c r="G1482" s="2" t="str">
        <f t="shared" si="91"/>
        <v>https://www.oreht.ru/modules.php?name=orehtPriceLS&amp;op=Search&amp;page=1&amp;stext=358263</v>
      </c>
      <c r="I1482">
        <v>358263</v>
      </c>
      <c r="J1482" t="s">
        <v>2</v>
      </c>
      <c r="K1482" t="s">
        <v>4099</v>
      </c>
      <c r="L1482" t="s">
        <v>4100</v>
      </c>
      <c r="M1482" t="s">
        <v>4101</v>
      </c>
    </row>
    <row r="1483" spans="1:13" hidden="1" x14ac:dyDescent="0.25">
      <c r="A1483" s="24">
        <f t="shared" si="92"/>
        <v>20</v>
      </c>
      <c r="B1483" s="24">
        <v>12</v>
      </c>
      <c r="C1483" s="24">
        <v>120</v>
      </c>
      <c r="E1483" s="4">
        <v>281009</v>
      </c>
      <c r="F1483" s="2" t="s">
        <v>2</v>
      </c>
      <c r="G1483" s="2" t="str">
        <f t="shared" si="91"/>
        <v>https://www.oreht.ru/modules.php?name=orehtPriceLS&amp;op=Search&amp;page=1&amp;stext=281009</v>
      </c>
      <c r="I1483">
        <v>281009</v>
      </c>
      <c r="J1483" t="s">
        <v>2</v>
      </c>
      <c r="K1483" t="s">
        <v>4102</v>
      </c>
      <c r="L1483" t="s">
        <v>4103</v>
      </c>
      <c r="M1483" t="s">
        <v>789</v>
      </c>
    </row>
    <row r="1484" spans="1:13" hidden="1" x14ac:dyDescent="0.25">
      <c r="A1484" s="24">
        <f t="shared" si="92"/>
        <v>20</v>
      </c>
      <c r="B1484" s="24">
        <v>15</v>
      </c>
      <c r="C1484" s="24">
        <v>63</v>
      </c>
      <c r="E1484" s="4">
        <v>124936</v>
      </c>
      <c r="F1484" s="2" t="s">
        <v>2</v>
      </c>
      <c r="G1484" s="2" t="str">
        <f t="shared" si="91"/>
        <v>https://www.oreht.ru/modules.php?name=orehtPriceLS&amp;op=Search&amp;page=1&amp;stext=124936</v>
      </c>
      <c r="I1484">
        <v>124936</v>
      </c>
      <c r="J1484" t="s">
        <v>2</v>
      </c>
      <c r="K1484" t="s">
        <v>4104</v>
      </c>
      <c r="L1484" t="s">
        <v>4105</v>
      </c>
      <c r="M1484" t="s">
        <v>4106</v>
      </c>
    </row>
    <row r="1485" spans="1:13" hidden="1" x14ac:dyDescent="0.25">
      <c r="A1485" s="24">
        <f t="shared" si="92"/>
        <v>20</v>
      </c>
      <c r="B1485" s="24">
        <v>12</v>
      </c>
      <c r="C1485" s="24">
        <v>63</v>
      </c>
      <c r="E1485" s="4">
        <v>248521</v>
      </c>
      <c r="F1485" s="2" t="s">
        <v>2</v>
      </c>
      <c r="G1485" s="2" t="str">
        <f t="shared" si="91"/>
        <v>https://www.oreht.ru/modules.php?name=orehtPriceLS&amp;op=Search&amp;page=1&amp;stext=248521</v>
      </c>
      <c r="I1485">
        <v>248521</v>
      </c>
      <c r="J1485" t="s">
        <v>2</v>
      </c>
      <c r="K1485" t="s">
        <v>4107</v>
      </c>
      <c r="L1485" t="s">
        <v>4108</v>
      </c>
      <c r="M1485" t="s">
        <v>4070</v>
      </c>
    </row>
    <row r="1486" spans="1:13" hidden="1" x14ac:dyDescent="0.25">
      <c r="A1486" s="24">
        <f t="shared" si="92"/>
        <v>20</v>
      </c>
      <c r="B1486" s="24">
        <v>15</v>
      </c>
      <c r="C1486" s="24">
        <v>42</v>
      </c>
      <c r="E1486" s="4">
        <v>360086</v>
      </c>
      <c r="F1486" s="2" t="s">
        <v>2</v>
      </c>
      <c r="G1486" s="2" t="str">
        <f t="shared" si="91"/>
        <v>https://www.oreht.ru/modules.php?name=orehtPriceLS&amp;op=Search&amp;page=1&amp;stext=360086</v>
      </c>
      <c r="I1486">
        <v>360086</v>
      </c>
      <c r="J1486" t="s">
        <v>2</v>
      </c>
      <c r="K1486" t="s">
        <v>4109</v>
      </c>
      <c r="L1486" t="s">
        <v>4110</v>
      </c>
      <c r="M1486" t="s">
        <v>4111</v>
      </c>
    </row>
    <row r="1487" spans="1:13" hidden="1" x14ac:dyDescent="0.25">
      <c r="A1487" s="24">
        <f t="shared" si="92"/>
        <v>20</v>
      </c>
      <c r="B1487" s="24">
        <v>10</v>
      </c>
      <c r="C1487" s="24">
        <v>265</v>
      </c>
      <c r="E1487" s="4">
        <v>326432</v>
      </c>
      <c r="F1487" s="2" t="s">
        <v>2</v>
      </c>
      <c r="G1487" s="2" t="str">
        <f t="shared" si="91"/>
        <v>https://www.oreht.ru/modules.php?name=orehtPriceLS&amp;op=Search&amp;page=1&amp;stext=326432</v>
      </c>
      <c r="I1487">
        <v>326432</v>
      </c>
      <c r="J1487" t="s">
        <v>2</v>
      </c>
      <c r="K1487" t="s">
        <v>4112</v>
      </c>
      <c r="L1487" t="s">
        <v>4113</v>
      </c>
      <c r="M1487" t="s">
        <v>4114</v>
      </c>
    </row>
    <row r="1488" spans="1:13" hidden="1" x14ac:dyDescent="0.25">
      <c r="A1488" s="24">
        <f t="shared" si="92"/>
        <v>20</v>
      </c>
      <c r="B1488" s="24">
        <v>10</v>
      </c>
      <c r="C1488" s="24">
        <v>40</v>
      </c>
      <c r="E1488" s="4">
        <v>292561</v>
      </c>
      <c r="F1488" s="2" t="s">
        <v>2</v>
      </c>
      <c r="G1488" s="2" t="str">
        <f t="shared" si="91"/>
        <v>https://www.oreht.ru/modules.php?name=orehtPriceLS&amp;op=Search&amp;page=1&amp;stext=292561</v>
      </c>
      <c r="I1488">
        <v>292561</v>
      </c>
      <c r="J1488" t="s">
        <v>2</v>
      </c>
      <c r="K1488" t="s">
        <v>4115</v>
      </c>
      <c r="L1488" t="s">
        <v>4116</v>
      </c>
      <c r="M1488" t="s">
        <v>4117</v>
      </c>
    </row>
    <row r="1489" spans="1:13" hidden="1" x14ac:dyDescent="0.25">
      <c r="A1489" s="24">
        <f t="shared" si="92"/>
        <v>20</v>
      </c>
      <c r="B1489" s="24">
        <v>15</v>
      </c>
      <c r="C1489" s="24">
        <v>51</v>
      </c>
      <c r="E1489" s="4">
        <v>124955</v>
      </c>
      <c r="F1489" s="2" t="s">
        <v>2</v>
      </c>
      <c r="G1489" s="2" t="str">
        <f t="shared" si="91"/>
        <v>https://www.oreht.ru/modules.php?name=orehtPriceLS&amp;op=Search&amp;page=1&amp;stext=124955</v>
      </c>
      <c r="I1489">
        <v>124955</v>
      </c>
      <c r="J1489" t="s">
        <v>2</v>
      </c>
      <c r="K1489" t="s">
        <v>4118</v>
      </c>
      <c r="L1489" t="s">
        <v>4119</v>
      </c>
      <c r="M1489" t="s">
        <v>4120</v>
      </c>
    </row>
    <row r="1490" spans="1:13" hidden="1" x14ac:dyDescent="0.25">
      <c r="A1490" s="24">
        <f t="shared" si="92"/>
        <v>20</v>
      </c>
      <c r="B1490" s="24">
        <v>12</v>
      </c>
      <c r="C1490" s="24">
        <v>100</v>
      </c>
      <c r="E1490" s="4">
        <v>103594</v>
      </c>
      <c r="F1490" s="2" t="s">
        <v>2</v>
      </c>
      <c r="G1490" s="2" t="str">
        <f t="shared" si="91"/>
        <v>https://www.oreht.ru/modules.php?name=orehtPriceLS&amp;op=Search&amp;page=1&amp;stext=103594</v>
      </c>
      <c r="I1490">
        <v>103594</v>
      </c>
      <c r="J1490" t="s">
        <v>2</v>
      </c>
      <c r="K1490" t="s">
        <v>4121</v>
      </c>
      <c r="L1490" t="s">
        <v>4122</v>
      </c>
      <c r="M1490" t="s">
        <v>4123</v>
      </c>
    </row>
    <row r="1491" spans="1:13" hidden="1" x14ac:dyDescent="0.25">
      <c r="A1491" s="24">
        <f t="shared" si="92"/>
        <v>20</v>
      </c>
      <c r="B1491" s="24">
        <v>15</v>
      </c>
      <c r="C1491" s="24">
        <v>41</v>
      </c>
      <c r="E1491" s="4">
        <v>341655</v>
      </c>
      <c r="F1491" s="2" t="s">
        <v>2</v>
      </c>
      <c r="G1491" s="2" t="str">
        <f t="shared" si="91"/>
        <v>https://www.oreht.ru/modules.php?name=orehtPriceLS&amp;op=Search&amp;page=1&amp;stext=341655</v>
      </c>
      <c r="I1491">
        <v>341655</v>
      </c>
      <c r="J1491" t="s">
        <v>2</v>
      </c>
      <c r="K1491" t="s">
        <v>4124</v>
      </c>
      <c r="L1491" t="s">
        <v>4125</v>
      </c>
      <c r="M1491" t="s">
        <v>4126</v>
      </c>
    </row>
    <row r="1492" spans="1:13" hidden="1" x14ac:dyDescent="0.25">
      <c r="A1492" s="24">
        <f t="shared" si="92"/>
        <v>20</v>
      </c>
      <c r="B1492" s="24">
        <v>15</v>
      </c>
      <c r="C1492" s="24">
        <v>41</v>
      </c>
      <c r="E1492" s="4">
        <v>387009</v>
      </c>
      <c r="F1492" s="2" t="s">
        <v>2</v>
      </c>
      <c r="G1492" s="2" t="str">
        <f t="shared" si="91"/>
        <v>https://www.oreht.ru/modules.php?name=orehtPriceLS&amp;op=Search&amp;page=1&amp;stext=387009</v>
      </c>
      <c r="I1492">
        <v>387009</v>
      </c>
      <c r="J1492" t="s">
        <v>2</v>
      </c>
      <c r="K1492" t="s">
        <v>4127</v>
      </c>
      <c r="L1492" t="s">
        <v>4128</v>
      </c>
      <c r="M1492" t="s">
        <v>4126</v>
      </c>
    </row>
    <row r="1493" spans="1:13" hidden="1" x14ac:dyDescent="0.25">
      <c r="A1493" s="24">
        <f t="shared" si="92"/>
        <v>20</v>
      </c>
      <c r="B1493" s="24">
        <v>12</v>
      </c>
      <c r="C1493" s="24">
        <v>41</v>
      </c>
      <c r="E1493" s="4">
        <v>103603</v>
      </c>
      <c r="F1493" s="2" t="s">
        <v>2</v>
      </c>
      <c r="G1493" s="2" t="str">
        <f t="shared" si="91"/>
        <v>https://www.oreht.ru/modules.php?name=orehtPriceLS&amp;op=Search&amp;page=1&amp;stext=103603</v>
      </c>
      <c r="I1493">
        <v>103603</v>
      </c>
      <c r="J1493" t="s">
        <v>2</v>
      </c>
      <c r="K1493" t="s">
        <v>4129</v>
      </c>
      <c r="L1493" t="s">
        <v>4130</v>
      </c>
      <c r="M1493" t="s">
        <v>908</v>
      </c>
    </row>
    <row r="1494" spans="1:13" hidden="1" x14ac:dyDescent="0.25">
      <c r="A1494" s="24">
        <f t="shared" si="92"/>
        <v>20</v>
      </c>
      <c r="B1494" s="24">
        <v>9</v>
      </c>
      <c r="C1494" s="24">
        <v>43</v>
      </c>
      <c r="E1494" s="4">
        <v>232436</v>
      </c>
      <c r="F1494" s="2" t="s">
        <v>2</v>
      </c>
      <c r="G1494" s="2" t="str">
        <f t="shared" si="91"/>
        <v>https://www.oreht.ru/modules.php?name=orehtPriceLS&amp;op=Search&amp;page=1&amp;stext=232436</v>
      </c>
      <c r="I1494">
        <v>232436</v>
      </c>
      <c r="J1494" t="s">
        <v>2</v>
      </c>
      <c r="K1494" t="s">
        <v>4131</v>
      </c>
      <c r="L1494" t="s">
        <v>4132</v>
      </c>
      <c r="M1494" t="s">
        <v>4133</v>
      </c>
    </row>
    <row r="1495" spans="1:13" hidden="1" x14ac:dyDescent="0.25">
      <c r="A1495" s="24">
        <f t="shared" si="92"/>
        <v>20</v>
      </c>
      <c r="B1495" s="24">
        <v>15</v>
      </c>
      <c r="C1495" s="24">
        <v>79</v>
      </c>
      <c r="E1495" s="4">
        <v>375000</v>
      </c>
      <c r="F1495" s="2" t="s">
        <v>2</v>
      </c>
      <c r="G1495" s="2" t="str">
        <f t="shared" si="91"/>
        <v>https://www.oreht.ru/modules.php?name=orehtPriceLS&amp;op=Search&amp;page=1&amp;stext=375000</v>
      </c>
      <c r="I1495">
        <v>375000</v>
      </c>
      <c r="J1495" t="s">
        <v>2</v>
      </c>
      <c r="K1495" t="s">
        <v>4134</v>
      </c>
      <c r="L1495" t="s">
        <v>4135</v>
      </c>
      <c r="M1495" t="s">
        <v>1228</v>
      </c>
    </row>
    <row r="1496" spans="1:13" hidden="1" x14ac:dyDescent="0.25">
      <c r="A1496" s="24">
        <f t="shared" si="92"/>
        <v>20</v>
      </c>
      <c r="B1496" s="24">
        <v>15</v>
      </c>
      <c r="C1496" s="24">
        <v>100</v>
      </c>
      <c r="E1496" s="4">
        <v>410650</v>
      </c>
      <c r="F1496" s="2" t="s">
        <v>2</v>
      </c>
      <c r="G1496" s="2" t="str">
        <f t="shared" si="91"/>
        <v>https://www.oreht.ru/modules.php?name=orehtPriceLS&amp;op=Search&amp;page=1&amp;stext=410650</v>
      </c>
      <c r="I1496">
        <v>410650</v>
      </c>
      <c r="J1496" t="s">
        <v>2</v>
      </c>
      <c r="K1496" t="s">
        <v>4136</v>
      </c>
      <c r="L1496" t="s">
        <v>4137</v>
      </c>
      <c r="M1496" t="s">
        <v>4138</v>
      </c>
    </row>
    <row r="1497" spans="1:13" hidden="1" x14ac:dyDescent="0.25">
      <c r="A1497" s="24">
        <f t="shared" si="92"/>
        <v>20</v>
      </c>
      <c r="B1497" s="24">
        <v>15</v>
      </c>
      <c r="C1497" s="24">
        <v>43</v>
      </c>
      <c r="E1497" s="4">
        <v>124960</v>
      </c>
      <c r="F1497" s="2" t="s">
        <v>2</v>
      </c>
      <c r="G1497" s="2" t="str">
        <f t="shared" si="91"/>
        <v>https://www.oreht.ru/modules.php?name=orehtPriceLS&amp;op=Search&amp;page=1&amp;stext=124960</v>
      </c>
      <c r="I1497">
        <v>124960</v>
      </c>
      <c r="J1497" t="s">
        <v>2</v>
      </c>
      <c r="K1497" t="s">
        <v>4139</v>
      </c>
      <c r="L1497" t="s">
        <v>4140</v>
      </c>
      <c r="M1497" t="s">
        <v>4141</v>
      </c>
    </row>
    <row r="1498" spans="1:13" hidden="1" x14ac:dyDescent="0.25">
      <c r="A1498" s="24">
        <f t="shared" si="92"/>
        <v>20</v>
      </c>
      <c r="B1498" s="24">
        <v>12</v>
      </c>
      <c r="C1498" s="24">
        <v>51</v>
      </c>
      <c r="E1498" s="4">
        <v>392821</v>
      </c>
      <c r="F1498" s="2" t="s">
        <v>2</v>
      </c>
      <c r="G1498" s="2" t="str">
        <f t="shared" si="91"/>
        <v>https://www.oreht.ru/modules.php?name=orehtPriceLS&amp;op=Search&amp;page=1&amp;stext=392821</v>
      </c>
      <c r="I1498">
        <v>392821</v>
      </c>
      <c r="J1498" t="s">
        <v>2</v>
      </c>
      <c r="K1498" t="s">
        <v>4142</v>
      </c>
      <c r="L1498" t="s">
        <v>4143</v>
      </c>
      <c r="M1498" t="s">
        <v>3361</v>
      </c>
    </row>
    <row r="1499" spans="1:13" hidden="1" x14ac:dyDescent="0.25">
      <c r="A1499" s="24">
        <f t="shared" si="92"/>
        <v>20</v>
      </c>
      <c r="B1499" s="24">
        <v>15</v>
      </c>
      <c r="C1499" s="24">
        <v>40</v>
      </c>
      <c r="E1499" s="4">
        <v>354711</v>
      </c>
      <c r="F1499" s="2" t="s">
        <v>2</v>
      </c>
      <c r="G1499" s="2" t="str">
        <f t="shared" si="91"/>
        <v>https://www.oreht.ru/modules.php?name=orehtPriceLS&amp;op=Search&amp;page=1&amp;stext=354711</v>
      </c>
      <c r="I1499">
        <v>354711</v>
      </c>
      <c r="J1499" t="s">
        <v>2</v>
      </c>
      <c r="K1499" t="s">
        <v>4144</v>
      </c>
      <c r="L1499" t="s">
        <v>4145</v>
      </c>
      <c r="M1499" t="s">
        <v>4146</v>
      </c>
    </row>
    <row r="1500" spans="1:13" hidden="1" x14ac:dyDescent="0.25">
      <c r="A1500" s="24">
        <f t="shared" si="92"/>
        <v>20</v>
      </c>
      <c r="B1500" s="24">
        <v>15</v>
      </c>
      <c r="C1500" s="24">
        <v>40</v>
      </c>
      <c r="E1500" s="4">
        <v>124983</v>
      </c>
      <c r="F1500" s="2" t="s">
        <v>2</v>
      </c>
      <c r="G1500" s="2" t="str">
        <f t="shared" si="91"/>
        <v>https://www.oreht.ru/modules.php?name=orehtPriceLS&amp;op=Search&amp;page=1&amp;stext=124983</v>
      </c>
      <c r="I1500">
        <v>124983</v>
      </c>
      <c r="J1500" t="s">
        <v>2</v>
      </c>
      <c r="K1500" t="s">
        <v>4147</v>
      </c>
      <c r="L1500" t="s">
        <v>4148</v>
      </c>
      <c r="M1500" t="s">
        <v>4149</v>
      </c>
    </row>
    <row r="1501" spans="1:13" x14ac:dyDescent="0.25">
      <c r="A1501" s="24">
        <f t="shared" si="92"/>
        <v>20</v>
      </c>
      <c r="B1501" s="24">
        <v>9</v>
      </c>
      <c r="C1501" s="24">
        <v>42</v>
      </c>
      <c r="E1501" s="4">
        <v>235151</v>
      </c>
      <c r="F1501" s="2" t="s">
        <v>2</v>
      </c>
      <c r="G1501" s="2" t="str">
        <f t="shared" si="91"/>
        <v>https://www.oreht.ru/modules.php?name=orehtPriceLS&amp;op=Search&amp;page=1&amp;stext=235151</v>
      </c>
      <c r="I1501">
        <v>235151</v>
      </c>
      <c r="J1501" t="s">
        <v>2</v>
      </c>
      <c r="K1501" t="s">
        <v>4150</v>
      </c>
      <c r="L1501" t="s">
        <v>4151</v>
      </c>
      <c r="M1501" t="s">
        <v>649</v>
      </c>
    </row>
    <row r="1502" spans="1:13" hidden="1" x14ac:dyDescent="0.25">
      <c r="A1502" s="24">
        <f t="shared" si="92"/>
        <v>20</v>
      </c>
      <c r="B1502" s="24">
        <v>10</v>
      </c>
      <c r="C1502" s="24">
        <v>41</v>
      </c>
      <c r="E1502" s="4">
        <v>397077</v>
      </c>
      <c r="F1502" s="2" t="s">
        <v>2</v>
      </c>
      <c r="G1502" s="2" t="str">
        <f t="shared" si="91"/>
        <v>https://www.oreht.ru/modules.php?name=orehtPriceLS&amp;op=Search&amp;page=1&amp;stext=397077</v>
      </c>
      <c r="I1502">
        <v>397077</v>
      </c>
      <c r="J1502" t="s">
        <v>2</v>
      </c>
      <c r="K1502" t="s">
        <v>4152</v>
      </c>
      <c r="L1502" t="s">
        <v>4153</v>
      </c>
      <c r="M1502" t="s">
        <v>4154</v>
      </c>
    </row>
    <row r="1503" spans="1:13" hidden="1" x14ac:dyDescent="0.25">
      <c r="A1503" s="24">
        <f t="shared" si="92"/>
        <v>20</v>
      </c>
      <c r="B1503" s="24">
        <v>9</v>
      </c>
      <c r="C1503" s="24">
        <v>43</v>
      </c>
      <c r="E1503" s="4">
        <v>446337</v>
      </c>
      <c r="F1503" s="2" t="s">
        <v>2</v>
      </c>
      <c r="G1503" s="2" t="str">
        <f t="shared" si="91"/>
        <v>https://www.oreht.ru/modules.php?name=orehtPriceLS&amp;op=Search&amp;page=1&amp;stext=446337</v>
      </c>
      <c r="I1503">
        <v>446337</v>
      </c>
      <c r="J1503" t="s">
        <v>2</v>
      </c>
      <c r="K1503" t="s">
        <v>4155</v>
      </c>
      <c r="L1503" t="s">
        <v>4156</v>
      </c>
      <c r="M1503" t="s">
        <v>4157</v>
      </c>
    </row>
    <row r="1504" spans="1:13" hidden="1" x14ac:dyDescent="0.25">
      <c r="A1504" s="24">
        <f t="shared" si="92"/>
        <v>20</v>
      </c>
      <c r="B1504" s="24">
        <v>9</v>
      </c>
      <c r="C1504" s="24">
        <v>43</v>
      </c>
      <c r="E1504" s="4">
        <v>446336</v>
      </c>
      <c r="F1504" s="2" t="s">
        <v>2</v>
      </c>
      <c r="G1504" s="2" t="str">
        <f t="shared" si="91"/>
        <v>https://www.oreht.ru/modules.php?name=orehtPriceLS&amp;op=Search&amp;page=1&amp;stext=446336</v>
      </c>
      <c r="I1504">
        <v>446336</v>
      </c>
      <c r="J1504" t="s">
        <v>2</v>
      </c>
      <c r="K1504" t="s">
        <v>4158</v>
      </c>
      <c r="L1504" t="s">
        <v>4159</v>
      </c>
      <c r="M1504" t="s">
        <v>4160</v>
      </c>
    </row>
    <row r="1505" spans="1:13" hidden="1" x14ac:dyDescent="0.25">
      <c r="A1505" s="24">
        <f t="shared" si="92"/>
        <v>20</v>
      </c>
      <c r="B1505" s="24">
        <v>15</v>
      </c>
      <c r="C1505" s="24">
        <v>45</v>
      </c>
      <c r="E1505" s="4">
        <v>389778</v>
      </c>
      <c r="F1505" s="2" t="s">
        <v>2</v>
      </c>
      <c r="G1505" s="2" t="str">
        <f t="shared" si="91"/>
        <v>https://www.oreht.ru/modules.php?name=orehtPriceLS&amp;op=Search&amp;page=1&amp;stext=389778</v>
      </c>
      <c r="I1505">
        <v>389778</v>
      </c>
      <c r="J1505" t="s">
        <v>2</v>
      </c>
      <c r="K1505" t="s">
        <v>4161</v>
      </c>
      <c r="L1505" t="s">
        <v>4162</v>
      </c>
      <c r="M1505" t="s">
        <v>4163</v>
      </c>
    </row>
    <row r="1506" spans="1:13" hidden="1" x14ac:dyDescent="0.25">
      <c r="A1506" s="24">
        <f t="shared" si="92"/>
        <v>20</v>
      </c>
      <c r="B1506" s="24">
        <v>9</v>
      </c>
      <c r="C1506" s="24">
        <v>45</v>
      </c>
      <c r="E1506" s="4">
        <v>333759</v>
      </c>
      <c r="F1506" s="2" t="s">
        <v>2</v>
      </c>
      <c r="G1506" s="2" t="str">
        <f t="shared" si="91"/>
        <v>https://www.oreht.ru/modules.php?name=orehtPriceLS&amp;op=Search&amp;page=1&amp;stext=333759</v>
      </c>
      <c r="I1506">
        <v>333759</v>
      </c>
      <c r="J1506" t="s">
        <v>2</v>
      </c>
      <c r="K1506" t="s">
        <v>4164</v>
      </c>
      <c r="L1506" t="s">
        <v>4165</v>
      </c>
      <c r="M1506" t="s">
        <v>4166</v>
      </c>
    </row>
    <row r="1507" spans="1:13" hidden="1" x14ac:dyDescent="0.25">
      <c r="A1507" s="24">
        <f t="shared" si="92"/>
        <v>20</v>
      </c>
      <c r="B1507" s="24">
        <v>12</v>
      </c>
      <c r="C1507" s="24">
        <v>40</v>
      </c>
      <c r="E1507" s="4">
        <v>309308</v>
      </c>
      <c r="F1507" s="2" t="s">
        <v>2</v>
      </c>
      <c r="G1507" s="2" t="str">
        <f t="shared" si="91"/>
        <v>https://www.oreht.ru/modules.php?name=orehtPriceLS&amp;op=Search&amp;page=1&amp;stext=309308</v>
      </c>
      <c r="I1507">
        <v>309308</v>
      </c>
      <c r="J1507" t="s">
        <v>2</v>
      </c>
      <c r="K1507" t="s">
        <v>4167</v>
      </c>
      <c r="L1507" t="s">
        <v>4168</v>
      </c>
      <c r="M1507" t="s">
        <v>4169</v>
      </c>
    </row>
    <row r="1508" spans="1:13" hidden="1" x14ac:dyDescent="0.25">
      <c r="A1508" s="24">
        <f t="shared" si="92"/>
        <v>20</v>
      </c>
      <c r="B1508" s="24">
        <v>12</v>
      </c>
      <c r="C1508" s="24">
        <v>51</v>
      </c>
      <c r="E1508" s="4">
        <v>461202</v>
      </c>
      <c r="F1508" s="2" t="s">
        <v>2</v>
      </c>
      <c r="G1508" s="2" t="str">
        <f t="shared" si="91"/>
        <v>https://www.oreht.ru/modules.php?name=orehtPriceLS&amp;op=Search&amp;page=1&amp;stext=461202</v>
      </c>
      <c r="I1508">
        <v>461202</v>
      </c>
      <c r="J1508" t="s">
        <v>2</v>
      </c>
      <c r="K1508" t="s">
        <v>4170</v>
      </c>
      <c r="L1508" t="s">
        <v>4171</v>
      </c>
      <c r="M1508" t="s">
        <v>4172</v>
      </c>
    </row>
    <row r="1509" spans="1:13" hidden="1" x14ac:dyDescent="0.25">
      <c r="A1509" s="24">
        <f t="shared" si="92"/>
        <v>20</v>
      </c>
      <c r="B1509" s="24">
        <v>12</v>
      </c>
      <c r="C1509" s="24">
        <v>51</v>
      </c>
      <c r="E1509" s="4">
        <v>461201</v>
      </c>
      <c r="F1509" s="2" t="s">
        <v>2</v>
      </c>
      <c r="G1509" s="2" t="str">
        <f t="shared" si="91"/>
        <v>https://www.oreht.ru/modules.php?name=orehtPriceLS&amp;op=Search&amp;page=1&amp;stext=461201</v>
      </c>
      <c r="I1509">
        <v>461201</v>
      </c>
      <c r="J1509" t="s">
        <v>2</v>
      </c>
      <c r="K1509" t="s">
        <v>4173</v>
      </c>
      <c r="L1509" t="s">
        <v>4174</v>
      </c>
      <c r="M1509" t="s">
        <v>4172</v>
      </c>
    </row>
    <row r="1510" spans="1:13" hidden="1" x14ac:dyDescent="0.25">
      <c r="A1510" s="24">
        <f t="shared" si="92"/>
        <v>20</v>
      </c>
      <c r="B1510" s="24">
        <v>12</v>
      </c>
      <c r="C1510" s="24">
        <v>43</v>
      </c>
      <c r="E1510" s="4">
        <v>345007</v>
      </c>
      <c r="F1510" s="2" t="s">
        <v>2</v>
      </c>
      <c r="G1510" s="2" t="str">
        <f t="shared" si="91"/>
        <v>https://www.oreht.ru/modules.php?name=orehtPriceLS&amp;op=Search&amp;page=1&amp;stext=345007</v>
      </c>
      <c r="I1510">
        <v>345007</v>
      </c>
      <c r="J1510" t="s">
        <v>2</v>
      </c>
      <c r="K1510" t="s">
        <v>4175</v>
      </c>
      <c r="L1510" t="s">
        <v>4176</v>
      </c>
      <c r="M1510" t="s">
        <v>3886</v>
      </c>
    </row>
    <row r="1511" spans="1:13" hidden="1" x14ac:dyDescent="0.25">
      <c r="A1511" s="24">
        <f t="shared" si="92"/>
        <v>20</v>
      </c>
      <c r="B1511" s="24">
        <v>12</v>
      </c>
      <c r="C1511" s="24">
        <v>65</v>
      </c>
      <c r="E1511" s="4">
        <v>423766</v>
      </c>
      <c r="F1511" s="2" t="s">
        <v>2</v>
      </c>
      <c r="G1511" s="2" t="str">
        <f t="shared" si="91"/>
        <v>https://www.oreht.ru/modules.php?name=orehtPriceLS&amp;op=Search&amp;page=1&amp;stext=423766</v>
      </c>
      <c r="I1511">
        <v>423766</v>
      </c>
      <c r="J1511" t="s">
        <v>2</v>
      </c>
      <c r="K1511" t="s">
        <v>4177</v>
      </c>
      <c r="L1511" t="s">
        <v>4178</v>
      </c>
      <c r="M1511" t="s">
        <v>4179</v>
      </c>
    </row>
    <row r="1512" spans="1:13" hidden="1" x14ac:dyDescent="0.25">
      <c r="A1512" s="24">
        <f t="shared" si="92"/>
        <v>20</v>
      </c>
      <c r="B1512" s="24">
        <v>12</v>
      </c>
      <c r="C1512" s="24">
        <v>70</v>
      </c>
      <c r="E1512" s="4">
        <v>175399</v>
      </c>
      <c r="F1512" s="2" t="s">
        <v>2</v>
      </c>
      <c r="G1512" s="2" t="str">
        <f t="shared" si="91"/>
        <v>https://www.oreht.ru/modules.php?name=orehtPriceLS&amp;op=Search&amp;page=1&amp;stext=175399</v>
      </c>
      <c r="I1512">
        <v>175399</v>
      </c>
      <c r="J1512" t="s">
        <v>2</v>
      </c>
      <c r="K1512" t="s">
        <v>4180</v>
      </c>
      <c r="L1512" t="s">
        <v>4181</v>
      </c>
      <c r="M1512" t="s">
        <v>3860</v>
      </c>
    </row>
    <row r="1513" spans="1:13" hidden="1" x14ac:dyDescent="0.25">
      <c r="A1513" s="24">
        <f t="shared" si="92"/>
        <v>20</v>
      </c>
      <c r="B1513" s="24">
        <v>12</v>
      </c>
      <c r="C1513" s="24">
        <v>120</v>
      </c>
      <c r="E1513" s="4">
        <v>104763</v>
      </c>
      <c r="F1513" s="2" t="s">
        <v>2</v>
      </c>
      <c r="G1513" s="2" t="str">
        <f t="shared" si="91"/>
        <v>https://www.oreht.ru/modules.php?name=orehtPriceLS&amp;op=Search&amp;page=1&amp;stext=104763</v>
      </c>
      <c r="I1513">
        <v>104763</v>
      </c>
      <c r="J1513" t="s">
        <v>2</v>
      </c>
      <c r="K1513" t="s">
        <v>4182</v>
      </c>
      <c r="L1513" t="s">
        <v>4183</v>
      </c>
      <c r="M1513" t="s">
        <v>4184</v>
      </c>
    </row>
    <row r="1514" spans="1:13" hidden="1" x14ac:dyDescent="0.25">
      <c r="A1514" s="24">
        <f t="shared" si="92"/>
        <v>20</v>
      </c>
      <c r="B1514" s="24">
        <v>12</v>
      </c>
      <c r="C1514" s="24">
        <v>135</v>
      </c>
      <c r="E1514" s="4">
        <v>263670</v>
      </c>
      <c r="F1514" s="2" t="s">
        <v>2</v>
      </c>
      <c r="G1514" s="2" t="str">
        <f t="shared" si="91"/>
        <v>https://www.oreht.ru/modules.php?name=orehtPriceLS&amp;op=Search&amp;page=1&amp;stext=263670</v>
      </c>
      <c r="I1514">
        <v>263670</v>
      </c>
      <c r="J1514" t="s">
        <v>2</v>
      </c>
      <c r="K1514" t="s">
        <v>4185</v>
      </c>
      <c r="L1514" t="s">
        <v>4186</v>
      </c>
      <c r="M1514" t="s">
        <v>4187</v>
      </c>
    </row>
    <row r="1515" spans="1:13" hidden="1" x14ac:dyDescent="0.25">
      <c r="A1515" s="24">
        <f t="shared" si="92"/>
        <v>20</v>
      </c>
      <c r="B1515" s="24">
        <v>12</v>
      </c>
      <c r="C1515" s="24">
        <v>67</v>
      </c>
      <c r="E1515" s="4">
        <v>263661</v>
      </c>
      <c r="F1515" s="2" t="s">
        <v>2</v>
      </c>
      <c r="G1515" s="2" t="str">
        <f t="shared" si="91"/>
        <v>https://www.oreht.ru/modules.php?name=orehtPriceLS&amp;op=Search&amp;page=1&amp;stext=263661</v>
      </c>
      <c r="I1515">
        <v>263661</v>
      </c>
      <c r="J1515" t="s">
        <v>2</v>
      </c>
      <c r="K1515" t="s">
        <v>4188</v>
      </c>
      <c r="L1515" t="s">
        <v>4189</v>
      </c>
      <c r="M1515" t="s">
        <v>4190</v>
      </c>
    </row>
    <row r="1516" spans="1:13" hidden="1" x14ac:dyDescent="0.25">
      <c r="A1516" s="24">
        <f t="shared" si="92"/>
        <v>20</v>
      </c>
      <c r="B1516" s="24">
        <v>12</v>
      </c>
      <c r="C1516" s="24">
        <v>41</v>
      </c>
      <c r="E1516" s="4">
        <v>343484</v>
      </c>
      <c r="F1516" s="2" t="s">
        <v>2</v>
      </c>
      <c r="G1516" s="2" t="str">
        <f t="shared" si="91"/>
        <v>https://www.oreht.ru/modules.php?name=orehtPriceLS&amp;op=Search&amp;page=1&amp;stext=343484</v>
      </c>
      <c r="I1516">
        <v>343484</v>
      </c>
      <c r="J1516" t="s">
        <v>2</v>
      </c>
      <c r="K1516" t="s">
        <v>4191</v>
      </c>
      <c r="L1516" t="s">
        <v>4192</v>
      </c>
      <c r="M1516" t="s">
        <v>4193</v>
      </c>
    </row>
    <row r="1517" spans="1:13" hidden="1" x14ac:dyDescent="0.25">
      <c r="A1517" s="24">
        <f t="shared" si="92"/>
        <v>20</v>
      </c>
      <c r="B1517" s="24">
        <v>15</v>
      </c>
      <c r="C1517" s="24">
        <v>70</v>
      </c>
      <c r="E1517" s="4">
        <v>409679</v>
      </c>
      <c r="F1517" s="2" t="s">
        <v>2</v>
      </c>
      <c r="G1517" s="2" t="str">
        <f t="shared" si="91"/>
        <v>https://www.oreht.ru/modules.php?name=orehtPriceLS&amp;op=Search&amp;page=1&amp;stext=409679</v>
      </c>
      <c r="I1517">
        <v>409679</v>
      </c>
      <c r="J1517" t="s">
        <v>2</v>
      </c>
      <c r="K1517" t="s">
        <v>4194</v>
      </c>
      <c r="L1517" t="s">
        <v>4195</v>
      </c>
      <c r="M1517" t="s">
        <v>4196</v>
      </c>
    </row>
    <row r="1518" spans="1:13" hidden="1" x14ac:dyDescent="0.25">
      <c r="A1518" s="24">
        <f t="shared" si="92"/>
        <v>20</v>
      </c>
      <c r="B1518" s="24">
        <v>12</v>
      </c>
      <c r="C1518" s="24">
        <v>47</v>
      </c>
      <c r="E1518" s="4">
        <v>266692</v>
      </c>
      <c r="F1518" s="2" t="s">
        <v>2</v>
      </c>
      <c r="G1518" s="2" t="str">
        <f t="shared" si="91"/>
        <v>https://www.oreht.ru/modules.php?name=orehtPriceLS&amp;op=Search&amp;page=1&amp;stext=266692</v>
      </c>
      <c r="I1518">
        <v>266692</v>
      </c>
      <c r="J1518" t="s">
        <v>2</v>
      </c>
      <c r="K1518" t="s">
        <v>4197</v>
      </c>
      <c r="L1518" t="s">
        <v>4198</v>
      </c>
      <c r="M1518" t="s">
        <v>3881</v>
      </c>
    </row>
    <row r="1519" spans="1:13" hidden="1" x14ac:dyDescent="0.25">
      <c r="A1519" s="24">
        <f t="shared" si="92"/>
        <v>20</v>
      </c>
      <c r="B1519" s="24">
        <v>12</v>
      </c>
      <c r="C1519" s="24">
        <v>65</v>
      </c>
      <c r="E1519" s="4">
        <v>263587</v>
      </c>
      <c r="F1519" s="2" t="s">
        <v>2</v>
      </c>
      <c r="G1519" s="2" t="str">
        <f t="shared" si="91"/>
        <v>https://www.oreht.ru/modules.php?name=orehtPriceLS&amp;op=Search&amp;page=1&amp;stext=263587</v>
      </c>
      <c r="I1519">
        <v>263587</v>
      </c>
      <c r="J1519" t="s">
        <v>2</v>
      </c>
      <c r="K1519" t="s">
        <v>4199</v>
      </c>
      <c r="L1519" t="s">
        <v>4200</v>
      </c>
      <c r="M1519" t="s">
        <v>4201</v>
      </c>
    </row>
    <row r="1520" spans="1:13" hidden="1" x14ac:dyDescent="0.25">
      <c r="A1520" s="24">
        <f t="shared" si="92"/>
        <v>20</v>
      </c>
      <c r="B1520" s="24">
        <v>9</v>
      </c>
      <c r="C1520" s="24">
        <v>43</v>
      </c>
      <c r="E1520" s="4">
        <v>341981</v>
      </c>
      <c r="F1520" s="2" t="s">
        <v>2</v>
      </c>
      <c r="G1520" s="2" t="str">
        <f t="shared" si="91"/>
        <v>https://www.oreht.ru/modules.php?name=orehtPriceLS&amp;op=Search&amp;page=1&amp;stext=341981</v>
      </c>
      <c r="I1520">
        <v>341981</v>
      </c>
      <c r="J1520" t="s">
        <v>2</v>
      </c>
      <c r="K1520" t="s">
        <v>4202</v>
      </c>
      <c r="L1520" t="s">
        <v>4203</v>
      </c>
      <c r="M1520" t="s">
        <v>4204</v>
      </c>
    </row>
    <row r="1521" spans="1:13" x14ac:dyDescent="0.25">
      <c r="A1521" s="24">
        <f t="shared" si="92"/>
        <v>20</v>
      </c>
      <c r="B1521" s="24">
        <v>15</v>
      </c>
      <c r="C1521" s="24">
        <v>47</v>
      </c>
      <c r="E1521" s="4">
        <v>294181</v>
      </c>
      <c r="F1521" s="2" t="s">
        <v>2</v>
      </c>
      <c r="G1521" s="2" t="str">
        <f t="shared" si="91"/>
        <v>https://www.oreht.ru/modules.php?name=orehtPriceLS&amp;op=Search&amp;page=1&amp;stext=294181</v>
      </c>
      <c r="I1521">
        <v>294181</v>
      </c>
      <c r="J1521" t="s">
        <v>2</v>
      </c>
      <c r="K1521" t="s">
        <v>4205</v>
      </c>
      <c r="L1521" t="s">
        <v>4206</v>
      </c>
      <c r="M1521" t="s">
        <v>649</v>
      </c>
    </row>
    <row r="1522" spans="1:13" hidden="1" x14ac:dyDescent="0.25">
      <c r="A1522" s="24">
        <f t="shared" si="92"/>
        <v>20</v>
      </c>
      <c r="B1522" s="24">
        <v>7</v>
      </c>
      <c r="C1522" s="24">
        <v>43</v>
      </c>
      <c r="E1522" s="4">
        <v>313919</v>
      </c>
      <c r="F1522" s="2" t="s">
        <v>2</v>
      </c>
      <c r="G1522" s="2" t="str">
        <f t="shared" si="91"/>
        <v>https://www.oreht.ru/modules.php?name=orehtPriceLS&amp;op=Search&amp;page=1&amp;stext=313919</v>
      </c>
      <c r="I1522">
        <v>313919</v>
      </c>
      <c r="J1522" t="s">
        <v>2</v>
      </c>
      <c r="K1522" t="s">
        <v>4207</v>
      </c>
      <c r="L1522" t="s">
        <v>4208</v>
      </c>
      <c r="M1522" t="s">
        <v>4209</v>
      </c>
    </row>
    <row r="1523" spans="1:13" hidden="1" x14ac:dyDescent="0.25">
      <c r="A1523" s="24">
        <f t="shared" si="92"/>
        <v>20</v>
      </c>
      <c r="B1523" s="24">
        <v>10</v>
      </c>
      <c r="C1523" s="24">
        <v>61</v>
      </c>
      <c r="E1523" s="4">
        <v>263571</v>
      </c>
      <c r="F1523" s="2" t="s">
        <v>2</v>
      </c>
      <c r="G1523" s="2" t="str">
        <f t="shared" si="91"/>
        <v>https://www.oreht.ru/modules.php?name=orehtPriceLS&amp;op=Search&amp;page=1&amp;stext=263571</v>
      </c>
      <c r="I1523">
        <v>263571</v>
      </c>
      <c r="J1523" t="s">
        <v>2</v>
      </c>
      <c r="K1523" t="s">
        <v>4210</v>
      </c>
      <c r="L1523" t="s">
        <v>4211</v>
      </c>
      <c r="M1523" t="s">
        <v>3506</v>
      </c>
    </row>
    <row r="1524" spans="1:13" hidden="1" x14ac:dyDescent="0.25">
      <c r="A1524" s="24">
        <f t="shared" si="92"/>
        <v>20</v>
      </c>
      <c r="B1524" s="24">
        <v>15</v>
      </c>
      <c r="C1524" s="24">
        <v>79</v>
      </c>
      <c r="E1524" s="4">
        <v>464245</v>
      </c>
      <c r="F1524" s="2" t="s">
        <v>2</v>
      </c>
      <c r="G1524" s="2" t="str">
        <f t="shared" si="91"/>
        <v>https://www.oreht.ru/modules.php?name=orehtPriceLS&amp;op=Search&amp;page=1&amp;stext=464245</v>
      </c>
      <c r="I1524">
        <v>464245</v>
      </c>
      <c r="J1524" t="s">
        <v>2</v>
      </c>
      <c r="K1524" t="s">
        <v>4212</v>
      </c>
      <c r="L1524" t="s">
        <v>4213</v>
      </c>
      <c r="M1524" t="s">
        <v>4214</v>
      </c>
    </row>
    <row r="1525" spans="1:13" hidden="1" x14ac:dyDescent="0.25">
      <c r="A1525" s="24">
        <f t="shared" si="92"/>
        <v>20</v>
      </c>
      <c r="B1525" s="24">
        <v>9</v>
      </c>
      <c r="C1525" s="24">
        <v>43</v>
      </c>
      <c r="E1525" s="4">
        <v>333758</v>
      </c>
      <c r="F1525" s="2" t="s">
        <v>2</v>
      </c>
      <c r="G1525" s="2" t="str">
        <f t="shared" si="91"/>
        <v>https://www.oreht.ru/modules.php?name=orehtPriceLS&amp;op=Search&amp;page=1&amp;stext=333758</v>
      </c>
      <c r="I1525">
        <v>333758</v>
      </c>
      <c r="J1525" t="s">
        <v>2</v>
      </c>
      <c r="K1525" t="s">
        <v>4215</v>
      </c>
      <c r="L1525" t="s">
        <v>4216</v>
      </c>
      <c r="M1525" t="s">
        <v>4217</v>
      </c>
    </row>
    <row r="1526" spans="1:13" hidden="1" x14ac:dyDescent="0.25">
      <c r="A1526" s="24">
        <f t="shared" si="92"/>
        <v>20</v>
      </c>
      <c r="B1526" s="24">
        <v>9</v>
      </c>
      <c r="C1526" s="24">
        <v>43</v>
      </c>
      <c r="E1526" s="4">
        <v>271267</v>
      </c>
      <c r="F1526" s="2" t="s">
        <v>2</v>
      </c>
      <c r="G1526" s="2" t="str">
        <f t="shared" si="91"/>
        <v>https://www.oreht.ru/modules.php?name=orehtPriceLS&amp;op=Search&amp;page=1&amp;stext=271267</v>
      </c>
      <c r="I1526">
        <v>271267</v>
      </c>
      <c r="J1526" t="s">
        <v>2</v>
      </c>
      <c r="K1526" t="s">
        <v>4218</v>
      </c>
      <c r="L1526" t="s">
        <v>4219</v>
      </c>
      <c r="M1526" t="s">
        <v>4220</v>
      </c>
    </row>
    <row r="1527" spans="1:13" hidden="1" x14ac:dyDescent="0.25">
      <c r="A1527" s="24">
        <f t="shared" si="92"/>
        <v>20</v>
      </c>
      <c r="B1527" s="24">
        <v>8</v>
      </c>
      <c r="C1527" s="24">
        <v>40</v>
      </c>
      <c r="E1527" s="4">
        <v>274859</v>
      </c>
      <c r="F1527" s="2" t="s">
        <v>2</v>
      </c>
      <c r="G1527" s="2" t="str">
        <f t="shared" si="91"/>
        <v>https://www.oreht.ru/modules.php?name=orehtPriceLS&amp;op=Search&amp;page=1&amp;stext=274859</v>
      </c>
      <c r="I1527">
        <v>274859</v>
      </c>
      <c r="J1527" t="s">
        <v>2</v>
      </c>
      <c r="K1527" t="s">
        <v>4221</v>
      </c>
      <c r="L1527" t="s">
        <v>4222</v>
      </c>
      <c r="M1527" t="s">
        <v>4223</v>
      </c>
    </row>
    <row r="1528" spans="1:13" hidden="1" x14ac:dyDescent="0.25">
      <c r="A1528" s="24">
        <f t="shared" si="92"/>
        <v>20</v>
      </c>
      <c r="B1528" s="24">
        <v>12</v>
      </c>
      <c r="C1528" s="24">
        <v>55</v>
      </c>
      <c r="E1528" s="4">
        <v>407342</v>
      </c>
      <c r="F1528" s="2" t="s">
        <v>2</v>
      </c>
      <c r="G1528" s="2" t="str">
        <f t="shared" si="91"/>
        <v>https://www.oreht.ru/modules.php?name=orehtPriceLS&amp;op=Search&amp;page=1&amp;stext=407342</v>
      </c>
      <c r="I1528">
        <v>407342</v>
      </c>
      <c r="J1528" t="s">
        <v>2</v>
      </c>
      <c r="K1528" t="s">
        <v>4224</v>
      </c>
      <c r="L1528" t="s">
        <v>4225</v>
      </c>
      <c r="M1528" t="s">
        <v>4226</v>
      </c>
    </row>
    <row r="1529" spans="1:13" hidden="1" x14ac:dyDescent="0.25">
      <c r="A1529" s="24">
        <f t="shared" si="92"/>
        <v>20</v>
      </c>
      <c r="B1529" s="24">
        <v>10</v>
      </c>
      <c r="C1529" s="24">
        <v>79</v>
      </c>
      <c r="E1529" s="4">
        <v>446335</v>
      </c>
      <c r="F1529" s="2" t="s">
        <v>2</v>
      </c>
      <c r="G1529" s="2" t="str">
        <f t="shared" si="91"/>
        <v>https://www.oreht.ru/modules.php?name=orehtPriceLS&amp;op=Search&amp;page=1&amp;stext=446335</v>
      </c>
      <c r="I1529">
        <v>446335</v>
      </c>
      <c r="J1529" t="s">
        <v>2</v>
      </c>
      <c r="K1529" t="s">
        <v>4227</v>
      </c>
      <c r="L1529" t="s">
        <v>4228</v>
      </c>
      <c r="M1529" t="s">
        <v>3308</v>
      </c>
    </row>
    <row r="1530" spans="1:13" hidden="1" x14ac:dyDescent="0.25">
      <c r="A1530" s="24">
        <f t="shared" si="92"/>
        <v>20</v>
      </c>
      <c r="B1530" s="24">
        <v>12</v>
      </c>
      <c r="C1530" s="24">
        <v>49</v>
      </c>
      <c r="E1530" s="4">
        <v>437460</v>
      </c>
      <c r="F1530" s="2" t="s">
        <v>2</v>
      </c>
      <c r="G1530" s="2" t="str">
        <f t="shared" si="91"/>
        <v>https://www.oreht.ru/modules.php?name=orehtPriceLS&amp;op=Search&amp;page=1&amp;stext=437460</v>
      </c>
      <c r="I1530">
        <v>437460</v>
      </c>
      <c r="J1530" t="s">
        <v>2</v>
      </c>
      <c r="K1530" t="s">
        <v>4229</v>
      </c>
      <c r="L1530" t="s">
        <v>4230</v>
      </c>
      <c r="M1530" t="s">
        <v>4231</v>
      </c>
    </row>
    <row r="1531" spans="1:13" hidden="1" x14ac:dyDescent="0.25">
      <c r="A1531" s="24">
        <f t="shared" si="92"/>
        <v>20</v>
      </c>
      <c r="B1531" s="24">
        <v>9</v>
      </c>
      <c r="C1531" s="24">
        <v>42</v>
      </c>
      <c r="E1531" s="4">
        <v>384974</v>
      </c>
      <c r="F1531" s="2" t="s">
        <v>2</v>
      </c>
      <c r="G1531" s="2" t="str">
        <f t="shared" si="91"/>
        <v>https://www.oreht.ru/modules.php?name=orehtPriceLS&amp;op=Search&amp;page=1&amp;stext=384974</v>
      </c>
      <c r="I1531">
        <v>384974</v>
      </c>
      <c r="J1531" t="s">
        <v>2</v>
      </c>
      <c r="K1531" t="s">
        <v>4232</v>
      </c>
      <c r="L1531" t="s">
        <v>4233</v>
      </c>
      <c r="M1531" t="s">
        <v>4234</v>
      </c>
    </row>
    <row r="1532" spans="1:13" hidden="1" x14ac:dyDescent="0.25">
      <c r="A1532" s="24">
        <f t="shared" si="92"/>
        <v>20</v>
      </c>
      <c r="B1532" s="24">
        <v>12</v>
      </c>
      <c r="C1532" s="24">
        <v>63</v>
      </c>
      <c r="E1532" s="4">
        <v>374156</v>
      </c>
      <c r="F1532" s="2" t="s">
        <v>2</v>
      </c>
      <c r="G1532" s="2" t="str">
        <f t="shared" si="91"/>
        <v>https://www.oreht.ru/modules.php?name=orehtPriceLS&amp;op=Search&amp;page=1&amp;stext=374156</v>
      </c>
      <c r="I1532">
        <v>374156</v>
      </c>
      <c r="J1532" t="s">
        <v>2</v>
      </c>
      <c r="K1532" t="s">
        <v>4235</v>
      </c>
      <c r="L1532" t="s">
        <v>4236</v>
      </c>
      <c r="M1532" t="s">
        <v>4237</v>
      </c>
    </row>
    <row r="1533" spans="1:13" hidden="1" x14ac:dyDescent="0.25">
      <c r="A1533" s="24">
        <f t="shared" si="92"/>
        <v>20</v>
      </c>
      <c r="B1533" s="24">
        <v>12</v>
      </c>
      <c r="C1533" s="24">
        <v>41</v>
      </c>
      <c r="E1533" s="4">
        <v>374171</v>
      </c>
      <c r="F1533" s="2" t="s">
        <v>2</v>
      </c>
      <c r="G1533" s="2" t="str">
        <f t="shared" si="91"/>
        <v>https://www.oreht.ru/modules.php?name=orehtPriceLS&amp;op=Search&amp;page=1&amp;stext=374171</v>
      </c>
      <c r="I1533">
        <v>374171</v>
      </c>
      <c r="J1533" t="s">
        <v>2</v>
      </c>
      <c r="K1533" t="s">
        <v>4238</v>
      </c>
      <c r="L1533" t="s">
        <v>4239</v>
      </c>
      <c r="M1533" t="s">
        <v>4240</v>
      </c>
    </row>
    <row r="1534" spans="1:13" hidden="1" x14ac:dyDescent="0.25">
      <c r="A1534" s="24">
        <f t="shared" si="92"/>
        <v>20</v>
      </c>
      <c r="B1534" s="24">
        <v>12</v>
      </c>
      <c r="C1534" s="24">
        <v>41</v>
      </c>
      <c r="E1534" s="4">
        <v>374172</v>
      </c>
      <c r="F1534" s="2" t="s">
        <v>2</v>
      </c>
      <c r="G1534" s="2" t="str">
        <f t="shared" si="91"/>
        <v>https://www.oreht.ru/modules.php?name=orehtPriceLS&amp;op=Search&amp;page=1&amp;stext=374172</v>
      </c>
      <c r="I1534">
        <v>374172</v>
      </c>
      <c r="J1534" t="s">
        <v>2</v>
      </c>
      <c r="K1534" t="s">
        <v>4241</v>
      </c>
      <c r="L1534" t="s">
        <v>4242</v>
      </c>
      <c r="M1534" t="s">
        <v>4240</v>
      </c>
    </row>
    <row r="1535" spans="1:13" hidden="1" x14ac:dyDescent="0.25">
      <c r="A1535" s="24">
        <f t="shared" si="92"/>
        <v>20</v>
      </c>
      <c r="B1535" s="24">
        <v>10</v>
      </c>
      <c r="C1535" s="24">
        <v>79</v>
      </c>
      <c r="E1535" s="4">
        <v>375216</v>
      </c>
      <c r="F1535" s="2" t="s">
        <v>2</v>
      </c>
      <c r="G1535" s="2" t="str">
        <f t="shared" si="91"/>
        <v>https://www.oreht.ru/modules.php?name=orehtPriceLS&amp;op=Search&amp;page=1&amp;stext=375216</v>
      </c>
      <c r="I1535">
        <v>375216</v>
      </c>
      <c r="J1535" t="s">
        <v>2</v>
      </c>
      <c r="K1535" t="s">
        <v>4243</v>
      </c>
      <c r="L1535" t="s">
        <v>4244</v>
      </c>
      <c r="M1535" t="s">
        <v>4240</v>
      </c>
    </row>
    <row r="1536" spans="1:13" hidden="1" x14ac:dyDescent="0.25">
      <c r="A1536" s="24">
        <f t="shared" si="92"/>
        <v>20</v>
      </c>
      <c r="B1536" s="24">
        <v>9</v>
      </c>
      <c r="C1536" s="24">
        <v>51</v>
      </c>
      <c r="E1536" s="4">
        <v>91057</v>
      </c>
      <c r="F1536" s="2" t="s">
        <v>2</v>
      </c>
      <c r="G1536" s="2" t="str">
        <f t="shared" si="91"/>
        <v>https://www.oreht.ru/modules.php?name=orehtPriceLS&amp;op=Search&amp;page=1&amp;stext=91057</v>
      </c>
      <c r="I1536">
        <v>91057</v>
      </c>
      <c r="J1536" t="s">
        <v>2</v>
      </c>
      <c r="K1536" t="s">
        <v>4245</v>
      </c>
      <c r="L1536" t="s">
        <v>4246</v>
      </c>
      <c r="M1536" t="s">
        <v>4247</v>
      </c>
    </row>
    <row r="1537" spans="1:13" hidden="1" x14ac:dyDescent="0.25">
      <c r="A1537" s="24">
        <f t="shared" si="92"/>
        <v>20</v>
      </c>
      <c r="B1537" s="24">
        <v>12</v>
      </c>
      <c r="C1537" s="24">
        <v>47</v>
      </c>
      <c r="E1537" s="4">
        <v>393683</v>
      </c>
      <c r="F1537" s="2" t="s">
        <v>2</v>
      </c>
      <c r="G1537" s="2" t="str">
        <f t="shared" si="91"/>
        <v>https://www.oreht.ru/modules.php?name=orehtPriceLS&amp;op=Search&amp;page=1&amp;stext=393683</v>
      </c>
      <c r="I1537">
        <v>393683</v>
      </c>
      <c r="J1537" t="s">
        <v>2</v>
      </c>
      <c r="K1537" t="s">
        <v>4248</v>
      </c>
      <c r="L1537" t="s">
        <v>4249</v>
      </c>
      <c r="M1537" t="s">
        <v>4250</v>
      </c>
    </row>
    <row r="1538" spans="1:13" hidden="1" x14ac:dyDescent="0.25">
      <c r="A1538" s="24">
        <f t="shared" si="92"/>
        <v>20</v>
      </c>
      <c r="B1538" s="24">
        <v>12</v>
      </c>
      <c r="C1538" s="24">
        <v>41</v>
      </c>
      <c r="E1538" s="4">
        <v>393685</v>
      </c>
      <c r="F1538" s="2" t="s">
        <v>2</v>
      </c>
      <c r="G1538" s="2" t="str">
        <f t="shared" ref="G1538:G1601" si="93">HYPERLINK(F1538&amp;E1538)</f>
        <v>https://www.oreht.ru/modules.php?name=orehtPriceLS&amp;op=Search&amp;page=1&amp;stext=393685</v>
      </c>
      <c r="I1538">
        <v>393685</v>
      </c>
      <c r="J1538" t="s">
        <v>2</v>
      </c>
      <c r="K1538" t="s">
        <v>4251</v>
      </c>
      <c r="L1538" t="s">
        <v>4252</v>
      </c>
      <c r="M1538" t="s">
        <v>4117</v>
      </c>
    </row>
    <row r="1539" spans="1:13" hidden="1" x14ac:dyDescent="0.25">
      <c r="A1539" s="24">
        <f t="shared" si="92"/>
        <v>20</v>
      </c>
      <c r="B1539" s="24">
        <v>9</v>
      </c>
      <c r="C1539" s="24">
        <v>61</v>
      </c>
      <c r="E1539" s="4">
        <v>437186</v>
      </c>
      <c r="F1539" s="2" t="s">
        <v>2</v>
      </c>
      <c r="G1539" s="2" t="str">
        <f t="shared" si="93"/>
        <v>https://www.oreht.ru/modules.php?name=orehtPriceLS&amp;op=Search&amp;page=1&amp;stext=437186</v>
      </c>
      <c r="I1539">
        <v>437186</v>
      </c>
      <c r="J1539" t="s">
        <v>2</v>
      </c>
      <c r="K1539" t="s">
        <v>4253</v>
      </c>
      <c r="L1539" t="s">
        <v>4254</v>
      </c>
      <c r="M1539" t="s">
        <v>4057</v>
      </c>
    </row>
    <row r="1540" spans="1:13" hidden="1" x14ac:dyDescent="0.25">
      <c r="A1540" s="24">
        <f t="shared" si="92"/>
        <v>20</v>
      </c>
      <c r="B1540" s="24">
        <v>12</v>
      </c>
      <c r="C1540" s="24">
        <v>45</v>
      </c>
      <c r="E1540" s="4">
        <v>374129</v>
      </c>
      <c r="F1540" s="2" t="s">
        <v>2</v>
      </c>
      <c r="G1540" s="2" t="str">
        <f t="shared" si="93"/>
        <v>https://www.oreht.ru/modules.php?name=orehtPriceLS&amp;op=Search&amp;page=1&amp;stext=374129</v>
      </c>
      <c r="I1540">
        <v>374129</v>
      </c>
      <c r="J1540" t="s">
        <v>2</v>
      </c>
      <c r="K1540" t="s">
        <v>4255</v>
      </c>
      <c r="L1540" t="s">
        <v>4256</v>
      </c>
      <c r="M1540" t="s">
        <v>4193</v>
      </c>
    </row>
    <row r="1541" spans="1:13" hidden="1" x14ac:dyDescent="0.25">
      <c r="A1541" s="24">
        <f t="shared" ref="A1541:A1604" si="94">IF(W1541*0.05&gt;=250,250,IF(W1541*0.05&gt;=20,IF(W1541*0.05&lt;20,20,W1541*0.05),20))</f>
        <v>20</v>
      </c>
      <c r="B1541" s="24">
        <v>9</v>
      </c>
      <c r="C1541" s="24">
        <v>43</v>
      </c>
      <c r="E1541" s="4">
        <v>437187</v>
      </c>
      <c r="F1541" s="2" t="s">
        <v>2</v>
      </c>
      <c r="G1541" s="2" t="str">
        <f t="shared" si="93"/>
        <v>https://www.oreht.ru/modules.php?name=orehtPriceLS&amp;op=Search&amp;page=1&amp;stext=437187</v>
      </c>
      <c r="I1541">
        <v>437187</v>
      </c>
      <c r="J1541" t="s">
        <v>2</v>
      </c>
      <c r="K1541" t="s">
        <v>4257</v>
      </c>
      <c r="L1541" t="s">
        <v>4258</v>
      </c>
      <c r="M1541" t="s">
        <v>4057</v>
      </c>
    </row>
    <row r="1542" spans="1:13" hidden="1" x14ac:dyDescent="0.25">
      <c r="A1542" s="24">
        <f t="shared" si="94"/>
        <v>20</v>
      </c>
      <c r="B1542" s="24">
        <v>9</v>
      </c>
      <c r="C1542" s="24">
        <v>43</v>
      </c>
      <c r="E1542" s="4">
        <v>386383</v>
      </c>
      <c r="F1542" s="2" t="s">
        <v>2</v>
      </c>
      <c r="G1542" s="2" t="str">
        <f t="shared" si="93"/>
        <v>https://www.oreht.ru/modules.php?name=orehtPriceLS&amp;op=Search&amp;page=1&amp;stext=386383</v>
      </c>
      <c r="I1542">
        <v>386383</v>
      </c>
      <c r="J1542" t="s">
        <v>2</v>
      </c>
      <c r="K1542" t="s">
        <v>4259</v>
      </c>
      <c r="L1542" t="s">
        <v>4260</v>
      </c>
      <c r="M1542" t="s">
        <v>4261</v>
      </c>
    </row>
    <row r="1543" spans="1:13" hidden="1" x14ac:dyDescent="0.25">
      <c r="A1543" s="24">
        <f t="shared" si="94"/>
        <v>20</v>
      </c>
      <c r="B1543" s="24">
        <v>12</v>
      </c>
      <c r="C1543" s="24">
        <v>55</v>
      </c>
      <c r="E1543" s="4">
        <v>374132</v>
      </c>
      <c r="F1543" s="2" t="s">
        <v>2</v>
      </c>
      <c r="G1543" s="2" t="str">
        <f t="shared" si="93"/>
        <v>https://www.oreht.ru/modules.php?name=orehtPriceLS&amp;op=Search&amp;page=1&amp;stext=374132</v>
      </c>
      <c r="I1543">
        <v>374132</v>
      </c>
      <c r="J1543" t="s">
        <v>2</v>
      </c>
      <c r="K1543" t="s">
        <v>4262</v>
      </c>
      <c r="L1543" t="s">
        <v>4263</v>
      </c>
      <c r="M1543" t="s">
        <v>4264</v>
      </c>
    </row>
    <row r="1544" spans="1:13" hidden="1" x14ac:dyDescent="0.25">
      <c r="A1544" s="24">
        <f t="shared" si="94"/>
        <v>20</v>
      </c>
      <c r="B1544" s="24">
        <v>15</v>
      </c>
      <c r="C1544" s="24">
        <v>45.75</v>
      </c>
      <c r="E1544" s="4">
        <v>409083</v>
      </c>
      <c r="F1544" s="2" t="s">
        <v>2</v>
      </c>
      <c r="G1544" s="2" t="str">
        <f t="shared" si="93"/>
        <v>https://www.oreht.ru/modules.php?name=orehtPriceLS&amp;op=Search&amp;page=1&amp;stext=409083</v>
      </c>
      <c r="I1544">
        <v>409083</v>
      </c>
      <c r="J1544" t="s">
        <v>2</v>
      </c>
      <c r="K1544" t="s">
        <v>4265</v>
      </c>
      <c r="L1544" t="s">
        <v>4266</v>
      </c>
      <c r="M1544" t="s">
        <v>4267</v>
      </c>
    </row>
    <row r="1545" spans="1:13" hidden="1" x14ac:dyDescent="0.25">
      <c r="A1545" s="24">
        <f t="shared" si="94"/>
        <v>20</v>
      </c>
      <c r="B1545" s="24">
        <v>12</v>
      </c>
      <c r="C1545" s="24">
        <v>45</v>
      </c>
      <c r="E1545" s="4">
        <v>374130</v>
      </c>
      <c r="F1545" s="2" t="s">
        <v>2</v>
      </c>
      <c r="G1545" s="2" t="str">
        <f t="shared" si="93"/>
        <v>https://www.oreht.ru/modules.php?name=orehtPriceLS&amp;op=Search&amp;page=1&amp;stext=374130</v>
      </c>
      <c r="I1545">
        <v>374130</v>
      </c>
      <c r="J1545" t="s">
        <v>2</v>
      </c>
      <c r="K1545" t="s">
        <v>4268</v>
      </c>
      <c r="L1545" t="s">
        <v>4269</v>
      </c>
      <c r="M1545" t="s">
        <v>4193</v>
      </c>
    </row>
    <row r="1546" spans="1:13" hidden="1" x14ac:dyDescent="0.25">
      <c r="A1546" s="24">
        <f t="shared" si="94"/>
        <v>20</v>
      </c>
      <c r="B1546" s="24">
        <v>15</v>
      </c>
      <c r="C1546" s="24">
        <v>46</v>
      </c>
      <c r="E1546" s="4">
        <v>360117</v>
      </c>
      <c r="F1546" s="2" t="s">
        <v>2</v>
      </c>
      <c r="G1546" s="2" t="str">
        <f t="shared" si="93"/>
        <v>https://www.oreht.ru/modules.php?name=orehtPriceLS&amp;op=Search&amp;page=1&amp;stext=360117</v>
      </c>
      <c r="I1546">
        <v>360117</v>
      </c>
      <c r="J1546" t="s">
        <v>2</v>
      </c>
      <c r="K1546" t="s">
        <v>4270</v>
      </c>
      <c r="L1546" t="s">
        <v>4271</v>
      </c>
      <c r="M1546" t="s">
        <v>1362</v>
      </c>
    </row>
    <row r="1547" spans="1:13" hidden="1" x14ac:dyDescent="0.25">
      <c r="A1547" s="24">
        <f t="shared" si="94"/>
        <v>20</v>
      </c>
      <c r="B1547" s="24">
        <v>15</v>
      </c>
      <c r="C1547" s="24">
        <v>46.4</v>
      </c>
      <c r="E1547" s="4">
        <v>435843</v>
      </c>
      <c r="F1547" s="2" t="s">
        <v>2</v>
      </c>
      <c r="G1547" s="2" t="str">
        <f t="shared" si="93"/>
        <v>https://www.oreht.ru/modules.php?name=orehtPriceLS&amp;op=Search&amp;page=1&amp;stext=435843</v>
      </c>
      <c r="I1547">
        <v>435843</v>
      </c>
      <c r="J1547" t="s">
        <v>2</v>
      </c>
      <c r="K1547" t="s">
        <v>4272</v>
      </c>
      <c r="L1547" t="s">
        <v>4273</v>
      </c>
      <c r="M1547" t="s">
        <v>4274</v>
      </c>
    </row>
    <row r="1548" spans="1:13" hidden="1" x14ac:dyDescent="0.25">
      <c r="A1548" s="24">
        <f t="shared" si="94"/>
        <v>20</v>
      </c>
      <c r="B1548" s="24">
        <v>9</v>
      </c>
      <c r="C1548" s="24">
        <v>43.8</v>
      </c>
      <c r="E1548" s="4">
        <v>464153</v>
      </c>
      <c r="F1548" s="2" t="s">
        <v>2</v>
      </c>
      <c r="G1548" s="2" t="str">
        <f t="shared" si="93"/>
        <v>https://www.oreht.ru/modules.php?name=orehtPriceLS&amp;op=Search&amp;page=1&amp;stext=464153</v>
      </c>
      <c r="I1548">
        <v>464153</v>
      </c>
      <c r="J1548" t="s">
        <v>2</v>
      </c>
      <c r="K1548" t="s">
        <v>4275</v>
      </c>
      <c r="L1548" t="s">
        <v>4276</v>
      </c>
      <c r="M1548" t="s">
        <v>4274</v>
      </c>
    </row>
    <row r="1549" spans="1:13" hidden="1" x14ac:dyDescent="0.25">
      <c r="A1549" s="24">
        <f t="shared" si="94"/>
        <v>20</v>
      </c>
      <c r="B1549" s="24">
        <v>12</v>
      </c>
      <c r="C1549" s="24">
        <v>67</v>
      </c>
      <c r="E1549" s="4">
        <v>374138</v>
      </c>
      <c r="F1549" s="2" t="s">
        <v>2</v>
      </c>
      <c r="G1549" s="2" t="str">
        <f t="shared" si="93"/>
        <v>https://www.oreht.ru/modules.php?name=orehtPriceLS&amp;op=Search&amp;page=1&amp;stext=374138</v>
      </c>
      <c r="I1549">
        <v>374138</v>
      </c>
      <c r="J1549" t="s">
        <v>2</v>
      </c>
      <c r="K1549" t="s">
        <v>4277</v>
      </c>
      <c r="L1549" t="s">
        <v>4278</v>
      </c>
      <c r="M1549" t="s">
        <v>4279</v>
      </c>
    </row>
    <row r="1550" spans="1:13" hidden="1" x14ac:dyDescent="0.25">
      <c r="A1550" s="24">
        <f t="shared" si="94"/>
        <v>20</v>
      </c>
      <c r="B1550" s="24">
        <v>9</v>
      </c>
      <c r="C1550" s="24">
        <v>67</v>
      </c>
      <c r="E1550" s="4">
        <v>463166</v>
      </c>
      <c r="F1550" s="2" t="s">
        <v>2</v>
      </c>
      <c r="G1550" s="2" t="str">
        <f t="shared" si="93"/>
        <v>https://www.oreht.ru/modules.php?name=orehtPriceLS&amp;op=Search&amp;page=1&amp;stext=463166</v>
      </c>
      <c r="I1550">
        <v>463166</v>
      </c>
      <c r="J1550" t="s">
        <v>2</v>
      </c>
      <c r="K1550" t="s">
        <v>4280</v>
      </c>
      <c r="L1550" t="s">
        <v>4281</v>
      </c>
      <c r="M1550" t="s">
        <v>4282</v>
      </c>
    </row>
    <row r="1551" spans="1:13" hidden="1" x14ac:dyDescent="0.25">
      <c r="A1551" s="24">
        <f t="shared" si="94"/>
        <v>20</v>
      </c>
      <c r="B1551" s="24">
        <v>12</v>
      </c>
      <c r="C1551" s="24">
        <v>225</v>
      </c>
      <c r="E1551" s="4">
        <v>284385</v>
      </c>
      <c r="F1551" s="2" t="s">
        <v>2</v>
      </c>
      <c r="G1551" s="2" t="str">
        <f t="shared" si="93"/>
        <v>https://www.oreht.ru/modules.php?name=orehtPriceLS&amp;op=Search&amp;page=1&amp;stext=284385</v>
      </c>
      <c r="I1551">
        <v>284385</v>
      </c>
      <c r="J1551" t="s">
        <v>2</v>
      </c>
      <c r="K1551" t="s">
        <v>4283</v>
      </c>
      <c r="L1551" t="s">
        <v>4284</v>
      </c>
      <c r="M1551" t="s">
        <v>4285</v>
      </c>
    </row>
    <row r="1552" spans="1:13" hidden="1" x14ac:dyDescent="0.25">
      <c r="A1552" s="24">
        <f t="shared" si="94"/>
        <v>20</v>
      </c>
      <c r="B1552" s="24">
        <v>9</v>
      </c>
      <c r="C1552" s="24">
        <v>71</v>
      </c>
      <c r="E1552" s="4">
        <v>463165</v>
      </c>
      <c r="F1552" s="2" t="s">
        <v>2</v>
      </c>
      <c r="G1552" s="2" t="str">
        <f t="shared" si="93"/>
        <v>https://www.oreht.ru/modules.php?name=orehtPriceLS&amp;op=Search&amp;page=1&amp;stext=463165</v>
      </c>
      <c r="I1552">
        <v>463165</v>
      </c>
      <c r="J1552" t="s">
        <v>2</v>
      </c>
      <c r="K1552" t="s">
        <v>4286</v>
      </c>
      <c r="L1552" t="s">
        <v>4287</v>
      </c>
      <c r="M1552" t="s">
        <v>4282</v>
      </c>
    </row>
    <row r="1553" spans="1:13" hidden="1" x14ac:dyDescent="0.25">
      <c r="A1553" s="24">
        <f t="shared" si="94"/>
        <v>20</v>
      </c>
      <c r="B1553" s="24">
        <v>12</v>
      </c>
      <c r="C1553" s="24">
        <v>79</v>
      </c>
      <c r="E1553" s="4">
        <v>382689</v>
      </c>
      <c r="F1553" s="2" t="s">
        <v>2</v>
      </c>
      <c r="G1553" s="2" t="str">
        <f t="shared" si="93"/>
        <v>https://www.oreht.ru/modules.php?name=orehtPriceLS&amp;op=Search&amp;page=1&amp;stext=382689</v>
      </c>
      <c r="I1553">
        <v>382689</v>
      </c>
      <c r="J1553" t="s">
        <v>2</v>
      </c>
      <c r="K1553" t="s">
        <v>4288</v>
      </c>
      <c r="L1553" t="s">
        <v>4289</v>
      </c>
      <c r="M1553" t="s">
        <v>3400</v>
      </c>
    </row>
    <row r="1554" spans="1:13" hidden="1" x14ac:dyDescent="0.25">
      <c r="A1554" s="24">
        <f t="shared" si="94"/>
        <v>20</v>
      </c>
      <c r="B1554" s="24">
        <v>10</v>
      </c>
      <c r="C1554" s="24">
        <v>79</v>
      </c>
      <c r="E1554" s="4">
        <v>374144</v>
      </c>
      <c r="F1554" s="2" t="s">
        <v>2</v>
      </c>
      <c r="G1554" s="2" t="str">
        <f t="shared" si="93"/>
        <v>https://www.oreht.ru/modules.php?name=orehtPriceLS&amp;op=Search&amp;page=1&amp;stext=374144</v>
      </c>
      <c r="I1554">
        <v>374144</v>
      </c>
      <c r="J1554" t="s">
        <v>2</v>
      </c>
      <c r="K1554" t="s">
        <v>4290</v>
      </c>
      <c r="L1554" t="s">
        <v>4291</v>
      </c>
      <c r="M1554" t="s">
        <v>3400</v>
      </c>
    </row>
    <row r="1555" spans="1:13" hidden="1" x14ac:dyDescent="0.25">
      <c r="A1555" s="24">
        <f t="shared" si="94"/>
        <v>20</v>
      </c>
      <c r="B1555" s="24">
        <v>9</v>
      </c>
      <c r="C1555" s="24">
        <v>65</v>
      </c>
      <c r="E1555" s="4">
        <v>460325</v>
      </c>
      <c r="F1555" s="2" t="s">
        <v>2</v>
      </c>
      <c r="G1555" s="2" t="str">
        <f t="shared" si="93"/>
        <v>https://www.oreht.ru/modules.php?name=orehtPriceLS&amp;op=Search&amp;page=1&amp;stext=460325</v>
      </c>
      <c r="I1555">
        <v>460325</v>
      </c>
      <c r="J1555" t="s">
        <v>2</v>
      </c>
      <c r="K1555" t="s">
        <v>4292</v>
      </c>
      <c r="L1555" t="s">
        <v>4293</v>
      </c>
      <c r="M1555" t="s">
        <v>4294</v>
      </c>
    </row>
    <row r="1556" spans="1:13" hidden="1" x14ac:dyDescent="0.25">
      <c r="A1556" s="24">
        <f t="shared" si="94"/>
        <v>20</v>
      </c>
      <c r="B1556" s="24">
        <v>10</v>
      </c>
      <c r="C1556" s="24">
        <v>79</v>
      </c>
      <c r="E1556" s="4">
        <v>374148</v>
      </c>
      <c r="F1556" s="2" t="s">
        <v>2</v>
      </c>
      <c r="G1556" s="2" t="str">
        <f t="shared" si="93"/>
        <v>https://www.oreht.ru/modules.php?name=orehtPriceLS&amp;op=Search&amp;page=1&amp;stext=374148</v>
      </c>
      <c r="I1556">
        <v>374148</v>
      </c>
      <c r="J1556" t="s">
        <v>2</v>
      </c>
      <c r="K1556" t="s">
        <v>4295</v>
      </c>
      <c r="L1556" t="s">
        <v>4296</v>
      </c>
      <c r="M1556" t="s">
        <v>4101</v>
      </c>
    </row>
    <row r="1557" spans="1:13" hidden="1" x14ac:dyDescent="0.25">
      <c r="A1557" s="24">
        <f t="shared" si="94"/>
        <v>20</v>
      </c>
      <c r="B1557" s="24">
        <v>15</v>
      </c>
      <c r="C1557" s="24">
        <v>46.75</v>
      </c>
      <c r="E1557" s="4">
        <v>320921</v>
      </c>
      <c r="F1557" s="2" t="s">
        <v>2</v>
      </c>
      <c r="G1557" s="2" t="str">
        <f t="shared" si="93"/>
        <v>https://www.oreht.ru/modules.php?name=orehtPriceLS&amp;op=Search&amp;page=1&amp;stext=320921</v>
      </c>
      <c r="I1557">
        <v>320921</v>
      </c>
      <c r="J1557" t="s">
        <v>2</v>
      </c>
      <c r="K1557" t="s">
        <v>4297</v>
      </c>
      <c r="L1557" t="s">
        <v>4298</v>
      </c>
      <c r="M1557" t="s">
        <v>4299</v>
      </c>
    </row>
    <row r="1558" spans="1:13" hidden="1" x14ac:dyDescent="0.25">
      <c r="A1558" s="24">
        <f t="shared" si="94"/>
        <v>20</v>
      </c>
      <c r="B1558" s="24">
        <v>9</v>
      </c>
      <c r="C1558" s="24">
        <v>79</v>
      </c>
      <c r="E1558" s="4">
        <v>230814</v>
      </c>
      <c r="F1558" s="2" t="s">
        <v>2</v>
      </c>
      <c r="G1558" s="2" t="str">
        <f t="shared" si="93"/>
        <v>https://www.oreht.ru/modules.php?name=orehtPriceLS&amp;op=Search&amp;page=1&amp;stext=230814</v>
      </c>
      <c r="I1558">
        <v>230814</v>
      </c>
      <c r="J1558" t="s">
        <v>2</v>
      </c>
      <c r="K1558" t="s">
        <v>4300</v>
      </c>
      <c r="L1558" t="s">
        <v>4301</v>
      </c>
      <c r="M1558" t="s">
        <v>4282</v>
      </c>
    </row>
    <row r="1559" spans="1:13" hidden="1" x14ac:dyDescent="0.25">
      <c r="A1559" s="24">
        <f t="shared" si="94"/>
        <v>20</v>
      </c>
      <c r="B1559" s="24">
        <v>12</v>
      </c>
      <c r="C1559" s="24">
        <v>49</v>
      </c>
      <c r="E1559" s="4">
        <v>452679</v>
      </c>
      <c r="F1559" s="2" t="s">
        <v>2</v>
      </c>
      <c r="G1559" s="2" t="str">
        <f t="shared" si="93"/>
        <v>https://www.oreht.ru/modules.php?name=orehtPriceLS&amp;op=Search&amp;page=1&amp;stext=452679</v>
      </c>
      <c r="I1559">
        <v>452679</v>
      </c>
      <c r="J1559" t="s">
        <v>2</v>
      </c>
      <c r="K1559" t="s">
        <v>4302</v>
      </c>
      <c r="L1559" t="s">
        <v>4303</v>
      </c>
      <c r="M1559" t="s">
        <v>4304</v>
      </c>
    </row>
    <row r="1560" spans="1:13" hidden="1" x14ac:dyDescent="0.25">
      <c r="A1560" s="24">
        <f t="shared" si="94"/>
        <v>20</v>
      </c>
      <c r="B1560" s="24">
        <v>9</v>
      </c>
      <c r="C1560" s="24">
        <v>53.82</v>
      </c>
      <c r="E1560" s="4">
        <v>427844</v>
      </c>
      <c r="F1560" s="2" t="s">
        <v>2</v>
      </c>
      <c r="G1560" s="2" t="str">
        <f t="shared" si="93"/>
        <v>https://www.oreht.ru/modules.php?name=orehtPriceLS&amp;op=Search&amp;page=1&amp;stext=427844</v>
      </c>
      <c r="I1560">
        <v>427844</v>
      </c>
      <c r="J1560" t="s">
        <v>2</v>
      </c>
      <c r="K1560" t="s">
        <v>4305</v>
      </c>
      <c r="L1560" t="s">
        <v>4306</v>
      </c>
      <c r="M1560" t="s">
        <v>4307</v>
      </c>
    </row>
    <row r="1561" spans="1:13" hidden="1" x14ac:dyDescent="0.25">
      <c r="A1561" s="24">
        <f t="shared" si="94"/>
        <v>20</v>
      </c>
      <c r="B1561" s="24">
        <v>12</v>
      </c>
      <c r="C1561" s="24">
        <v>45</v>
      </c>
      <c r="E1561" s="4">
        <v>385142</v>
      </c>
      <c r="F1561" s="2" t="s">
        <v>2</v>
      </c>
      <c r="G1561" s="2" t="str">
        <f t="shared" si="93"/>
        <v>https://www.oreht.ru/modules.php?name=orehtPriceLS&amp;op=Search&amp;page=1&amp;stext=385142</v>
      </c>
      <c r="I1561">
        <v>385142</v>
      </c>
      <c r="J1561" t="s">
        <v>2</v>
      </c>
      <c r="K1561" t="s">
        <v>4308</v>
      </c>
      <c r="L1561" t="s">
        <v>4309</v>
      </c>
      <c r="M1561" t="s">
        <v>4310</v>
      </c>
    </row>
    <row r="1562" spans="1:13" hidden="1" x14ac:dyDescent="0.25">
      <c r="A1562" s="24">
        <f t="shared" si="94"/>
        <v>20</v>
      </c>
      <c r="B1562" s="24">
        <v>5</v>
      </c>
      <c r="C1562" s="24">
        <v>49</v>
      </c>
      <c r="E1562" s="4">
        <v>427845</v>
      </c>
      <c r="F1562" s="2" t="s">
        <v>2</v>
      </c>
      <c r="G1562" s="2" t="str">
        <f t="shared" si="93"/>
        <v>https://www.oreht.ru/modules.php?name=orehtPriceLS&amp;op=Search&amp;page=1&amp;stext=427845</v>
      </c>
      <c r="I1562">
        <v>427845</v>
      </c>
      <c r="J1562" t="s">
        <v>2</v>
      </c>
      <c r="K1562" t="s">
        <v>4311</v>
      </c>
      <c r="L1562" t="s">
        <v>4312</v>
      </c>
      <c r="M1562" t="s">
        <v>4307</v>
      </c>
    </row>
    <row r="1563" spans="1:13" hidden="1" x14ac:dyDescent="0.25">
      <c r="A1563" s="24">
        <f t="shared" si="94"/>
        <v>20</v>
      </c>
      <c r="B1563" s="24">
        <v>12</v>
      </c>
      <c r="C1563" s="24">
        <v>79</v>
      </c>
      <c r="E1563" s="4">
        <v>436093</v>
      </c>
      <c r="F1563" s="2" t="s">
        <v>2</v>
      </c>
      <c r="G1563" s="2" t="str">
        <f t="shared" si="93"/>
        <v>https://www.oreht.ru/modules.php?name=orehtPriceLS&amp;op=Search&amp;page=1&amp;stext=436093</v>
      </c>
      <c r="I1563">
        <v>436093</v>
      </c>
      <c r="J1563" t="s">
        <v>2</v>
      </c>
      <c r="K1563" t="s">
        <v>4313</v>
      </c>
      <c r="L1563" t="s">
        <v>4314</v>
      </c>
      <c r="M1563" t="s">
        <v>3361</v>
      </c>
    </row>
    <row r="1564" spans="1:13" hidden="1" x14ac:dyDescent="0.25">
      <c r="A1564" s="24">
        <f t="shared" si="94"/>
        <v>20</v>
      </c>
      <c r="B1564" s="24">
        <v>15</v>
      </c>
      <c r="C1564" s="24">
        <v>57.36</v>
      </c>
      <c r="E1564" s="4">
        <v>360089</v>
      </c>
      <c r="F1564" s="2" t="s">
        <v>2</v>
      </c>
      <c r="G1564" s="2" t="str">
        <f t="shared" si="93"/>
        <v>https://www.oreht.ru/modules.php?name=orehtPriceLS&amp;op=Search&amp;page=1&amp;stext=360089</v>
      </c>
      <c r="I1564">
        <v>360089</v>
      </c>
      <c r="J1564" t="s">
        <v>2</v>
      </c>
      <c r="K1564" t="s">
        <v>4315</v>
      </c>
      <c r="L1564" t="s">
        <v>4316</v>
      </c>
      <c r="M1564" t="s">
        <v>4317</v>
      </c>
    </row>
    <row r="1565" spans="1:13" hidden="1" x14ac:dyDescent="0.25">
      <c r="A1565" s="24">
        <f t="shared" si="94"/>
        <v>20</v>
      </c>
      <c r="B1565" s="24">
        <v>12</v>
      </c>
      <c r="C1565" s="24">
        <v>43</v>
      </c>
      <c r="E1565" s="4">
        <v>420903</v>
      </c>
      <c r="F1565" s="2" t="s">
        <v>2</v>
      </c>
      <c r="G1565" s="2" t="str">
        <f t="shared" si="93"/>
        <v>https://www.oreht.ru/modules.php?name=orehtPriceLS&amp;op=Search&amp;page=1&amp;stext=420903</v>
      </c>
      <c r="I1565">
        <v>420903</v>
      </c>
      <c r="J1565" t="s">
        <v>2</v>
      </c>
      <c r="K1565" t="s">
        <v>4318</v>
      </c>
      <c r="L1565" t="s">
        <v>4319</v>
      </c>
      <c r="M1565" t="s">
        <v>4172</v>
      </c>
    </row>
    <row r="1566" spans="1:13" hidden="1" x14ac:dyDescent="0.25">
      <c r="A1566" s="24">
        <f t="shared" si="94"/>
        <v>20</v>
      </c>
      <c r="B1566" s="24">
        <v>12</v>
      </c>
      <c r="C1566" s="24">
        <v>43</v>
      </c>
      <c r="E1566" s="4">
        <v>420904</v>
      </c>
      <c r="F1566" s="2" t="s">
        <v>2</v>
      </c>
      <c r="G1566" s="2" t="str">
        <f t="shared" si="93"/>
        <v>https://www.oreht.ru/modules.php?name=orehtPriceLS&amp;op=Search&amp;page=1&amp;stext=420904</v>
      </c>
      <c r="I1566">
        <v>420904</v>
      </c>
      <c r="J1566" t="s">
        <v>2</v>
      </c>
      <c r="K1566" t="s">
        <v>4320</v>
      </c>
      <c r="L1566" t="s">
        <v>4321</v>
      </c>
      <c r="M1566" t="s">
        <v>4172</v>
      </c>
    </row>
    <row r="1567" spans="1:13" hidden="1" x14ac:dyDescent="0.25">
      <c r="A1567" s="24">
        <f t="shared" si="94"/>
        <v>20</v>
      </c>
      <c r="B1567" s="24">
        <v>12</v>
      </c>
      <c r="C1567" s="24">
        <v>45</v>
      </c>
      <c r="E1567" s="4">
        <v>374167</v>
      </c>
      <c r="F1567" s="2" t="s">
        <v>2</v>
      </c>
      <c r="G1567" s="2" t="str">
        <f t="shared" si="93"/>
        <v>https://www.oreht.ru/modules.php?name=orehtPriceLS&amp;op=Search&amp;page=1&amp;stext=374167</v>
      </c>
      <c r="I1567">
        <v>374167</v>
      </c>
      <c r="J1567" t="s">
        <v>2</v>
      </c>
      <c r="K1567" t="s">
        <v>4322</v>
      </c>
      <c r="L1567" t="s">
        <v>4323</v>
      </c>
      <c r="M1567" t="s">
        <v>4324</v>
      </c>
    </row>
    <row r="1568" spans="1:13" hidden="1" x14ac:dyDescent="0.25">
      <c r="A1568" s="24">
        <f t="shared" si="94"/>
        <v>20</v>
      </c>
      <c r="B1568" s="24">
        <v>15</v>
      </c>
      <c r="C1568" s="24">
        <v>79</v>
      </c>
      <c r="E1568" s="4">
        <v>384401</v>
      </c>
      <c r="F1568" s="2" t="s">
        <v>2</v>
      </c>
      <c r="G1568" s="2" t="str">
        <f t="shared" si="93"/>
        <v>https://www.oreht.ru/modules.php?name=orehtPriceLS&amp;op=Search&amp;page=1&amp;stext=384401</v>
      </c>
      <c r="I1568">
        <v>384401</v>
      </c>
      <c r="J1568" t="s">
        <v>2</v>
      </c>
      <c r="K1568" t="s">
        <v>4325</v>
      </c>
      <c r="L1568" t="s">
        <v>4326</v>
      </c>
      <c r="M1568" t="s">
        <v>4327</v>
      </c>
    </row>
    <row r="1569" spans="1:13" hidden="1" x14ac:dyDescent="0.25">
      <c r="A1569" s="24">
        <f t="shared" si="94"/>
        <v>20</v>
      </c>
      <c r="B1569" s="24">
        <v>12</v>
      </c>
      <c r="C1569" s="24">
        <v>49</v>
      </c>
      <c r="E1569" s="4">
        <v>374170</v>
      </c>
      <c r="F1569" s="2" t="s">
        <v>2</v>
      </c>
      <c r="G1569" s="2" t="str">
        <f t="shared" si="93"/>
        <v>https://www.oreht.ru/modules.php?name=orehtPriceLS&amp;op=Search&amp;page=1&amp;stext=374170</v>
      </c>
      <c r="I1569">
        <v>374170</v>
      </c>
      <c r="J1569" t="s">
        <v>2</v>
      </c>
      <c r="K1569" t="s">
        <v>4328</v>
      </c>
      <c r="L1569" t="s">
        <v>4329</v>
      </c>
      <c r="M1569" t="s">
        <v>4330</v>
      </c>
    </row>
    <row r="1570" spans="1:13" hidden="1" x14ac:dyDescent="0.25">
      <c r="A1570" s="24">
        <f t="shared" si="94"/>
        <v>20</v>
      </c>
      <c r="B1570" s="24">
        <v>12</v>
      </c>
      <c r="C1570" s="24">
        <v>49</v>
      </c>
      <c r="E1570" s="4">
        <v>376871</v>
      </c>
      <c r="F1570" s="2" t="s">
        <v>2</v>
      </c>
      <c r="G1570" s="2" t="str">
        <f t="shared" si="93"/>
        <v>https://www.oreht.ru/modules.php?name=orehtPriceLS&amp;op=Search&amp;page=1&amp;stext=376871</v>
      </c>
      <c r="I1570">
        <v>376871</v>
      </c>
      <c r="J1570" t="s">
        <v>2</v>
      </c>
      <c r="K1570" t="s">
        <v>4331</v>
      </c>
      <c r="L1570" t="s">
        <v>4332</v>
      </c>
      <c r="M1570" t="s">
        <v>4330</v>
      </c>
    </row>
    <row r="1571" spans="1:13" hidden="1" x14ac:dyDescent="0.25">
      <c r="A1571" s="24">
        <f t="shared" si="94"/>
        <v>20</v>
      </c>
      <c r="B1571" s="24">
        <v>15</v>
      </c>
      <c r="C1571" s="24">
        <v>58.68</v>
      </c>
      <c r="E1571" s="4">
        <v>314814</v>
      </c>
      <c r="F1571" s="2" t="s">
        <v>2</v>
      </c>
      <c r="G1571" s="2" t="str">
        <f t="shared" si="93"/>
        <v>https://www.oreht.ru/modules.php?name=orehtPriceLS&amp;op=Search&amp;page=1&amp;stext=314814</v>
      </c>
      <c r="I1571">
        <v>314814</v>
      </c>
      <c r="J1571" t="s">
        <v>2</v>
      </c>
      <c r="K1571" t="s">
        <v>4333</v>
      </c>
      <c r="L1571" t="s">
        <v>4334</v>
      </c>
      <c r="M1571" t="s">
        <v>4335</v>
      </c>
    </row>
    <row r="1572" spans="1:13" hidden="1" x14ac:dyDescent="0.25">
      <c r="A1572" s="24">
        <f t="shared" si="94"/>
        <v>20</v>
      </c>
      <c r="B1572" s="24">
        <v>12</v>
      </c>
      <c r="C1572" s="24">
        <v>49</v>
      </c>
      <c r="E1572" s="4">
        <v>375214</v>
      </c>
      <c r="F1572" s="2" t="s">
        <v>2</v>
      </c>
      <c r="G1572" s="2" t="str">
        <f t="shared" si="93"/>
        <v>https://www.oreht.ru/modules.php?name=orehtPriceLS&amp;op=Search&amp;page=1&amp;stext=375214</v>
      </c>
      <c r="I1572">
        <v>375214</v>
      </c>
      <c r="J1572" t="s">
        <v>2</v>
      </c>
      <c r="K1572" t="s">
        <v>4336</v>
      </c>
      <c r="L1572" t="s">
        <v>4337</v>
      </c>
      <c r="M1572" t="s">
        <v>4330</v>
      </c>
    </row>
    <row r="1573" spans="1:13" hidden="1" x14ac:dyDescent="0.25">
      <c r="A1573" s="24">
        <f t="shared" si="94"/>
        <v>20</v>
      </c>
      <c r="B1573" s="24">
        <v>15</v>
      </c>
      <c r="C1573" s="24">
        <v>48.3</v>
      </c>
      <c r="E1573" s="4">
        <v>323386</v>
      </c>
      <c r="F1573" s="2" t="s">
        <v>2</v>
      </c>
      <c r="G1573" s="2" t="str">
        <f t="shared" si="93"/>
        <v>https://www.oreht.ru/modules.php?name=orehtPriceLS&amp;op=Search&amp;page=1&amp;stext=323386</v>
      </c>
      <c r="I1573">
        <v>323386</v>
      </c>
      <c r="J1573" t="s">
        <v>2</v>
      </c>
      <c r="K1573" t="s">
        <v>4338</v>
      </c>
      <c r="L1573" t="s">
        <v>4339</v>
      </c>
      <c r="M1573" t="s">
        <v>4335</v>
      </c>
    </row>
    <row r="1574" spans="1:13" hidden="1" x14ac:dyDescent="0.25">
      <c r="A1574" s="24">
        <f t="shared" si="94"/>
        <v>20</v>
      </c>
      <c r="B1574" s="24">
        <v>12</v>
      </c>
      <c r="C1574" s="24">
        <v>43</v>
      </c>
      <c r="E1574" s="4">
        <v>436092</v>
      </c>
      <c r="F1574" s="2" t="s">
        <v>2</v>
      </c>
      <c r="G1574" s="2" t="str">
        <f t="shared" si="93"/>
        <v>https://www.oreht.ru/modules.php?name=orehtPriceLS&amp;op=Search&amp;page=1&amp;stext=436092</v>
      </c>
      <c r="I1574">
        <v>436092</v>
      </c>
      <c r="J1574" t="s">
        <v>2</v>
      </c>
      <c r="K1574" t="s">
        <v>4340</v>
      </c>
      <c r="L1574" t="s">
        <v>4341</v>
      </c>
      <c r="M1574" t="s">
        <v>4172</v>
      </c>
    </row>
    <row r="1575" spans="1:13" hidden="1" x14ac:dyDescent="0.25">
      <c r="A1575" s="24">
        <f t="shared" si="94"/>
        <v>20</v>
      </c>
      <c r="B1575" s="24">
        <v>8</v>
      </c>
      <c r="C1575" s="24">
        <v>44.2</v>
      </c>
      <c r="E1575" s="4">
        <v>420397</v>
      </c>
      <c r="F1575" s="2" t="s">
        <v>2</v>
      </c>
      <c r="G1575" s="2" t="str">
        <f t="shared" si="93"/>
        <v>https://www.oreht.ru/modules.php?name=orehtPriceLS&amp;op=Search&amp;page=1&amp;stext=420397</v>
      </c>
      <c r="I1575">
        <v>420397</v>
      </c>
      <c r="J1575" t="s">
        <v>2</v>
      </c>
      <c r="K1575" t="s">
        <v>4342</v>
      </c>
      <c r="L1575" t="s">
        <v>4343</v>
      </c>
      <c r="M1575" t="s">
        <v>4060</v>
      </c>
    </row>
    <row r="1576" spans="1:13" hidden="1" x14ac:dyDescent="0.25">
      <c r="A1576" s="24">
        <f t="shared" si="94"/>
        <v>20</v>
      </c>
      <c r="B1576" s="24">
        <v>12</v>
      </c>
      <c r="C1576" s="24">
        <v>45</v>
      </c>
      <c r="E1576" s="4">
        <v>458157</v>
      </c>
      <c r="F1576" s="2" t="s">
        <v>2</v>
      </c>
      <c r="G1576" s="2" t="str">
        <f t="shared" si="93"/>
        <v>https://www.oreht.ru/modules.php?name=orehtPriceLS&amp;op=Search&amp;page=1&amp;stext=458157</v>
      </c>
      <c r="I1576">
        <v>458157</v>
      </c>
      <c r="J1576" t="s">
        <v>2</v>
      </c>
      <c r="K1576" t="s">
        <v>4344</v>
      </c>
      <c r="L1576" t="s">
        <v>4345</v>
      </c>
      <c r="M1576" t="s">
        <v>4346</v>
      </c>
    </row>
    <row r="1577" spans="1:13" hidden="1" x14ac:dyDescent="0.25">
      <c r="A1577" s="24">
        <f t="shared" si="94"/>
        <v>20</v>
      </c>
      <c r="B1577" s="24">
        <v>9</v>
      </c>
      <c r="C1577" s="24">
        <v>46.05</v>
      </c>
      <c r="E1577" s="4">
        <v>449211</v>
      </c>
      <c r="F1577" s="2" t="s">
        <v>2</v>
      </c>
      <c r="G1577" s="2" t="str">
        <f t="shared" si="93"/>
        <v>https://www.oreht.ru/modules.php?name=orehtPriceLS&amp;op=Search&amp;page=1&amp;stext=449211</v>
      </c>
      <c r="I1577">
        <v>449211</v>
      </c>
      <c r="J1577" t="s">
        <v>2</v>
      </c>
      <c r="K1577" t="s">
        <v>4347</v>
      </c>
      <c r="L1577" t="s">
        <v>4348</v>
      </c>
      <c r="M1577" t="s">
        <v>4349</v>
      </c>
    </row>
    <row r="1578" spans="1:13" hidden="1" x14ac:dyDescent="0.25">
      <c r="A1578" s="24">
        <f t="shared" si="94"/>
        <v>20</v>
      </c>
      <c r="B1578" s="24">
        <v>12</v>
      </c>
      <c r="C1578" s="24">
        <v>45</v>
      </c>
      <c r="E1578" s="4">
        <v>443528</v>
      </c>
      <c r="F1578" s="2" t="s">
        <v>2</v>
      </c>
      <c r="G1578" s="2" t="str">
        <f t="shared" si="93"/>
        <v>https://www.oreht.ru/modules.php?name=orehtPriceLS&amp;op=Search&amp;page=1&amp;stext=443528</v>
      </c>
      <c r="I1578">
        <v>443528</v>
      </c>
      <c r="J1578" t="s">
        <v>2</v>
      </c>
      <c r="K1578" t="s">
        <v>4350</v>
      </c>
      <c r="L1578" t="s">
        <v>4351</v>
      </c>
      <c r="M1578" t="s">
        <v>4346</v>
      </c>
    </row>
    <row r="1579" spans="1:13" hidden="1" x14ac:dyDescent="0.25">
      <c r="A1579" s="24">
        <f t="shared" si="94"/>
        <v>20</v>
      </c>
      <c r="B1579" s="24">
        <v>12</v>
      </c>
      <c r="C1579" s="24">
        <v>45</v>
      </c>
      <c r="E1579" s="4">
        <v>458158</v>
      </c>
      <c r="F1579" s="2" t="s">
        <v>2</v>
      </c>
      <c r="G1579" s="2" t="str">
        <f t="shared" si="93"/>
        <v>https://www.oreht.ru/modules.php?name=orehtPriceLS&amp;op=Search&amp;page=1&amp;stext=458158</v>
      </c>
      <c r="I1579">
        <v>458158</v>
      </c>
      <c r="J1579" t="s">
        <v>2</v>
      </c>
      <c r="K1579" t="s">
        <v>4352</v>
      </c>
      <c r="L1579" t="s">
        <v>4353</v>
      </c>
      <c r="M1579" t="s">
        <v>4346</v>
      </c>
    </row>
    <row r="1580" spans="1:13" hidden="1" x14ac:dyDescent="0.25">
      <c r="A1580" s="24">
        <f t="shared" si="94"/>
        <v>20</v>
      </c>
      <c r="B1580" s="24">
        <v>9</v>
      </c>
      <c r="C1580" s="24">
        <v>46.45</v>
      </c>
      <c r="E1580" s="4">
        <v>456883</v>
      </c>
      <c r="F1580" s="2" t="s">
        <v>2</v>
      </c>
      <c r="G1580" s="2" t="str">
        <f t="shared" si="93"/>
        <v>https://www.oreht.ru/modules.php?name=orehtPriceLS&amp;op=Search&amp;page=1&amp;stext=456883</v>
      </c>
      <c r="I1580">
        <v>456883</v>
      </c>
      <c r="J1580" t="s">
        <v>2</v>
      </c>
      <c r="K1580" t="s">
        <v>4354</v>
      </c>
      <c r="L1580" t="s">
        <v>4355</v>
      </c>
      <c r="M1580" t="s">
        <v>4051</v>
      </c>
    </row>
    <row r="1581" spans="1:13" hidden="1" x14ac:dyDescent="0.25">
      <c r="A1581" s="24">
        <f t="shared" si="94"/>
        <v>20</v>
      </c>
      <c r="B1581" s="24">
        <v>10</v>
      </c>
      <c r="C1581" s="24">
        <v>79</v>
      </c>
      <c r="E1581" s="4">
        <v>407338</v>
      </c>
      <c r="F1581" s="2" t="s">
        <v>2</v>
      </c>
      <c r="G1581" s="2" t="str">
        <f t="shared" si="93"/>
        <v>https://www.oreht.ru/modules.php?name=orehtPriceLS&amp;op=Search&amp;page=1&amp;stext=407338</v>
      </c>
      <c r="I1581">
        <v>407338</v>
      </c>
      <c r="J1581" t="s">
        <v>2</v>
      </c>
      <c r="K1581" t="s">
        <v>4356</v>
      </c>
      <c r="L1581" t="s">
        <v>4357</v>
      </c>
      <c r="M1581" t="s">
        <v>3871</v>
      </c>
    </row>
    <row r="1582" spans="1:13" hidden="1" x14ac:dyDescent="0.25">
      <c r="A1582" s="24">
        <f t="shared" si="94"/>
        <v>20</v>
      </c>
      <c r="B1582" s="24">
        <v>9</v>
      </c>
      <c r="C1582" s="24">
        <v>69</v>
      </c>
      <c r="E1582" s="4">
        <v>445593</v>
      </c>
      <c r="F1582" s="2" t="s">
        <v>2</v>
      </c>
      <c r="G1582" s="2" t="str">
        <f t="shared" si="93"/>
        <v>https://www.oreht.ru/modules.php?name=orehtPriceLS&amp;op=Search&amp;page=1&amp;stext=445593</v>
      </c>
      <c r="I1582">
        <v>445593</v>
      </c>
      <c r="J1582" t="s">
        <v>2</v>
      </c>
      <c r="K1582" t="s">
        <v>4358</v>
      </c>
      <c r="L1582" t="s">
        <v>4359</v>
      </c>
      <c r="M1582" t="s">
        <v>1461</v>
      </c>
    </row>
    <row r="1583" spans="1:13" hidden="1" x14ac:dyDescent="0.25">
      <c r="A1583" s="24">
        <f t="shared" si="94"/>
        <v>20</v>
      </c>
      <c r="B1583" s="24">
        <v>10</v>
      </c>
      <c r="C1583" s="24">
        <v>79</v>
      </c>
      <c r="E1583" s="4">
        <v>408551</v>
      </c>
      <c r="F1583" s="2" t="s">
        <v>2</v>
      </c>
      <c r="G1583" s="2" t="str">
        <f t="shared" si="93"/>
        <v>https://www.oreht.ru/modules.php?name=orehtPriceLS&amp;op=Search&amp;page=1&amp;stext=408551</v>
      </c>
      <c r="I1583">
        <v>408551</v>
      </c>
      <c r="J1583" t="s">
        <v>2</v>
      </c>
      <c r="K1583" t="s">
        <v>4360</v>
      </c>
      <c r="L1583" t="s">
        <v>4361</v>
      </c>
      <c r="M1583" t="s">
        <v>3871</v>
      </c>
    </row>
    <row r="1584" spans="1:13" hidden="1" x14ac:dyDescent="0.25">
      <c r="A1584" s="24">
        <f t="shared" si="94"/>
        <v>20</v>
      </c>
      <c r="B1584" s="24">
        <v>12</v>
      </c>
      <c r="C1584" s="24">
        <v>41</v>
      </c>
      <c r="E1584" s="4">
        <v>428702</v>
      </c>
      <c r="F1584" s="2" t="s">
        <v>2</v>
      </c>
      <c r="G1584" s="2" t="str">
        <f t="shared" si="93"/>
        <v>https://www.oreht.ru/modules.php?name=orehtPriceLS&amp;op=Search&amp;page=1&amp;stext=428702</v>
      </c>
      <c r="I1584">
        <v>428702</v>
      </c>
      <c r="J1584" t="s">
        <v>2</v>
      </c>
      <c r="K1584" t="s">
        <v>4362</v>
      </c>
      <c r="L1584" t="s">
        <v>4363</v>
      </c>
      <c r="M1584" t="s">
        <v>3871</v>
      </c>
    </row>
    <row r="1585" spans="1:13" hidden="1" x14ac:dyDescent="0.25">
      <c r="A1585" s="24">
        <f t="shared" si="94"/>
        <v>20</v>
      </c>
      <c r="B1585" s="24">
        <v>9</v>
      </c>
      <c r="C1585" s="24">
        <v>120</v>
      </c>
      <c r="E1585" s="4">
        <v>399793</v>
      </c>
      <c r="F1585" s="2" t="s">
        <v>2</v>
      </c>
      <c r="G1585" s="2" t="str">
        <f t="shared" si="93"/>
        <v>https://www.oreht.ru/modules.php?name=orehtPriceLS&amp;op=Search&amp;page=1&amp;stext=399793</v>
      </c>
      <c r="I1585">
        <v>399793</v>
      </c>
      <c r="J1585" t="s">
        <v>2</v>
      </c>
      <c r="K1585" t="s">
        <v>4364</v>
      </c>
      <c r="L1585" t="s">
        <v>4365</v>
      </c>
      <c r="M1585" t="s">
        <v>4366</v>
      </c>
    </row>
    <row r="1586" spans="1:13" hidden="1" x14ac:dyDescent="0.25">
      <c r="A1586" s="24">
        <f t="shared" si="94"/>
        <v>20</v>
      </c>
      <c r="B1586" s="24">
        <v>9</v>
      </c>
      <c r="C1586" s="24">
        <v>47.55</v>
      </c>
      <c r="E1586" s="4">
        <v>403232</v>
      </c>
      <c r="F1586" s="2" t="s">
        <v>2</v>
      </c>
      <c r="G1586" s="2" t="str">
        <f t="shared" si="93"/>
        <v>https://www.oreht.ru/modules.php?name=orehtPriceLS&amp;op=Search&amp;page=1&amp;stext=403232</v>
      </c>
      <c r="I1586">
        <v>403232</v>
      </c>
      <c r="J1586" t="s">
        <v>2</v>
      </c>
      <c r="K1586" t="s">
        <v>4367</v>
      </c>
      <c r="L1586" t="s">
        <v>4368</v>
      </c>
      <c r="M1586" t="s">
        <v>1982</v>
      </c>
    </row>
    <row r="1587" spans="1:13" x14ac:dyDescent="0.25">
      <c r="A1587" s="24">
        <f t="shared" si="94"/>
        <v>20</v>
      </c>
      <c r="B1587" s="24">
        <v>15</v>
      </c>
      <c r="C1587" s="24">
        <v>50.4</v>
      </c>
      <c r="E1587" s="4">
        <v>343284</v>
      </c>
      <c r="F1587" s="2" t="s">
        <v>2</v>
      </c>
      <c r="G1587" s="2" t="str">
        <f t="shared" si="93"/>
        <v>https://www.oreht.ru/modules.php?name=orehtPriceLS&amp;op=Search&amp;page=1&amp;stext=343284</v>
      </c>
      <c r="I1587">
        <v>343284</v>
      </c>
      <c r="J1587" t="s">
        <v>2</v>
      </c>
      <c r="K1587" t="s">
        <v>4369</v>
      </c>
      <c r="L1587" t="s">
        <v>4370</v>
      </c>
      <c r="M1587" t="s">
        <v>649</v>
      </c>
    </row>
    <row r="1588" spans="1:13" hidden="1" x14ac:dyDescent="0.25">
      <c r="A1588" s="24">
        <f t="shared" si="94"/>
        <v>20</v>
      </c>
      <c r="B1588" s="24">
        <v>12</v>
      </c>
      <c r="C1588" s="24">
        <v>61</v>
      </c>
      <c r="E1588" s="4">
        <v>388605</v>
      </c>
      <c r="F1588" s="2" t="s">
        <v>2</v>
      </c>
      <c r="G1588" s="2" t="str">
        <f t="shared" si="93"/>
        <v>https://www.oreht.ru/modules.php?name=orehtPriceLS&amp;op=Search&amp;page=1&amp;stext=388605</v>
      </c>
      <c r="I1588">
        <v>388605</v>
      </c>
      <c r="J1588" t="s">
        <v>2</v>
      </c>
      <c r="K1588" t="s">
        <v>4371</v>
      </c>
      <c r="L1588" t="s">
        <v>4372</v>
      </c>
      <c r="M1588" t="s">
        <v>4172</v>
      </c>
    </row>
    <row r="1589" spans="1:13" hidden="1" x14ac:dyDescent="0.25">
      <c r="A1589" s="24">
        <f t="shared" si="94"/>
        <v>20</v>
      </c>
      <c r="B1589" s="24">
        <v>9</v>
      </c>
      <c r="C1589" s="24">
        <v>47.65</v>
      </c>
      <c r="E1589" s="4">
        <v>278665</v>
      </c>
      <c r="F1589" s="2" t="s">
        <v>2</v>
      </c>
      <c r="G1589" s="2" t="str">
        <f t="shared" si="93"/>
        <v>https://www.oreht.ru/modules.php?name=orehtPriceLS&amp;op=Search&amp;page=1&amp;stext=278665</v>
      </c>
      <c r="I1589">
        <v>278665</v>
      </c>
      <c r="J1589" t="s">
        <v>2</v>
      </c>
      <c r="K1589" t="s">
        <v>4373</v>
      </c>
      <c r="L1589" t="s">
        <v>4374</v>
      </c>
      <c r="M1589" t="s">
        <v>4375</v>
      </c>
    </row>
    <row r="1590" spans="1:13" hidden="1" x14ac:dyDescent="0.25">
      <c r="A1590" s="24">
        <f t="shared" si="94"/>
        <v>20</v>
      </c>
      <c r="B1590" s="24">
        <v>12</v>
      </c>
      <c r="C1590" s="24">
        <v>42</v>
      </c>
      <c r="E1590" s="4">
        <v>93248</v>
      </c>
      <c r="F1590" s="2" t="s">
        <v>2</v>
      </c>
      <c r="G1590" s="2" t="str">
        <f t="shared" si="93"/>
        <v>https://www.oreht.ru/modules.php?name=orehtPriceLS&amp;op=Search&amp;page=1&amp;stext=93248</v>
      </c>
      <c r="I1590">
        <v>93248</v>
      </c>
      <c r="J1590" t="s">
        <v>2</v>
      </c>
      <c r="K1590" t="s">
        <v>4376</v>
      </c>
      <c r="L1590" t="s">
        <v>4377</v>
      </c>
      <c r="M1590" t="s">
        <v>4378</v>
      </c>
    </row>
    <row r="1591" spans="1:13" hidden="1" x14ac:dyDescent="0.25">
      <c r="A1591" s="24">
        <f t="shared" si="94"/>
        <v>20</v>
      </c>
      <c r="B1591" s="24">
        <v>12</v>
      </c>
      <c r="C1591" s="24">
        <v>67</v>
      </c>
      <c r="E1591" s="4">
        <v>352229</v>
      </c>
      <c r="F1591" s="2" t="s">
        <v>2</v>
      </c>
      <c r="G1591" s="2" t="str">
        <f t="shared" si="93"/>
        <v>https://www.oreht.ru/modules.php?name=orehtPriceLS&amp;op=Search&amp;page=1&amp;stext=352229</v>
      </c>
      <c r="I1591">
        <v>352229</v>
      </c>
      <c r="J1591" t="s">
        <v>2</v>
      </c>
      <c r="K1591" t="s">
        <v>4379</v>
      </c>
      <c r="L1591" t="s">
        <v>4380</v>
      </c>
      <c r="M1591" t="s">
        <v>27</v>
      </c>
    </row>
    <row r="1592" spans="1:13" hidden="1" x14ac:dyDescent="0.25">
      <c r="A1592" s="24">
        <f t="shared" si="94"/>
        <v>20</v>
      </c>
      <c r="B1592" s="24">
        <v>12</v>
      </c>
      <c r="C1592" s="24">
        <v>67</v>
      </c>
      <c r="E1592" s="4">
        <v>395064</v>
      </c>
      <c r="F1592" s="2" t="s">
        <v>2</v>
      </c>
      <c r="G1592" s="2" t="str">
        <f t="shared" si="93"/>
        <v>https://www.oreht.ru/modules.php?name=orehtPriceLS&amp;op=Search&amp;page=1&amp;stext=395064</v>
      </c>
      <c r="I1592">
        <v>395064</v>
      </c>
      <c r="J1592" t="s">
        <v>2</v>
      </c>
      <c r="K1592" t="s">
        <v>4381</v>
      </c>
      <c r="L1592" t="s">
        <v>4382</v>
      </c>
      <c r="M1592" t="s">
        <v>4383</v>
      </c>
    </row>
    <row r="1593" spans="1:13" hidden="1" x14ac:dyDescent="0.25">
      <c r="A1593" s="24">
        <f t="shared" si="94"/>
        <v>20</v>
      </c>
      <c r="B1593" s="24">
        <v>12</v>
      </c>
      <c r="C1593" s="24">
        <v>57</v>
      </c>
      <c r="E1593" s="4">
        <v>93249</v>
      </c>
      <c r="F1593" s="2" t="s">
        <v>2</v>
      </c>
      <c r="G1593" s="2" t="str">
        <f t="shared" si="93"/>
        <v>https://www.oreht.ru/modules.php?name=orehtPriceLS&amp;op=Search&amp;page=1&amp;stext=93249</v>
      </c>
      <c r="I1593">
        <v>93249</v>
      </c>
      <c r="J1593" t="s">
        <v>2</v>
      </c>
      <c r="K1593" t="s">
        <v>4384</v>
      </c>
      <c r="L1593" t="s">
        <v>4385</v>
      </c>
      <c r="M1593" t="s">
        <v>740</v>
      </c>
    </row>
    <row r="1594" spans="1:13" hidden="1" x14ac:dyDescent="0.25">
      <c r="A1594" s="24">
        <f t="shared" si="94"/>
        <v>20</v>
      </c>
      <c r="B1594" s="24">
        <v>12</v>
      </c>
      <c r="C1594" s="24">
        <v>67</v>
      </c>
      <c r="E1594" s="4">
        <v>319063</v>
      </c>
      <c r="F1594" s="2" t="s">
        <v>2</v>
      </c>
      <c r="G1594" s="2" t="str">
        <f t="shared" si="93"/>
        <v>https://www.oreht.ru/modules.php?name=orehtPriceLS&amp;op=Search&amp;page=1&amp;stext=319063</v>
      </c>
      <c r="I1594">
        <v>319063</v>
      </c>
      <c r="J1594" t="s">
        <v>2</v>
      </c>
      <c r="K1594" t="s">
        <v>4386</v>
      </c>
      <c r="L1594" t="s">
        <v>4387</v>
      </c>
      <c r="M1594" t="s">
        <v>4388</v>
      </c>
    </row>
    <row r="1595" spans="1:13" hidden="1" x14ac:dyDescent="0.25">
      <c r="A1595" s="24">
        <f t="shared" si="94"/>
        <v>20</v>
      </c>
      <c r="B1595" s="24">
        <v>12</v>
      </c>
      <c r="C1595" s="24">
        <v>45</v>
      </c>
      <c r="E1595" s="4">
        <v>229044</v>
      </c>
      <c r="F1595" s="2" t="s">
        <v>2</v>
      </c>
      <c r="G1595" s="2" t="str">
        <f t="shared" si="93"/>
        <v>https://www.oreht.ru/modules.php?name=orehtPriceLS&amp;op=Search&amp;page=1&amp;stext=229044</v>
      </c>
      <c r="I1595">
        <v>229044</v>
      </c>
      <c r="J1595" t="s">
        <v>2</v>
      </c>
      <c r="K1595" t="s">
        <v>4389</v>
      </c>
      <c r="L1595" t="s">
        <v>4390</v>
      </c>
      <c r="M1595" t="s">
        <v>4378</v>
      </c>
    </row>
    <row r="1596" spans="1:13" hidden="1" x14ac:dyDescent="0.25">
      <c r="A1596" s="24">
        <f t="shared" si="94"/>
        <v>20</v>
      </c>
      <c r="B1596" s="24">
        <v>12</v>
      </c>
      <c r="C1596" s="24">
        <v>41</v>
      </c>
      <c r="E1596" s="4">
        <v>400472</v>
      </c>
      <c r="F1596" s="2" t="s">
        <v>2</v>
      </c>
      <c r="G1596" s="2" t="str">
        <f t="shared" si="93"/>
        <v>https://www.oreht.ru/modules.php?name=orehtPriceLS&amp;op=Search&amp;page=1&amp;stext=400472</v>
      </c>
      <c r="I1596">
        <v>400472</v>
      </c>
      <c r="J1596" t="s">
        <v>2</v>
      </c>
      <c r="K1596" t="s">
        <v>4391</v>
      </c>
      <c r="L1596" t="s">
        <v>4392</v>
      </c>
      <c r="M1596" t="s">
        <v>3993</v>
      </c>
    </row>
    <row r="1597" spans="1:13" hidden="1" x14ac:dyDescent="0.25">
      <c r="A1597" s="24">
        <f t="shared" si="94"/>
        <v>20</v>
      </c>
      <c r="B1597" s="24">
        <v>12</v>
      </c>
      <c r="C1597" s="24">
        <v>45</v>
      </c>
      <c r="E1597" s="4">
        <v>360790</v>
      </c>
      <c r="F1597" s="2" t="s">
        <v>2</v>
      </c>
      <c r="G1597" s="2" t="str">
        <f t="shared" si="93"/>
        <v>https://www.oreht.ru/modules.php?name=orehtPriceLS&amp;op=Search&amp;page=1&amp;stext=360790</v>
      </c>
      <c r="I1597">
        <v>360790</v>
      </c>
      <c r="J1597" t="s">
        <v>2</v>
      </c>
      <c r="K1597" t="s">
        <v>4393</v>
      </c>
      <c r="L1597" t="s">
        <v>4394</v>
      </c>
      <c r="M1597" t="s">
        <v>4395</v>
      </c>
    </row>
    <row r="1598" spans="1:13" hidden="1" x14ac:dyDescent="0.25">
      <c r="A1598" s="24">
        <f t="shared" si="94"/>
        <v>20</v>
      </c>
      <c r="B1598" s="24">
        <v>12</v>
      </c>
      <c r="C1598" s="24">
        <v>40</v>
      </c>
      <c r="E1598" s="4">
        <v>400474</v>
      </c>
      <c r="F1598" s="2" t="s">
        <v>2</v>
      </c>
      <c r="G1598" s="2" t="str">
        <f t="shared" si="93"/>
        <v>https://www.oreht.ru/modules.php?name=orehtPriceLS&amp;op=Search&amp;page=1&amp;stext=400474</v>
      </c>
      <c r="I1598">
        <v>400474</v>
      </c>
      <c r="J1598" t="s">
        <v>2</v>
      </c>
      <c r="K1598" t="s">
        <v>4396</v>
      </c>
      <c r="L1598" t="s">
        <v>4397</v>
      </c>
      <c r="M1598" t="s">
        <v>4398</v>
      </c>
    </row>
    <row r="1599" spans="1:13" hidden="1" x14ac:dyDescent="0.25">
      <c r="A1599" s="24">
        <f t="shared" si="94"/>
        <v>20</v>
      </c>
      <c r="B1599" s="24">
        <v>9</v>
      </c>
      <c r="C1599" s="24">
        <v>47.95</v>
      </c>
      <c r="E1599" s="4">
        <v>230798</v>
      </c>
      <c r="F1599" s="2" t="s">
        <v>2</v>
      </c>
      <c r="G1599" s="2" t="str">
        <f t="shared" si="93"/>
        <v>https://www.oreht.ru/modules.php?name=orehtPriceLS&amp;op=Search&amp;page=1&amp;stext=230798</v>
      </c>
      <c r="I1599">
        <v>230798</v>
      </c>
      <c r="J1599" t="s">
        <v>2</v>
      </c>
      <c r="K1599" t="s">
        <v>4399</v>
      </c>
      <c r="L1599" t="s">
        <v>4400</v>
      </c>
      <c r="M1599" t="s">
        <v>1516</v>
      </c>
    </row>
    <row r="1600" spans="1:13" hidden="1" x14ac:dyDescent="0.25">
      <c r="A1600" s="24">
        <f t="shared" si="94"/>
        <v>20</v>
      </c>
      <c r="B1600" s="24">
        <v>12</v>
      </c>
      <c r="C1600" s="24">
        <v>40</v>
      </c>
      <c r="E1600" s="4">
        <v>400294</v>
      </c>
      <c r="F1600" s="2" t="s">
        <v>2</v>
      </c>
      <c r="G1600" s="2" t="str">
        <f t="shared" si="93"/>
        <v>https://www.oreht.ru/modules.php?name=orehtPriceLS&amp;op=Search&amp;page=1&amp;stext=400294</v>
      </c>
      <c r="I1600">
        <v>400294</v>
      </c>
      <c r="J1600" t="s">
        <v>2</v>
      </c>
      <c r="K1600" t="s">
        <v>4401</v>
      </c>
      <c r="L1600" t="s">
        <v>4402</v>
      </c>
      <c r="M1600" t="s">
        <v>3354</v>
      </c>
    </row>
    <row r="1601" spans="1:13" hidden="1" x14ac:dyDescent="0.25">
      <c r="A1601" s="24">
        <f t="shared" si="94"/>
        <v>20</v>
      </c>
      <c r="B1601" s="24">
        <v>9</v>
      </c>
      <c r="C1601" s="24">
        <v>47.95</v>
      </c>
      <c r="E1601" s="4">
        <v>230799</v>
      </c>
      <c r="F1601" s="2" t="s">
        <v>2</v>
      </c>
      <c r="G1601" s="2" t="str">
        <f t="shared" si="93"/>
        <v>https://www.oreht.ru/modules.php?name=orehtPriceLS&amp;op=Search&amp;page=1&amp;stext=230799</v>
      </c>
      <c r="I1601">
        <v>230799</v>
      </c>
      <c r="J1601" t="s">
        <v>2</v>
      </c>
      <c r="K1601" t="s">
        <v>4403</v>
      </c>
      <c r="L1601" t="s">
        <v>4404</v>
      </c>
      <c r="M1601" t="s">
        <v>1516</v>
      </c>
    </row>
    <row r="1602" spans="1:13" hidden="1" x14ac:dyDescent="0.25">
      <c r="A1602" s="24">
        <f t="shared" si="94"/>
        <v>20</v>
      </c>
      <c r="B1602" s="24">
        <v>12</v>
      </c>
      <c r="C1602" s="24">
        <v>69</v>
      </c>
      <c r="E1602" s="4">
        <v>289761</v>
      </c>
      <c r="F1602" s="2" t="s">
        <v>2</v>
      </c>
      <c r="G1602" s="2" t="str">
        <f t="shared" ref="G1602:G1665" si="95">HYPERLINK(F1602&amp;E1602)</f>
        <v>https://www.oreht.ru/modules.php?name=orehtPriceLS&amp;op=Search&amp;page=1&amp;stext=289761</v>
      </c>
      <c r="I1602">
        <v>289761</v>
      </c>
      <c r="J1602" t="s">
        <v>2</v>
      </c>
      <c r="K1602" t="s">
        <v>4405</v>
      </c>
      <c r="L1602" t="s">
        <v>4406</v>
      </c>
      <c r="M1602" t="s">
        <v>3886</v>
      </c>
    </row>
    <row r="1603" spans="1:13" hidden="1" x14ac:dyDescent="0.25">
      <c r="A1603" s="24">
        <f t="shared" si="94"/>
        <v>20</v>
      </c>
      <c r="B1603" s="24">
        <v>8</v>
      </c>
      <c r="C1603" s="24">
        <v>45.1</v>
      </c>
      <c r="E1603" s="4">
        <v>369971</v>
      </c>
      <c r="F1603" s="2" t="s">
        <v>2</v>
      </c>
      <c r="G1603" s="2" t="str">
        <f t="shared" si="95"/>
        <v>https://www.oreht.ru/modules.php?name=orehtPriceLS&amp;op=Search&amp;page=1&amp;stext=369971</v>
      </c>
      <c r="I1603">
        <v>369971</v>
      </c>
      <c r="J1603" t="s">
        <v>2</v>
      </c>
      <c r="K1603" t="s">
        <v>4407</v>
      </c>
      <c r="L1603" t="s">
        <v>4408</v>
      </c>
      <c r="M1603" t="s">
        <v>4409</v>
      </c>
    </row>
    <row r="1604" spans="1:13" hidden="1" x14ac:dyDescent="0.25">
      <c r="A1604" s="24">
        <f t="shared" si="94"/>
        <v>20</v>
      </c>
      <c r="B1604" s="24">
        <v>12</v>
      </c>
      <c r="C1604" s="24">
        <v>40</v>
      </c>
      <c r="E1604" s="4">
        <v>289762</v>
      </c>
      <c r="F1604" s="2" t="s">
        <v>2</v>
      </c>
      <c r="G1604" s="2" t="str">
        <f t="shared" si="95"/>
        <v>https://www.oreht.ru/modules.php?name=orehtPriceLS&amp;op=Search&amp;page=1&amp;stext=289762</v>
      </c>
      <c r="I1604">
        <v>289762</v>
      </c>
      <c r="J1604" t="s">
        <v>2</v>
      </c>
      <c r="K1604" t="s">
        <v>4410</v>
      </c>
      <c r="L1604" t="s">
        <v>4411</v>
      </c>
      <c r="M1604" t="s">
        <v>3886</v>
      </c>
    </row>
    <row r="1605" spans="1:13" hidden="1" x14ac:dyDescent="0.25">
      <c r="A1605" s="24">
        <f t="shared" ref="A1605:A1668" si="96">IF(W1605*0.05&gt;=250,250,IF(W1605*0.05&gt;=20,IF(W1605*0.05&lt;20,20,W1605*0.05),20))</f>
        <v>20</v>
      </c>
      <c r="B1605" s="24">
        <v>9</v>
      </c>
      <c r="C1605" s="24">
        <v>65</v>
      </c>
      <c r="E1605" s="4">
        <v>460251</v>
      </c>
      <c r="F1605" s="2" t="s">
        <v>2</v>
      </c>
      <c r="G1605" s="2" t="str">
        <f t="shared" si="95"/>
        <v>https://www.oreht.ru/modules.php?name=orehtPriceLS&amp;op=Search&amp;page=1&amp;stext=460251</v>
      </c>
      <c r="I1605">
        <v>460251</v>
      </c>
      <c r="J1605" t="s">
        <v>2</v>
      </c>
      <c r="K1605" t="s">
        <v>4412</v>
      </c>
      <c r="L1605" t="s">
        <v>4413</v>
      </c>
      <c r="M1605" t="s">
        <v>4414</v>
      </c>
    </row>
    <row r="1606" spans="1:13" hidden="1" x14ac:dyDescent="0.25">
      <c r="A1606" s="24">
        <f t="shared" si="96"/>
        <v>20</v>
      </c>
      <c r="B1606" s="24">
        <v>12</v>
      </c>
      <c r="C1606" s="24">
        <v>42</v>
      </c>
      <c r="E1606" s="4">
        <v>294855</v>
      </c>
      <c r="F1606" s="2" t="s">
        <v>2</v>
      </c>
      <c r="G1606" s="2" t="str">
        <f t="shared" si="95"/>
        <v>https://www.oreht.ru/modules.php?name=orehtPriceLS&amp;op=Search&amp;page=1&amp;stext=294855</v>
      </c>
      <c r="I1606">
        <v>294855</v>
      </c>
      <c r="J1606" t="s">
        <v>2</v>
      </c>
      <c r="K1606" t="s">
        <v>4415</v>
      </c>
      <c r="L1606" t="s">
        <v>4416</v>
      </c>
      <c r="M1606" t="s">
        <v>4304</v>
      </c>
    </row>
    <row r="1607" spans="1:13" hidden="1" x14ac:dyDescent="0.25">
      <c r="A1607" s="24">
        <f t="shared" si="96"/>
        <v>20</v>
      </c>
      <c r="B1607" s="24">
        <v>12</v>
      </c>
      <c r="C1607" s="24">
        <v>55</v>
      </c>
      <c r="E1607" s="4">
        <v>170788</v>
      </c>
      <c r="F1607" s="2" t="s">
        <v>2</v>
      </c>
      <c r="G1607" s="2" t="str">
        <f t="shared" si="95"/>
        <v>https://www.oreht.ru/modules.php?name=orehtPriceLS&amp;op=Search&amp;page=1&amp;stext=170788</v>
      </c>
      <c r="I1607">
        <v>170788</v>
      </c>
      <c r="J1607" t="s">
        <v>2</v>
      </c>
      <c r="K1607" t="s">
        <v>4417</v>
      </c>
      <c r="L1607" t="s">
        <v>4418</v>
      </c>
      <c r="M1607" t="s">
        <v>4419</v>
      </c>
    </row>
    <row r="1608" spans="1:13" hidden="1" x14ac:dyDescent="0.25">
      <c r="A1608" s="24">
        <f t="shared" si="96"/>
        <v>20</v>
      </c>
      <c r="B1608" s="24">
        <v>9</v>
      </c>
      <c r="C1608" s="24">
        <v>48.75</v>
      </c>
      <c r="E1608" s="4">
        <v>449212</v>
      </c>
      <c r="F1608" s="2" t="s">
        <v>2</v>
      </c>
      <c r="G1608" s="2" t="str">
        <f t="shared" si="95"/>
        <v>https://www.oreht.ru/modules.php?name=orehtPriceLS&amp;op=Search&amp;page=1&amp;stext=449212</v>
      </c>
      <c r="I1608">
        <v>449212</v>
      </c>
      <c r="J1608" t="s">
        <v>2</v>
      </c>
      <c r="K1608" t="s">
        <v>4420</v>
      </c>
      <c r="L1608" t="s">
        <v>4421</v>
      </c>
      <c r="M1608" t="s">
        <v>1553</v>
      </c>
    </row>
    <row r="1609" spans="1:13" hidden="1" x14ac:dyDescent="0.25">
      <c r="A1609" s="24">
        <f t="shared" si="96"/>
        <v>20</v>
      </c>
      <c r="B1609" s="24">
        <v>12</v>
      </c>
      <c r="C1609" s="24">
        <v>40</v>
      </c>
      <c r="E1609" s="4">
        <v>360792</v>
      </c>
      <c r="F1609" s="2" t="s">
        <v>2</v>
      </c>
      <c r="G1609" s="2" t="str">
        <f t="shared" si="95"/>
        <v>https://www.oreht.ru/modules.php?name=orehtPriceLS&amp;op=Search&amp;page=1&amp;stext=360792</v>
      </c>
      <c r="I1609">
        <v>360792</v>
      </c>
      <c r="J1609" t="s">
        <v>2</v>
      </c>
      <c r="K1609" t="s">
        <v>4422</v>
      </c>
      <c r="L1609" t="s">
        <v>4423</v>
      </c>
      <c r="M1609" t="s">
        <v>4424</v>
      </c>
    </row>
    <row r="1610" spans="1:13" x14ac:dyDescent="0.25">
      <c r="A1610" s="24">
        <f t="shared" si="96"/>
        <v>20</v>
      </c>
      <c r="B1610" s="24">
        <v>7</v>
      </c>
      <c r="C1610" s="24">
        <v>46.2</v>
      </c>
      <c r="E1610" s="4">
        <v>237198</v>
      </c>
      <c r="F1610" s="2" t="s">
        <v>2</v>
      </c>
      <c r="G1610" s="2" t="str">
        <f t="shared" si="95"/>
        <v>https://www.oreht.ru/modules.php?name=orehtPriceLS&amp;op=Search&amp;page=1&amp;stext=237198</v>
      </c>
      <c r="I1610">
        <v>237198</v>
      </c>
      <c r="J1610" t="s">
        <v>2</v>
      </c>
      <c r="K1610" t="s">
        <v>4425</v>
      </c>
      <c r="L1610" t="s">
        <v>4426</v>
      </c>
      <c r="M1610" t="s">
        <v>649</v>
      </c>
    </row>
    <row r="1611" spans="1:13" hidden="1" x14ac:dyDescent="0.25">
      <c r="A1611" s="24">
        <f t="shared" si="96"/>
        <v>20</v>
      </c>
      <c r="B1611" s="24">
        <v>12</v>
      </c>
      <c r="C1611" s="24">
        <v>49.75</v>
      </c>
      <c r="E1611" s="4">
        <v>372193</v>
      </c>
      <c r="F1611" s="2" t="s">
        <v>2</v>
      </c>
      <c r="G1611" s="2" t="str">
        <f t="shared" si="95"/>
        <v>https://www.oreht.ru/modules.php?name=orehtPriceLS&amp;op=Search&amp;page=1&amp;stext=372193</v>
      </c>
      <c r="I1611">
        <v>372193</v>
      </c>
      <c r="J1611" t="s">
        <v>2</v>
      </c>
      <c r="K1611" t="s">
        <v>4427</v>
      </c>
      <c r="L1611" t="s">
        <v>4428</v>
      </c>
      <c r="M1611" t="s">
        <v>4429</v>
      </c>
    </row>
    <row r="1612" spans="1:13" hidden="1" x14ac:dyDescent="0.25">
      <c r="A1612" s="24">
        <f t="shared" si="96"/>
        <v>20</v>
      </c>
      <c r="B1612" s="24">
        <v>12</v>
      </c>
      <c r="C1612" s="24">
        <v>67</v>
      </c>
      <c r="E1612" s="4">
        <v>160386</v>
      </c>
      <c r="F1612" s="2" t="s">
        <v>2</v>
      </c>
      <c r="G1612" s="2" t="str">
        <f t="shared" si="95"/>
        <v>https://www.oreht.ru/modules.php?name=orehtPriceLS&amp;op=Search&amp;page=1&amp;stext=160386</v>
      </c>
      <c r="I1612">
        <v>160386</v>
      </c>
      <c r="J1612" t="s">
        <v>2</v>
      </c>
      <c r="K1612" t="s">
        <v>4430</v>
      </c>
      <c r="L1612" t="s">
        <v>4431</v>
      </c>
      <c r="M1612" t="s">
        <v>4432</v>
      </c>
    </row>
    <row r="1613" spans="1:13" hidden="1" x14ac:dyDescent="0.25">
      <c r="A1613" s="24">
        <f t="shared" si="96"/>
        <v>20</v>
      </c>
      <c r="B1613" s="24">
        <v>15</v>
      </c>
      <c r="C1613" s="24">
        <v>63.72</v>
      </c>
      <c r="E1613" s="4">
        <v>314817</v>
      </c>
      <c r="F1613" s="2" t="s">
        <v>2</v>
      </c>
      <c r="G1613" s="2" t="str">
        <f t="shared" si="95"/>
        <v>https://www.oreht.ru/modules.php?name=orehtPriceLS&amp;op=Search&amp;page=1&amp;stext=314817</v>
      </c>
      <c r="I1613">
        <v>314817</v>
      </c>
      <c r="J1613" t="s">
        <v>2</v>
      </c>
      <c r="K1613" t="s">
        <v>4433</v>
      </c>
      <c r="L1613" t="s">
        <v>4434</v>
      </c>
      <c r="M1613" t="s">
        <v>4435</v>
      </c>
    </row>
    <row r="1614" spans="1:13" hidden="1" x14ac:dyDescent="0.25">
      <c r="A1614" s="24">
        <f t="shared" si="96"/>
        <v>20</v>
      </c>
      <c r="B1614" s="24">
        <v>12</v>
      </c>
      <c r="C1614" s="24">
        <v>63</v>
      </c>
      <c r="E1614" s="4">
        <v>459525</v>
      </c>
      <c r="F1614" s="2" t="s">
        <v>2</v>
      </c>
      <c r="G1614" s="2" t="str">
        <f t="shared" si="95"/>
        <v>https://www.oreht.ru/modules.php?name=orehtPriceLS&amp;op=Search&amp;page=1&amp;stext=459525</v>
      </c>
      <c r="I1614">
        <v>459525</v>
      </c>
      <c r="J1614" t="s">
        <v>2</v>
      </c>
      <c r="K1614" t="s">
        <v>4436</v>
      </c>
      <c r="L1614" t="s">
        <v>4437</v>
      </c>
      <c r="M1614" t="s">
        <v>4432</v>
      </c>
    </row>
    <row r="1615" spans="1:13" hidden="1" x14ac:dyDescent="0.25">
      <c r="A1615" s="24">
        <f t="shared" si="96"/>
        <v>20</v>
      </c>
      <c r="B1615" s="24">
        <v>9</v>
      </c>
      <c r="C1615" s="24">
        <v>63</v>
      </c>
      <c r="E1615" s="4">
        <v>356613</v>
      </c>
      <c r="F1615" s="2" t="s">
        <v>2</v>
      </c>
      <c r="G1615" s="2" t="str">
        <f t="shared" si="95"/>
        <v>https://www.oreht.ru/modules.php?name=orehtPriceLS&amp;op=Search&amp;page=1&amp;stext=356613</v>
      </c>
      <c r="I1615">
        <v>356613</v>
      </c>
      <c r="J1615" t="s">
        <v>2</v>
      </c>
      <c r="K1615" t="s">
        <v>4438</v>
      </c>
      <c r="L1615" t="s">
        <v>4439</v>
      </c>
      <c r="M1615" t="s">
        <v>4435</v>
      </c>
    </row>
    <row r="1616" spans="1:13" hidden="1" x14ac:dyDescent="0.25">
      <c r="A1616" s="24">
        <f t="shared" si="96"/>
        <v>20</v>
      </c>
      <c r="B1616" s="24">
        <v>12</v>
      </c>
      <c r="C1616" s="24">
        <v>45</v>
      </c>
      <c r="E1616" s="4">
        <v>360794</v>
      </c>
      <c r="F1616" s="2" t="s">
        <v>2</v>
      </c>
      <c r="G1616" s="2" t="str">
        <f t="shared" si="95"/>
        <v>https://www.oreht.ru/modules.php?name=orehtPriceLS&amp;op=Search&amp;page=1&amp;stext=360794</v>
      </c>
      <c r="I1616">
        <v>360794</v>
      </c>
      <c r="J1616" t="s">
        <v>2</v>
      </c>
      <c r="K1616" t="s">
        <v>4440</v>
      </c>
      <c r="L1616" t="s">
        <v>4441</v>
      </c>
      <c r="M1616" t="s">
        <v>4424</v>
      </c>
    </row>
    <row r="1617" spans="1:13" hidden="1" x14ac:dyDescent="0.25">
      <c r="A1617" s="24">
        <f t="shared" si="96"/>
        <v>20</v>
      </c>
      <c r="B1617" s="24">
        <v>12</v>
      </c>
      <c r="C1617" s="24">
        <v>40</v>
      </c>
      <c r="E1617" s="4">
        <v>400480</v>
      </c>
      <c r="F1617" s="2" t="s">
        <v>2</v>
      </c>
      <c r="G1617" s="2" t="str">
        <f t="shared" si="95"/>
        <v>https://www.oreht.ru/modules.php?name=orehtPriceLS&amp;op=Search&amp;page=1&amp;stext=400480</v>
      </c>
      <c r="I1617">
        <v>400480</v>
      </c>
      <c r="J1617" t="s">
        <v>2</v>
      </c>
      <c r="K1617" t="s">
        <v>4442</v>
      </c>
      <c r="L1617" t="s">
        <v>4443</v>
      </c>
      <c r="M1617" t="s">
        <v>4264</v>
      </c>
    </row>
    <row r="1618" spans="1:13" hidden="1" x14ac:dyDescent="0.25">
      <c r="A1618" s="24">
        <f t="shared" si="96"/>
        <v>20</v>
      </c>
      <c r="B1618" s="24">
        <v>15</v>
      </c>
      <c r="C1618" s="24">
        <v>52.5</v>
      </c>
      <c r="E1618" s="4">
        <v>375004</v>
      </c>
      <c r="F1618" s="2" t="s">
        <v>2</v>
      </c>
      <c r="G1618" s="2" t="str">
        <f t="shared" si="95"/>
        <v>https://www.oreht.ru/modules.php?name=orehtPriceLS&amp;op=Search&amp;page=1&amp;stext=375004</v>
      </c>
      <c r="I1618">
        <v>375004</v>
      </c>
      <c r="J1618" t="s">
        <v>2</v>
      </c>
      <c r="K1618" t="s">
        <v>4444</v>
      </c>
      <c r="L1618" t="s">
        <v>4445</v>
      </c>
      <c r="M1618" t="s">
        <v>4446</v>
      </c>
    </row>
    <row r="1619" spans="1:13" hidden="1" x14ac:dyDescent="0.25">
      <c r="A1619" s="24">
        <f t="shared" si="96"/>
        <v>20</v>
      </c>
      <c r="B1619" s="24">
        <v>12</v>
      </c>
      <c r="C1619" s="24">
        <v>67</v>
      </c>
      <c r="E1619" s="4">
        <v>400295</v>
      </c>
      <c r="F1619" s="2" t="s">
        <v>2</v>
      </c>
      <c r="G1619" s="2" t="str">
        <f t="shared" si="95"/>
        <v>https://www.oreht.ru/modules.php?name=orehtPriceLS&amp;op=Search&amp;page=1&amp;stext=400295</v>
      </c>
      <c r="I1619">
        <v>400295</v>
      </c>
      <c r="J1619" t="s">
        <v>2</v>
      </c>
      <c r="K1619" t="s">
        <v>4447</v>
      </c>
      <c r="L1619" t="s">
        <v>4448</v>
      </c>
      <c r="M1619" t="s">
        <v>4264</v>
      </c>
    </row>
    <row r="1620" spans="1:13" hidden="1" x14ac:dyDescent="0.25">
      <c r="A1620" s="24">
        <f t="shared" si="96"/>
        <v>20</v>
      </c>
      <c r="B1620" s="24">
        <v>12</v>
      </c>
      <c r="C1620" s="24">
        <v>40</v>
      </c>
      <c r="E1620" s="4">
        <v>400485</v>
      </c>
      <c r="F1620" s="2" t="s">
        <v>2</v>
      </c>
      <c r="G1620" s="2" t="str">
        <f t="shared" si="95"/>
        <v>https://www.oreht.ru/modules.php?name=orehtPriceLS&amp;op=Search&amp;page=1&amp;stext=400485</v>
      </c>
      <c r="I1620">
        <v>400485</v>
      </c>
      <c r="J1620" t="s">
        <v>2</v>
      </c>
      <c r="K1620" t="s">
        <v>4449</v>
      </c>
      <c r="L1620" t="s">
        <v>4450</v>
      </c>
      <c r="M1620" t="s">
        <v>4063</v>
      </c>
    </row>
    <row r="1621" spans="1:13" hidden="1" x14ac:dyDescent="0.25">
      <c r="A1621" s="24">
        <f t="shared" si="96"/>
        <v>20</v>
      </c>
      <c r="B1621" s="24">
        <v>9</v>
      </c>
      <c r="C1621" s="24">
        <v>63</v>
      </c>
      <c r="E1621" s="4">
        <v>273266</v>
      </c>
      <c r="F1621" s="2" t="s">
        <v>2</v>
      </c>
      <c r="G1621" s="2" t="str">
        <f t="shared" si="95"/>
        <v>https://www.oreht.ru/modules.php?name=orehtPriceLS&amp;op=Search&amp;page=1&amp;stext=273266</v>
      </c>
      <c r="I1621">
        <v>273266</v>
      </c>
      <c r="J1621" t="s">
        <v>2</v>
      </c>
      <c r="K1621" t="s">
        <v>4451</v>
      </c>
      <c r="L1621" t="s">
        <v>4452</v>
      </c>
      <c r="M1621" t="s">
        <v>1897</v>
      </c>
    </row>
    <row r="1622" spans="1:13" hidden="1" x14ac:dyDescent="0.25">
      <c r="A1622" s="24">
        <f t="shared" si="96"/>
        <v>20</v>
      </c>
      <c r="B1622" s="24">
        <v>9</v>
      </c>
      <c r="C1622" s="24">
        <v>59.28</v>
      </c>
      <c r="E1622" s="4">
        <v>381725</v>
      </c>
      <c r="F1622" s="2" t="s">
        <v>2</v>
      </c>
      <c r="G1622" s="2" t="str">
        <f t="shared" si="95"/>
        <v>https://www.oreht.ru/modules.php?name=orehtPriceLS&amp;op=Search&amp;page=1&amp;stext=381725</v>
      </c>
      <c r="I1622">
        <v>381725</v>
      </c>
      <c r="J1622" t="s">
        <v>2</v>
      </c>
      <c r="K1622" t="s">
        <v>4453</v>
      </c>
      <c r="L1622" t="s">
        <v>4454</v>
      </c>
      <c r="M1622" t="s">
        <v>4455</v>
      </c>
    </row>
    <row r="1623" spans="1:13" hidden="1" x14ac:dyDescent="0.25">
      <c r="A1623" s="24">
        <f t="shared" si="96"/>
        <v>20</v>
      </c>
      <c r="B1623" s="24">
        <v>12</v>
      </c>
      <c r="C1623" s="24">
        <v>41</v>
      </c>
      <c r="E1623" s="4">
        <v>303786</v>
      </c>
      <c r="F1623" s="2" t="s">
        <v>2</v>
      </c>
      <c r="G1623" s="2" t="str">
        <f t="shared" si="95"/>
        <v>https://www.oreht.ru/modules.php?name=orehtPriceLS&amp;op=Search&amp;page=1&amp;stext=303786</v>
      </c>
      <c r="I1623">
        <v>303786</v>
      </c>
      <c r="J1623" t="s">
        <v>2</v>
      </c>
      <c r="K1623" t="s">
        <v>4456</v>
      </c>
      <c r="L1623" t="s">
        <v>4457</v>
      </c>
      <c r="M1623" t="s">
        <v>4458</v>
      </c>
    </row>
    <row r="1624" spans="1:13" hidden="1" x14ac:dyDescent="0.25">
      <c r="A1624" s="24">
        <f t="shared" si="96"/>
        <v>20</v>
      </c>
      <c r="B1624" s="24">
        <v>7</v>
      </c>
      <c r="C1624" s="24">
        <v>47.4</v>
      </c>
      <c r="E1624" s="4">
        <v>237196</v>
      </c>
      <c r="F1624" s="2" t="s">
        <v>2</v>
      </c>
      <c r="G1624" s="2" t="str">
        <f t="shared" si="95"/>
        <v>https://www.oreht.ru/modules.php?name=orehtPriceLS&amp;op=Search&amp;page=1&amp;stext=237196</v>
      </c>
      <c r="I1624">
        <v>237196</v>
      </c>
      <c r="J1624" t="s">
        <v>2</v>
      </c>
      <c r="K1624" t="s">
        <v>4459</v>
      </c>
      <c r="L1624" t="s">
        <v>4460</v>
      </c>
      <c r="M1624" t="s">
        <v>4461</v>
      </c>
    </row>
    <row r="1625" spans="1:13" hidden="1" x14ac:dyDescent="0.25">
      <c r="A1625" s="24">
        <f t="shared" si="96"/>
        <v>20</v>
      </c>
      <c r="B1625" s="24">
        <v>15</v>
      </c>
      <c r="C1625" s="24">
        <v>57.35</v>
      </c>
      <c r="E1625" s="4">
        <v>398665</v>
      </c>
      <c r="F1625" s="2" t="s">
        <v>2</v>
      </c>
      <c r="G1625" s="2" t="str">
        <f t="shared" si="95"/>
        <v>https://www.oreht.ru/modules.php?name=orehtPriceLS&amp;op=Search&amp;page=1&amp;stext=398665</v>
      </c>
      <c r="I1625">
        <v>398665</v>
      </c>
      <c r="J1625" t="s">
        <v>2</v>
      </c>
      <c r="K1625" t="s">
        <v>4462</v>
      </c>
      <c r="L1625" t="s">
        <v>4463</v>
      </c>
      <c r="M1625" t="s">
        <v>4464</v>
      </c>
    </row>
    <row r="1626" spans="1:13" hidden="1" x14ac:dyDescent="0.25">
      <c r="A1626" s="24">
        <f t="shared" si="96"/>
        <v>20</v>
      </c>
      <c r="B1626" s="24">
        <v>12</v>
      </c>
      <c r="C1626" s="24">
        <v>41</v>
      </c>
      <c r="E1626" s="4">
        <v>318265</v>
      </c>
      <c r="F1626" s="2" t="s">
        <v>2</v>
      </c>
      <c r="G1626" s="2" t="str">
        <f t="shared" si="95"/>
        <v>https://www.oreht.ru/modules.php?name=orehtPriceLS&amp;op=Search&amp;page=1&amp;stext=318265</v>
      </c>
      <c r="I1626">
        <v>318265</v>
      </c>
      <c r="J1626" t="s">
        <v>2</v>
      </c>
      <c r="K1626" t="s">
        <v>4465</v>
      </c>
      <c r="L1626" t="s">
        <v>4466</v>
      </c>
      <c r="M1626" t="s">
        <v>4467</v>
      </c>
    </row>
    <row r="1627" spans="1:13" hidden="1" x14ac:dyDescent="0.25">
      <c r="A1627" s="24">
        <f t="shared" si="96"/>
        <v>20</v>
      </c>
      <c r="B1627" s="24">
        <v>9</v>
      </c>
      <c r="C1627" s="24">
        <v>67</v>
      </c>
      <c r="E1627" s="4">
        <v>464037</v>
      </c>
      <c r="F1627" s="2" t="s">
        <v>2</v>
      </c>
      <c r="G1627" s="2" t="str">
        <f t="shared" si="95"/>
        <v>https://www.oreht.ru/modules.php?name=orehtPriceLS&amp;op=Search&amp;page=1&amp;stext=464037</v>
      </c>
      <c r="I1627">
        <v>464037</v>
      </c>
      <c r="J1627" t="s">
        <v>2</v>
      </c>
      <c r="K1627" t="s">
        <v>4468</v>
      </c>
      <c r="L1627" t="s">
        <v>4469</v>
      </c>
      <c r="M1627" t="s">
        <v>1619</v>
      </c>
    </row>
    <row r="1628" spans="1:13" hidden="1" x14ac:dyDescent="0.25">
      <c r="A1628" s="24">
        <f t="shared" si="96"/>
        <v>20</v>
      </c>
      <c r="B1628" s="24">
        <v>15</v>
      </c>
      <c r="C1628" s="24">
        <v>54.15</v>
      </c>
      <c r="E1628" s="4">
        <v>254599</v>
      </c>
      <c r="F1628" s="2" t="s">
        <v>2</v>
      </c>
      <c r="G1628" s="2" t="str">
        <f t="shared" si="95"/>
        <v>https://www.oreht.ru/modules.php?name=orehtPriceLS&amp;op=Search&amp;page=1&amp;stext=254599</v>
      </c>
      <c r="I1628">
        <v>254599</v>
      </c>
      <c r="J1628" t="s">
        <v>2</v>
      </c>
      <c r="K1628" t="s">
        <v>4470</v>
      </c>
      <c r="L1628" t="s">
        <v>4471</v>
      </c>
      <c r="M1628" t="s">
        <v>4472</v>
      </c>
    </row>
    <row r="1629" spans="1:13" hidden="1" x14ac:dyDescent="0.25">
      <c r="A1629" s="24">
        <f t="shared" si="96"/>
        <v>20</v>
      </c>
      <c r="B1629" s="24">
        <v>15</v>
      </c>
      <c r="C1629" s="24">
        <v>54.75</v>
      </c>
      <c r="E1629" s="4">
        <v>406455</v>
      </c>
      <c r="F1629" s="2" t="s">
        <v>2</v>
      </c>
      <c r="G1629" s="2" t="str">
        <f t="shared" si="95"/>
        <v>https://www.oreht.ru/modules.php?name=orehtPriceLS&amp;op=Search&amp;page=1&amp;stext=406455</v>
      </c>
      <c r="I1629">
        <v>406455</v>
      </c>
      <c r="J1629" t="s">
        <v>2</v>
      </c>
      <c r="K1629" t="s">
        <v>4473</v>
      </c>
      <c r="L1629" t="s">
        <v>4474</v>
      </c>
      <c r="M1629" t="s">
        <v>4475</v>
      </c>
    </row>
    <row r="1630" spans="1:13" hidden="1" x14ac:dyDescent="0.25">
      <c r="A1630" s="24">
        <f t="shared" si="96"/>
        <v>20</v>
      </c>
      <c r="B1630" s="24">
        <v>12</v>
      </c>
      <c r="C1630" s="24">
        <v>51.95</v>
      </c>
      <c r="E1630" s="4">
        <v>398666</v>
      </c>
      <c r="F1630" s="2" t="s">
        <v>2</v>
      </c>
      <c r="G1630" s="2" t="str">
        <f t="shared" si="95"/>
        <v>https://www.oreht.ru/modules.php?name=orehtPriceLS&amp;op=Search&amp;page=1&amp;stext=398666</v>
      </c>
      <c r="I1630">
        <v>398666</v>
      </c>
      <c r="J1630" t="s">
        <v>2</v>
      </c>
      <c r="K1630" t="s">
        <v>4476</v>
      </c>
      <c r="L1630" t="s">
        <v>4477</v>
      </c>
      <c r="M1630" t="s">
        <v>4478</v>
      </c>
    </row>
    <row r="1631" spans="1:13" hidden="1" x14ac:dyDescent="0.25">
      <c r="A1631" s="24">
        <f t="shared" si="96"/>
        <v>20</v>
      </c>
      <c r="B1631" s="24">
        <v>7</v>
      </c>
      <c r="C1631" s="24">
        <v>79</v>
      </c>
      <c r="E1631" s="4">
        <v>219379</v>
      </c>
      <c r="F1631" s="2" t="s">
        <v>2</v>
      </c>
      <c r="G1631" s="2" t="str">
        <f t="shared" si="95"/>
        <v>https://www.oreht.ru/modules.php?name=orehtPriceLS&amp;op=Search&amp;page=1&amp;stext=219379</v>
      </c>
      <c r="I1631">
        <v>219379</v>
      </c>
      <c r="J1631" t="s">
        <v>2</v>
      </c>
      <c r="K1631" t="s">
        <v>4479</v>
      </c>
      <c r="L1631" t="s">
        <v>4480</v>
      </c>
      <c r="M1631" t="s">
        <v>3487</v>
      </c>
    </row>
    <row r="1632" spans="1:13" hidden="1" x14ac:dyDescent="0.25">
      <c r="A1632" s="24">
        <f t="shared" si="96"/>
        <v>20</v>
      </c>
      <c r="B1632" s="24">
        <v>9</v>
      </c>
      <c r="C1632" s="24">
        <v>69</v>
      </c>
      <c r="E1632" s="4">
        <v>241164</v>
      </c>
      <c r="F1632" s="2" t="s">
        <v>2</v>
      </c>
      <c r="G1632" s="2" t="str">
        <f t="shared" si="95"/>
        <v>https://www.oreht.ru/modules.php?name=orehtPriceLS&amp;op=Search&amp;page=1&amp;stext=241164</v>
      </c>
      <c r="I1632">
        <v>241164</v>
      </c>
      <c r="J1632" t="s">
        <v>2</v>
      </c>
      <c r="K1632" t="s">
        <v>4481</v>
      </c>
      <c r="L1632" t="s">
        <v>4482</v>
      </c>
      <c r="M1632" t="s">
        <v>4483</v>
      </c>
    </row>
    <row r="1633" spans="1:13" hidden="1" x14ac:dyDescent="0.25">
      <c r="A1633" s="24">
        <f t="shared" si="96"/>
        <v>20</v>
      </c>
      <c r="B1633" s="24">
        <v>12</v>
      </c>
      <c r="C1633" s="24">
        <v>40</v>
      </c>
      <c r="E1633" s="4">
        <v>400489</v>
      </c>
      <c r="F1633" s="2" t="s">
        <v>2</v>
      </c>
      <c r="G1633" s="2" t="str">
        <f t="shared" si="95"/>
        <v>https://www.oreht.ru/modules.php?name=orehtPriceLS&amp;op=Search&amp;page=1&amp;stext=400489</v>
      </c>
      <c r="I1633">
        <v>400489</v>
      </c>
      <c r="J1633" t="s">
        <v>2</v>
      </c>
      <c r="K1633" t="s">
        <v>4484</v>
      </c>
      <c r="L1633" t="s">
        <v>4485</v>
      </c>
      <c r="M1633" t="s">
        <v>4486</v>
      </c>
    </row>
    <row r="1634" spans="1:13" hidden="1" x14ac:dyDescent="0.25">
      <c r="A1634" s="24">
        <f t="shared" si="96"/>
        <v>20</v>
      </c>
      <c r="B1634" s="24">
        <v>15</v>
      </c>
      <c r="C1634" s="24">
        <v>79</v>
      </c>
      <c r="E1634" s="4">
        <v>334060</v>
      </c>
      <c r="F1634" s="2" t="s">
        <v>2</v>
      </c>
      <c r="G1634" s="2" t="str">
        <f t="shared" si="95"/>
        <v>https://www.oreht.ru/modules.php?name=orehtPriceLS&amp;op=Search&amp;page=1&amp;stext=334060</v>
      </c>
      <c r="I1634">
        <v>334060</v>
      </c>
      <c r="J1634" t="s">
        <v>2</v>
      </c>
      <c r="K1634" t="s">
        <v>4487</v>
      </c>
      <c r="L1634" t="s">
        <v>4488</v>
      </c>
      <c r="M1634" t="s">
        <v>4489</v>
      </c>
    </row>
    <row r="1635" spans="1:13" hidden="1" x14ac:dyDescent="0.25">
      <c r="A1635" s="24">
        <f t="shared" si="96"/>
        <v>20</v>
      </c>
      <c r="B1635" s="24">
        <v>10</v>
      </c>
      <c r="C1635" s="24">
        <v>79</v>
      </c>
      <c r="E1635" s="4">
        <v>93281</v>
      </c>
      <c r="F1635" s="2" t="s">
        <v>2</v>
      </c>
      <c r="G1635" s="2" t="str">
        <f t="shared" si="95"/>
        <v>https://www.oreht.ru/modules.php?name=orehtPriceLS&amp;op=Search&amp;page=1&amp;stext=93281</v>
      </c>
      <c r="I1635">
        <v>93281</v>
      </c>
      <c r="J1635" t="s">
        <v>2</v>
      </c>
      <c r="K1635" t="s">
        <v>4490</v>
      </c>
      <c r="L1635" t="s">
        <v>4491</v>
      </c>
      <c r="M1635" t="s">
        <v>3490</v>
      </c>
    </row>
    <row r="1636" spans="1:13" hidden="1" x14ac:dyDescent="0.25">
      <c r="A1636" s="24">
        <f t="shared" si="96"/>
        <v>20</v>
      </c>
      <c r="B1636" s="24">
        <v>9</v>
      </c>
      <c r="C1636" s="24">
        <v>79</v>
      </c>
      <c r="E1636" s="4">
        <v>405631</v>
      </c>
      <c r="F1636" s="2" t="s">
        <v>2</v>
      </c>
      <c r="G1636" s="2" t="str">
        <f t="shared" si="95"/>
        <v>https://www.oreht.ru/modules.php?name=orehtPriceLS&amp;op=Search&amp;page=1&amp;stext=405631</v>
      </c>
      <c r="I1636">
        <v>405631</v>
      </c>
      <c r="J1636" t="s">
        <v>2</v>
      </c>
      <c r="K1636" t="s">
        <v>4492</v>
      </c>
      <c r="L1636" t="s">
        <v>4493</v>
      </c>
      <c r="M1636" t="s">
        <v>4489</v>
      </c>
    </row>
    <row r="1637" spans="1:13" hidden="1" x14ac:dyDescent="0.25">
      <c r="A1637" s="24">
        <f t="shared" si="96"/>
        <v>20</v>
      </c>
      <c r="B1637" s="24">
        <v>9</v>
      </c>
      <c r="C1637" s="24">
        <v>64.5</v>
      </c>
      <c r="E1637" s="4">
        <v>389921</v>
      </c>
      <c r="F1637" s="2" t="s">
        <v>2</v>
      </c>
      <c r="G1637" s="2" t="str">
        <f t="shared" si="95"/>
        <v>https://www.oreht.ru/modules.php?name=orehtPriceLS&amp;op=Search&amp;page=1&amp;stext=389921</v>
      </c>
      <c r="I1637">
        <v>389921</v>
      </c>
      <c r="J1637" t="s">
        <v>2</v>
      </c>
      <c r="K1637" t="s">
        <v>4494</v>
      </c>
      <c r="L1637" t="s">
        <v>4495</v>
      </c>
      <c r="M1637" t="s">
        <v>4496</v>
      </c>
    </row>
    <row r="1638" spans="1:13" hidden="1" x14ac:dyDescent="0.25">
      <c r="A1638" s="24">
        <f t="shared" si="96"/>
        <v>20</v>
      </c>
      <c r="B1638" s="24">
        <v>10</v>
      </c>
      <c r="C1638" s="24">
        <v>135</v>
      </c>
      <c r="E1638" s="4">
        <v>93293</v>
      </c>
      <c r="F1638" s="2" t="s">
        <v>2</v>
      </c>
      <c r="G1638" s="2" t="str">
        <f t="shared" si="95"/>
        <v>https://www.oreht.ru/modules.php?name=orehtPriceLS&amp;op=Search&amp;page=1&amp;stext=93293</v>
      </c>
      <c r="I1638">
        <v>93293</v>
      </c>
      <c r="J1638" t="s">
        <v>2</v>
      </c>
      <c r="K1638" t="s">
        <v>4497</v>
      </c>
      <c r="L1638" t="s">
        <v>4498</v>
      </c>
      <c r="M1638" t="s">
        <v>4499</v>
      </c>
    </row>
    <row r="1639" spans="1:13" hidden="1" x14ac:dyDescent="0.25">
      <c r="A1639" s="24">
        <f t="shared" si="96"/>
        <v>20</v>
      </c>
      <c r="B1639" s="24">
        <v>9</v>
      </c>
      <c r="C1639" s="24">
        <v>65.040000000000006</v>
      </c>
      <c r="E1639" s="4">
        <v>421013</v>
      </c>
      <c r="F1639" s="2" t="s">
        <v>2</v>
      </c>
      <c r="G1639" s="2" t="str">
        <f t="shared" si="95"/>
        <v>https://www.oreht.ru/modules.php?name=orehtPriceLS&amp;op=Search&amp;page=1&amp;stext=421013</v>
      </c>
      <c r="I1639">
        <v>421013</v>
      </c>
      <c r="J1639" t="s">
        <v>2</v>
      </c>
      <c r="K1639" t="s">
        <v>4500</v>
      </c>
      <c r="L1639" t="s">
        <v>4501</v>
      </c>
      <c r="M1639" t="s">
        <v>4502</v>
      </c>
    </row>
    <row r="1640" spans="1:13" hidden="1" x14ac:dyDescent="0.25">
      <c r="A1640" s="24">
        <f t="shared" si="96"/>
        <v>20</v>
      </c>
      <c r="B1640" s="24">
        <v>15</v>
      </c>
      <c r="C1640" s="24">
        <v>68.7</v>
      </c>
      <c r="E1640" s="4">
        <v>374200</v>
      </c>
      <c r="F1640" s="2" t="s">
        <v>2</v>
      </c>
      <c r="G1640" s="2" t="str">
        <f t="shared" si="95"/>
        <v>https://www.oreht.ru/modules.php?name=orehtPriceLS&amp;op=Search&amp;page=1&amp;stext=374200</v>
      </c>
      <c r="I1640">
        <v>374200</v>
      </c>
      <c r="J1640" t="s">
        <v>2</v>
      </c>
      <c r="K1640" t="s">
        <v>4503</v>
      </c>
      <c r="L1640" t="s">
        <v>4504</v>
      </c>
      <c r="M1640" t="s">
        <v>4505</v>
      </c>
    </row>
    <row r="1641" spans="1:13" hidden="1" x14ac:dyDescent="0.25">
      <c r="A1641" s="24">
        <f t="shared" si="96"/>
        <v>20</v>
      </c>
      <c r="B1641" s="24">
        <v>10</v>
      </c>
      <c r="C1641" s="24">
        <v>100</v>
      </c>
      <c r="E1641" s="4">
        <v>274587</v>
      </c>
      <c r="F1641" s="2" t="s">
        <v>2</v>
      </c>
      <c r="G1641" s="2" t="str">
        <f t="shared" si="95"/>
        <v>https://www.oreht.ru/modules.php?name=orehtPriceLS&amp;op=Search&amp;page=1&amp;stext=274587</v>
      </c>
      <c r="I1641">
        <v>274587</v>
      </c>
      <c r="J1641" t="s">
        <v>2</v>
      </c>
      <c r="K1641" t="s">
        <v>4506</v>
      </c>
      <c r="L1641" t="s">
        <v>4507</v>
      </c>
      <c r="M1641" t="s">
        <v>3405</v>
      </c>
    </row>
    <row r="1642" spans="1:13" hidden="1" x14ac:dyDescent="0.25">
      <c r="A1642" s="24">
        <f t="shared" si="96"/>
        <v>20</v>
      </c>
      <c r="B1642" s="24">
        <v>10</v>
      </c>
      <c r="C1642" s="24">
        <v>42</v>
      </c>
      <c r="E1642" s="4">
        <v>459521</v>
      </c>
      <c r="F1642" s="2" t="s">
        <v>2</v>
      </c>
      <c r="G1642" s="2" t="str">
        <f t="shared" si="95"/>
        <v>https://www.oreht.ru/modules.php?name=orehtPriceLS&amp;op=Search&amp;page=1&amp;stext=459521</v>
      </c>
      <c r="I1642">
        <v>459521</v>
      </c>
      <c r="J1642" t="s">
        <v>2</v>
      </c>
      <c r="K1642" t="s">
        <v>4508</v>
      </c>
      <c r="L1642" t="s">
        <v>4509</v>
      </c>
      <c r="M1642" t="s">
        <v>3974</v>
      </c>
    </row>
    <row r="1643" spans="1:13" hidden="1" x14ac:dyDescent="0.25">
      <c r="A1643" s="24">
        <f t="shared" si="96"/>
        <v>20</v>
      </c>
      <c r="B1643" s="24">
        <v>10</v>
      </c>
      <c r="C1643" s="24">
        <v>160</v>
      </c>
      <c r="E1643" s="4">
        <v>93295</v>
      </c>
      <c r="F1643" s="2" t="s">
        <v>2</v>
      </c>
      <c r="G1643" s="2" t="str">
        <f t="shared" si="95"/>
        <v>https://www.oreht.ru/modules.php?name=orehtPriceLS&amp;op=Search&amp;page=1&amp;stext=93295</v>
      </c>
      <c r="I1643">
        <v>93295</v>
      </c>
      <c r="J1643" t="s">
        <v>2</v>
      </c>
      <c r="K1643" t="s">
        <v>4510</v>
      </c>
      <c r="L1643" t="s">
        <v>4511</v>
      </c>
      <c r="M1643" t="s">
        <v>3387</v>
      </c>
    </row>
    <row r="1644" spans="1:13" x14ac:dyDescent="0.25">
      <c r="A1644" s="24">
        <f t="shared" si="96"/>
        <v>20</v>
      </c>
      <c r="B1644" s="24">
        <v>7</v>
      </c>
      <c r="C1644" s="24">
        <v>50.8</v>
      </c>
      <c r="E1644" s="4">
        <v>294811</v>
      </c>
      <c r="F1644" s="2" t="s">
        <v>2</v>
      </c>
      <c r="G1644" s="2" t="str">
        <f t="shared" si="95"/>
        <v>https://www.oreht.ru/modules.php?name=orehtPriceLS&amp;op=Search&amp;page=1&amp;stext=294811</v>
      </c>
      <c r="I1644">
        <v>294811</v>
      </c>
      <c r="J1644" t="s">
        <v>2</v>
      </c>
      <c r="K1644" t="s">
        <v>4512</v>
      </c>
      <c r="L1644" t="s">
        <v>4513</v>
      </c>
      <c r="M1644" t="s">
        <v>649</v>
      </c>
    </row>
    <row r="1645" spans="1:13" x14ac:dyDescent="0.25">
      <c r="A1645" s="24">
        <f t="shared" si="96"/>
        <v>20</v>
      </c>
      <c r="B1645" s="24">
        <v>12</v>
      </c>
      <c r="C1645" s="24">
        <v>59.55</v>
      </c>
      <c r="E1645" s="4">
        <v>372194</v>
      </c>
      <c r="F1645" s="2" t="s">
        <v>2</v>
      </c>
      <c r="G1645" s="2" t="str">
        <f t="shared" si="95"/>
        <v>https://www.oreht.ru/modules.php?name=orehtPriceLS&amp;op=Search&amp;page=1&amp;stext=372194</v>
      </c>
      <c r="I1645">
        <v>372194</v>
      </c>
      <c r="J1645" t="s">
        <v>2</v>
      </c>
      <c r="K1645" t="s">
        <v>4514</v>
      </c>
      <c r="L1645" t="s">
        <v>4515</v>
      </c>
      <c r="M1645" t="s">
        <v>649</v>
      </c>
    </row>
    <row r="1646" spans="1:13" hidden="1" x14ac:dyDescent="0.25">
      <c r="A1646" s="24">
        <f t="shared" si="96"/>
        <v>20</v>
      </c>
      <c r="B1646" s="24">
        <v>10</v>
      </c>
      <c r="C1646" s="24">
        <v>40</v>
      </c>
      <c r="E1646" s="4">
        <v>93284</v>
      </c>
      <c r="F1646" s="2" t="s">
        <v>2</v>
      </c>
      <c r="G1646" s="2" t="str">
        <f t="shared" si="95"/>
        <v>https://www.oreht.ru/modules.php?name=orehtPriceLS&amp;op=Search&amp;page=1&amp;stext=93284</v>
      </c>
      <c r="I1646">
        <v>93284</v>
      </c>
      <c r="J1646" t="s">
        <v>2</v>
      </c>
      <c r="K1646" t="s">
        <v>4516</v>
      </c>
      <c r="L1646" t="s">
        <v>4517</v>
      </c>
      <c r="M1646" t="s">
        <v>4518</v>
      </c>
    </row>
    <row r="1647" spans="1:13" hidden="1" x14ac:dyDescent="0.25">
      <c r="A1647" s="24">
        <f t="shared" si="96"/>
        <v>20</v>
      </c>
      <c r="B1647" s="24">
        <v>9</v>
      </c>
      <c r="C1647" s="24">
        <v>53.85</v>
      </c>
      <c r="E1647" s="4">
        <v>398400</v>
      </c>
      <c r="F1647" s="2" t="s">
        <v>2</v>
      </c>
      <c r="G1647" s="2" t="str">
        <f t="shared" si="95"/>
        <v>https://www.oreht.ru/modules.php?name=orehtPriceLS&amp;op=Search&amp;page=1&amp;stext=398400</v>
      </c>
      <c r="I1647">
        <v>398400</v>
      </c>
      <c r="J1647" t="s">
        <v>2</v>
      </c>
      <c r="K1647" t="s">
        <v>4519</v>
      </c>
      <c r="L1647" t="s">
        <v>4520</v>
      </c>
      <c r="M1647" t="s">
        <v>4521</v>
      </c>
    </row>
    <row r="1648" spans="1:13" hidden="1" x14ac:dyDescent="0.25">
      <c r="A1648" s="24">
        <f t="shared" si="96"/>
        <v>20</v>
      </c>
      <c r="B1648" s="24">
        <v>10</v>
      </c>
      <c r="C1648" s="24">
        <v>120</v>
      </c>
      <c r="E1648" s="4">
        <v>93283</v>
      </c>
      <c r="F1648" s="2" t="s">
        <v>2</v>
      </c>
      <c r="G1648" s="2" t="str">
        <f t="shared" si="95"/>
        <v>https://www.oreht.ru/modules.php?name=orehtPriceLS&amp;op=Search&amp;page=1&amp;stext=93283</v>
      </c>
      <c r="I1648">
        <v>93283</v>
      </c>
      <c r="J1648" t="s">
        <v>2</v>
      </c>
      <c r="K1648" t="s">
        <v>4522</v>
      </c>
      <c r="L1648" t="s">
        <v>4523</v>
      </c>
      <c r="M1648" t="s">
        <v>4018</v>
      </c>
    </row>
    <row r="1649" spans="1:13" hidden="1" x14ac:dyDescent="0.25">
      <c r="A1649" s="24">
        <f t="shared" si="96"/>
        <v>20</v>
      </c>
      <c r="B1649" s="24">
        <v>9</v>
      </c>
      <c r="C1649" s="24">
        <v>66.12</v>
      </c>
      <c r="E1649" s="4">
        <v>358890</v>
      </c>
      <c r="F1649" s="2" t="s">
        <v>2</v>
      </c>
      <c r="G1649" s="2" t="str">
        <f t="shared" si="95"/>
        <v>https://www.oreht.ru/modules.php?name=orehtPriceLS&amp;op=Search&amp;page=1&amp;stext=358890</v>
      </c>
      <c r="I1649">
        <v>358890</v>
      </c>
      <c r="J1649" t="s">
        <v>2</v>
      </c>
      <c r="K1649" t="s">
        <v>4524</v>
      </c>
      <c r="L1649" t="s">
        <v>4525</v>
      </c>
      <c r="M1649" t="s">
        <v>4526</v>
      </c>
    </row>
    <row r="1650" spans="1:13" hidden="1" x14ac:dyDescent="0.25">
      <c r="A1650" s="24">
        <f t="shared" si="96"/>
        <v>20</v>
      </c>
      <c r="B1650" s="24">
        <v>10</v>
      </c>
      <c r="C1650" s="24">
        <v>120</v>
      </c>
      <c r="E1650" s="4">
        <v>93291</v>
      </c>
      <c r="F1650" s="2" t="s">
        <v>2</v>
      </c>
      <c r="G1650" s="2" t="str">
        <f t="shared" si="95"/>
        <v>https://www.oreht.ru/modules.php?name=orehtPriceLS&amp;op=Search&amp;page=1&amp;stext=93291</v>
      </c>
      <c r="I1650">
        <v>93291</v>
      </c>
      <c r="J1650" t="s">
        <v>2</v>
      </c>
      <c r="K1650" t="s">
        <v>4527</v>
      </c>
      <c r="L1650" t="s">
        <v>4528</v>
      </c>
      <c r="M1650" t="s">
        <v>4346</v>
      </c>
    </row>
    <row r="1651" spans="1:13" hidden="1" x14ac:dyDescent="0.25">
      <c r="A1651" s="24">
        <f t="shared" si="96"/>
        <v>20</v>
      </c>
      <c r="B1651" s="24">
        <v>10</v>
      </c>
      <c r="C1651" s="24">
        <v>79</v>
      </c>
      <c r="E1651" s="4">
        <v>93296</v>
      </c>
      <c r="F1651" s="2" t="s">
        <v>2</v>
      </c>
      <c r="G1651" s="2" t="str">
        <f t="shared" si="95"/>
        <v>https://www.oreht.ru/modules.php?name=orehtPriceLS&amp;op=Search&amp;page=1&amp;stext=93296</v>
      </c>
      <c r="I1651">
        <v>93296</v>
      </c>
      <c r="J1651" t="s">
        <v>2</v>
      </c>
      <c r="K1651" t="s">
        <v>4529</v>
      </c>
      <c r="L1651" t="s">
        <v>4530</v>
      </c>
      <c r="M1651" t="s">
        <v>4146</v>
      </c>
    </row>
    <row r="1652" spans="1:13" hidden="1" x14ac:dyDescent="0.25">
      <c r="A1652" s="24">
        <f t="shared" si="96"/>
        <v>20</v>
      </c>
      <c r="B1652" s="24">
        <v>9</v>
      </c>
      <c r="C1652" s="24">
        <v>54.35</v>
      </c>
      <c r="E1652" s="4">
        <v>421003</v>
      </c>
      <c r="F1652" s="2" t="s">
        <v>2</v>
      </c>
      <c r="G1652" s="2" t="str">
        <f t="shared" si="95"/>
        <v>https://www.oreht.ru/modules.php?name=orehtPriceLS&amp;op=Search&amp;page=1&amp;stext=421003</v>
      </c>
      <c r="I1652">
        <v>421003</v>
      </c>
      <c r="J1652" t="s">
        <v>2</v>
      </c>
      <c r="K1652" t="s">
        <v>4531</v>
      </c>
      <c r="L1652" t="s">
        <v>4532</v>
      </c>
      <c r="M1652" t="s">
        <v>1913</v>
      </c>
    </row>
    <row r="1653" spans="1:13" hidden="1" x14ac:dyDescent="0.25">
      <c r="A1653" s="24">
        <f t="shared" si="96"/>
        <v>20</v>
      </c>
      <c r="B1653" s="24">
        <v>10</v>
      </c>
      <c r="C1653" s="24">
        <v>42</v>
      </c>
      <c r="E1653" s="4">
        <v>93285</v>
      </c>
      <c r="F1653" s="2" t="s">
        <v>2</v>
      </c>
      <c r="G1653" s="2" t="str">
        <f t="shared" si="95"/>
        <v>https://www.oreht.ru/modules.php?name=orehtPriceLS&amp;op=Search&amp;page=1&amp;stext=93285</v>
      </c>
      <c r="I1653">
        <v>93285</v>
      </c>
      <c r="J1653" t="s">
        <v>2</v>
      </c>
      <c r="K1653" t="s">
        <v>4533</v>
      </c>
      <c r="L1653" t="s">
        <v>4534</v>
      </c>
      <c r="M1653" t="s">
        <v>4535</v>
      </c>
    </row>
    <row r="1654" spans="1:13" hidden="1" x14ac:dyDescent="0.25">
      <c r="A1654" s="24">
        <f t="shared" si="96"/>
        <v>20</v>
      </c>
      <c r="B1654" s="24">
        <v>10</v>
      </c>
      <c r="C1654" s="24">
        <v>160</v>
      </c>
      <c r="E1654" s="4">
        <v>93292</v>
      </c>
      <c r="F1654" s="2" t="s">
        <v>2</v>
      </c>
      <c r="G1654" s="2" t="str">
        <f t="shared" si="95"/>
        <v>https://www.oreht.ru/modules.php?name=orehtPriceLS&amp;op=Search&amp;page=1&amp;stext=93292</v>
      </c>
      <c r="I1654">
        <v>93292</v>
      </c>
      <c r="J1654" t="s">
        <v>2</v>
      </c>
      <c r="K1654" t="s">
        <v>4536</v>
      </c>
      <c r="L1654" t="s">
        <v>4537</v>
      </c>
      <c r="M1654" t="s">
        <v>4538</v>
      </c>
    </row>
    <row r="1655" spans="1:13" hidden="1" x14ac:dyDescent="0.25">
      <c r="A1655" s="24">
        <f t="shared" si="96"/>
        <v>20</v>
      </c>
      <c r="B1655" s="24">
        <v>9</v>
      </c>
      <c r="C1655" s="24">
        <v>54.55</v>
      </c>
      <c r="E1655" s="4">
        <v>464234</v>
      </c>
      <c r="F1655" s="2" t="s">
        <v>2</v>
      </c>
      <c r="G1655" s="2" t="str">
        <f t="shared" si="95"/>
        <v>https://www.oreht.ru/modules.php?name=orehtPriceLS&amp;op=Search&amp;page=1&amp;stext=464234</v>
      </c>
      <c r="I1655">
        <v>464234</v>
      </c>
      <c r="J1655" t="s">
        <v>2</v>
      </c>
      <c r="K1655" t="s">
        <v>4539</v>
      </c>
      <c r="L1655" t="s">
        <v>4540</v>
      </c>
      <c r="M1655" t="s">
        <v>4541</v>
      </c>
    </row>
    <row r="1656" spans="1:13" hidden="1" x14ac:dyDescent="0.25">
      <c r="A1656" s="24">
        <f t="shared" si="96"/>
        <v>20</v>
      </c>
      <c r="B1656" s="24">
        <v>10</v>
      </c>
      <c r="C1656" s="24">
        <v>43.35</v>
      </c>
      <c r="E1656" s="4">
        <v>93298</v>
      </c>
      <c r="F1656" s="2" t="s">
        <v>2</v>
      </c>
      <c r="G1656" s="2" t="str">
        <f t="shared" si="95"/>
        <v>https://www.oreht.ru/modules.php?name=orehtPriceLS&amp;op=Search&amp;page=1&amp;stext=93298</v>
      </c>
      <c r="I1656">
        <v>93298</v>
      </c>
      <c r="J1656" t="s">
        <v>2</v>
      </c>
      <c r="K1656" t="s">
        <v>4542</v>
      </c>
      <c r="L1656" t="s">
        <v>4543</v>
      </c>
      <c r="M1656" t="s">
        <v>4274</v>
      </c>
    </row>
    <row r="1657" spans="1:13" hidden="1" x14ac:dyDescent="0.25">
      <c r="A1657" s="24">
        <f t="shared" si="96"/>
        <v>20</v>
      </c>
      <c r="B1657" s="24">
        <v>15</v>
      </c>
      <c r="C1657" s="24">
        <v>70.8</v>
      </c>
      <c r="E1657" s="4">
        <v>124961</v>
      </c>
      <c r="F1657" s="2" t="s">
        <v>2</v>
      </c>
      <c r="G1657" s="2" t="str">
        <f t="shared" si="95"/>
        <v>https://www.oreht.ru/modules.php?name=orehtPriceLS&amp;op=Search&amp;page=1&amp;stext=124961</v>
      </c>
      <c r="I1657">
        <v>124961</v>
      </c>
      <c r="J1657" t="s">
        <v>2</v>
      </c>
      <c r="K1657" t="s">
        <v>4544</v>
      </c>
      <c r="L1657" t="s">
        <v>4545</v>
      </c>
      <c r="M1657" t="s">
        <v>3774</v>
      </c>
    </row>
    <row r="1658" spans="1:13" hidden="1" x14ac:dyDescent="0.25">
      <c r="A1658" s="24">
        <f t="shared" si="96"/>
        <v>20</v>
      </c>
      <c r="B1658" s="24">
        <v>10</v>
      </c>
      <c r="C1658" s="24">
        <v>79</v>
      </c>
      <c r="E1658" s="4">
        <v>305672</v>
      </c>
      <c r="F1658" s="2" t="s">
        <v>2</v>
      </c>
      <c r="G1658" s="2" t="str">
        <f t="shared" si="95"/>
        <v>https://www.oreht.ru/modules.php?name=orehtPriceLS&amp;op=Search&amp;page=1&amp;stext=305672</v>
      </c>
      <c r="I1658">
        <v>305672</v>
      </c>
      <c r="J1658" t="s">
        <v>2</v>
      </c>
      <c r="K1658" t="s">
        <v>4546</v>
      </c>
      <c r="L1658" t="s">
        <v>4547</v>
      </c>
      <c r="M1658" t="s">
        <v>4548</v>
      </c>
    </row>
    <row r="1659" spans="1:13" hidden="1" x14ac:dyDescent="0.25">
      <c r="A1659" s="24">
        <f t="shared" si="96"/>
        <v>20</v>
      </c>
      <c r="B1659" s="24">
        <v>10</v>
      </c>
      <c r="C1659" s="24">
        <v>135</v>
      </c>
      <c r="E1659" s="4">
        <v>93299</v>
      </c>
      <c r="F1659" s="2" t="s">
        <v>2</v>
      </c>
      <c r="G1659" s="2" t="str">
        <f t="shared" si="95"/>
        <v>https://www.oreht.ru/modules.php?name=orehtPriceLS&amp;op=Search&amp;page=1&amp;stext=93299</v>
      </c>
      <c r="I1659">
        <v>93299</v>
      </c>
      <c r="J1659" t="s">
        <v>2</v>
      </c>
      <c r="K1659" t="s">
        <v>4549</v>
      </c>
      <c r="L1659" t="s">
        <v>4550</v>
      </c>
      <c r="M1659" t="s">
        <v>3984</v>
      </c>
    </row>
    <row r="1660" spans="1:13" hidden="1" x14ac:dyDescent="0.25">
      <c r="A1660" s="24">
        <f t="shared" si="96"/>
        <v>20</v>
      </c>
      <c r="B1660" s="24">
        <v>9</v>
      </c>
      <c r="C1660" s="24">
        <v>79</v>
      </c>
      <c r="E1660" s="4">
        <v>397407</v>
      </c>
      <c r="F1660" s="2" t="s">
        <v>2</v>
      </c>
      <c r="G1660" s="2" t="str">
        <f t="shared" si="95"/>
        <v>https://www.oreht.ru/modules.php?name=orehtPriceLS&amp;op=Search&amp;page=1&amp;stext=397407</v>
      </c>
      <c r="I1660">
        <v>397407</v>
      </c>
      <c r="J1660" t="s">
        <v>2</v>
      </c>
      <c r="K1660" t="s">
        <v>4551</v>
      </c>
      <c r="L1660" t="s">
        <v>4552</v>
      </c>
      <c r="M1660" t="s">
        <v>2145</v>
      </c>
    </row>
    <row r="1661" spans="1:13" hidden="1" x14ac:dyDescent="0.25">
      <c r="A1661" s="24">
        <f t="shared" si="96"/>
        <v>20</v>
      </c>
      <c r="B1661" s="24">
        <v>9</v>
      </c>
      <c r="C1661" s="24">
        <v>68.34</v>
      </c>
      <c r="E1661" s="4">
        <v>449866</v>
      </c>
      <c r="F1661" s="2" t="s">
        <v>2</v>
      </c>
      <c r="G1661" s="2" t="str">
        <f t="shared" si="95"/>
        <v>https://www.oreht.ru/modules.php?name=orehtPriceLS&amp;op=Search&amp;page=1&amp;stext=449866</v>
      </c>
      <c r="I1661">
        <v>449866</v>
      </c>
      <c r="J1661" t="s">
        <v>2</v>
      </c>
      <c r="K1661" t="s">
        <v>4553</v>
      </c>
      <c r="L1661" t="s">
        <v>4554</v>
      </c>
      <c r="M1661" t="s">
        <v>2009</v>
      </c>
    </row>
    <row r="1662" spans="1:13" hidden="1" x14ac:dyDescent="0.25">
      <c r="A1662" s="24">
        <f t="shared" si="96"/>
        <v>20</v>
      </c>
      <c r="B1662" s="24">
        <v>10</v>
      </c>
      <c r="C1662" s="24">
        <v>52.44</v>
      </c>
      <c r="E1662" s="4">
        <v>332496</v>
      </c>
      <c r="F1662" s="2" t="s">
        <v>2</v>
      </c>
      <c r="G1662" s="2" t="str">
        <f t="shared" si="95"/>
        <v>https://www.oreht.ru/modules.php?name=orehtPriceLS&amp;op=Search&amp;page=1&amp;stext=332496</v>
      </c>
      <c r="I1662">
        <v>332496</v>
      </c>
      <c r="J1662" t="s">
        <v>2</v>
      </c>
      <c r="K1662" t="s">
        <v>4555</v>
      </c>
      <c r="L1662" t="s">
        <v>4556</v>
      </c>
      <c r="M1662" t="s">
        <v>4557</v>
      </c>
    </row>
    <row r="1663" spans="1:13" hidden="1" x14ac:dyDescent="0.25">
      <c r="A1663" s="24">
        <f t="shared" si="96"/>
        <v>20</v>
      </c>
      <c r="B1663" s="24">
        <v>9</v>
      </c>
      <c r="C1663" s="24">
        <v>56.1</v>
      </c>
      <c r="E1663" s="4">
        <v>389924</v>
      </c>
      <c r="F1663" s="2" t="s">
        <v>2</v>
      </c>
      <c r="G1663" s="2" t="str">
        <f t="shared" si="95"/>
        <v>https://www.oreht.ru/modules.php?name=orehtPriceLS&amp;op=Search&amp;page=1&amp;stext=389924</v>
      </c>
      <c r="I1663">
        <v>389924</v>
      </c>
      <c r="J1663" t="s">
        <v>2</v>
      </c>
      <c r="K1663" t="s">
        <v>4558</v>
      </c>
      <c r="L1663" t="s">
        <v>4559</v>
      </c>
      <c r="M1663" t="s">
        <v>2094</v>
      </c>
    </row>
    <row r="1664" spans="1:13" hidden="1" x14ac:dyDescent="0.25">
      <c r="A1664" s="24">
        <f t="shared" si="96"/>
        <v>20</v>
      </c>
      <c r="B1664" s="24">
        <v>10</v>
      </c>
      <c r="C1664" s="24">
        <v>42</v>
      </c>
      <c r="E1664" s="4">
        <v>318926</v>
      </c>
      <c r="F1664" s="2" t="s">
        <v>2</v>
      </c>
      <c r="G1664" s="2" t="str">
        <f t="shared" si="95"/>
        <v>https://www.oreht.ru/modules.php?name=orehtPriceLS&amp;op=Search&amp;page=1&amp;stext=318926</v>
      </c>
      <c r="I1664">
        <v>318926</v>
      </c>
      <c r="J1664" t="s">
        <v>2</v>
      </c>
      <c r="K1664" t="s">
        <v>4560</v>
      </c>
      <c r="L1664" t="s">
        <v>4561</v>
      </c>
      <c r="M1664" t="s">
        <v>3325</v>
      </c>
    </row>
    <row r="1665" spans="1:13" hidden="1" x14ac:dyDescent="0.25">
      <c r="A1665" s="24">
        <f t="shared" si="96"/>
        <v>20</v>
      </c>
      <c r="B1665" s="24">
        <v>10</v>
      </c>
      <c r="C1665" s="24">
        <v>160</v>
      </c>
      <c r="E1665" s="4">
        <v>237267</v>
      </c>
      <c r="F1665" s="2" t="s">
        <v>2</v>
      </c>
      <c r="G1665" s="2" t="str">
        <f t="shared" si="95"/>
        <v>https://www.oreht.ru/modules.php?name=orehtPriceLS&amp;op=Search&amp;page=1&amp;stext=237267</v>
      </c>
      <c r="I1665">
        <v>237267</v>
      </c>
      <c r="J1665" t="s">
        <v>2</v>
      </c>
      <c r="K1665" t="s">
        <v>4562</v>
      </c>
      <c r="L1665" t="s">
        <v>4563</v>
      </c>
      <c r="M1665" t="s">
        <v>4564</v>
      </c>
    </row>
    <row r="1666" spans="1:13" hidden="1" x14ac:dyDescent="0.25">
      <c r="A1666" s="24">
        <f t="shared" si="96"/>
        <v>20</v>
      </c>
      <c r="B1666" s="24">
        <v>9</v>
      </c>
      <c r="C1666" s="24">
        <v>56.1</v>
      </c>
      <c r="E1666" s="4">
        <v>341169</v>
      </c>
      <c r="F1666" s="2" t="s">
        <v>2</v>
      </c>
      <c r="G1666" s="2" t="str">
        <f t="shared" ref="G1666:G1729" si="97">HYPERLINK(F1666&amp;E1666)</f>
        <v>https://www.oreht.ru/modules.php?name=orehtPriceLS&amp;op=Search&amp;page=1&amp;stext=341169</v>
      </c>
      <c r="I1666">
        <v>341169</v>
      </c>
      <c r="J1666" t="s">
        <v>2</v>
      </c>
      <c r="K1666" t="s">
        <v>4565</v>
      </c>
      <c r="L1666" t="s">
        <v>4566</v>
      </c>
      <c r="M1666" t="s">
        <v>2094</v>
      </c>
    </row>
    <row r="1667" spans="1:13" hidden="1" x14ac:dyDescent="0.25">
      <c r="A1667" s="24">
        <f t="shared" si="96"/>
        <v>20</v>
      </c>
      <c r="B1667" s="24">
        <v>10</v>
      </c>
      <c r="C1667" s="24">
        <v>135</v>
      </c>
      <c r="E1667" s="4">
        <v>177080</v>
      </c>
      <c r="F1667" s="2" t="s">
        <v>2</v>
      </c>
      <c r="G1667" s="2" t="str">
        <f t="shared" si="97"/>
        <v>https://www.oreht.ru/modules.php?name=orehtPriceLS&amp;op=Search&amp;page=1&amp;stext=177080</v>
      </c>
      <c r="I1667">
        <v>177080</v>
      </c>
      <c r="J1667" t="s">
        <v>2</v>
      </c>
      <c r="K1667" t="s">
        <v>4567</v>
      </c>
      <c r="L1667" t="s">
        <v>4568</v>
      </c>
      <c r="M1667" t="s">
        <v>4166</v>
      </c>
    </row>
    <row r="1668" spans="1:13" hidden="1" x14ac:dyDescent="0.25">
      <c r="A1668" s="24">
        <f t="shared" si="96"/>
        <v>20</v>
      </c>
      <c r="B1668" s="24">
        <v>10</v>
      </c>
      <c r="C1668" s="24">
        <v>160</v>
      </c>
      <c r="E1668" s="4">
        <v>93302</v>
      </c>
      <c r="F1668" s="2" t="s">
        <v>2</v>
      </c>
      <c r="G1668" s="2" t="str">
        <f t="shared" si="97"/>
        <v>https://www.oreht.ru/modules.php?name=orehtPriceLS&amp;op=Search&amp;page=1&amp;stext=93302</v>
      </c>
      <c r="I1668">
        <v>93302</v>
      </c>
      <c r="J1668" t="s">
        <v>2</v>
      </c>
      <c r="K1668" t="s">
        <v>4569</v>
      </c>
      <c r="L1668" t="s">
        <v>4570</v>
      </c>
      <c r="M1668" t="s">
        <v>4149</v>
      </c>
    </row>
    <row r="1669" spans="1:13" hidden="1" x14ac:dyDescent="0.25">
      <c r="A1669" s="24">
        <f t="shared" ref="A1669:A1732" si="98">IF(W1669*0.05&gt;=250,250,IF(W1669*0.05&gt;=20,IF(W1669*0.05&lt;20,20,W1669*0.05),20))</f>
        <v>20</v>
      </c>
      <c r="B1669" s="24">
        <v>15</v>
      </c>
      <c r="C1669" s="24">
        <v>59.5</v>
      </c>
      <c r="E1669" s="4">
        <v>124956</v>
      </c>
      <c r="F1669" s="2" t="s">
        <v>2</v>
      </c>
      <c r="G1669" s="2" t="str">
        <f t="shared" si="97"/>
        <v>https://www.oreht.ru/modules.php?name=orehtPriceLS&amp;op=Search&amp;page=1&amp;stext=124956</v>
      </c>
      <c r="I1669">
        <v>124956</v>
      </c>
      <c r="J1669" t="s">
        <v>2</v>
      </c>
      <c r="K1669" t="s">
        <v>4571</v>
      </c>
      <c r="L1669" t="s">
        <v>4572</v>
      </c>
      <c r="M1669" t="s">
        <v>4573</v>
      </c>
    </row>
    <row r="1670" spans="1:13" hidden="1" x14ac:dyDescent="0.25">
      <c r="A1670" s="24">
        <f t="shared" si="98"/>
        <v>20</v>
      </c>
      <c r="B1670" s="24">
        <v>10</v>
      </c>
      <c r="C1670" s="24">
        <v>160</v>
      </c>
      <c r="E1670" s="4">
        <v>93303</v>
      </c>
      <c r="F1670" s="2" t="s">
        <v>2</v>
      </c>
      <c r="G1670" s="2" t="str">
        <f t="shared" si="97"/>
        <v>https://www.oreht.ru/modules.php?name=orehtPriceLS&amp;op=Search&amp;page=1&amp;stext=93303</v>
      </c>
      <c r="I1670">
        <v>93303</v>
      </c>
      <c r="J1670" t="s">
        <v>2</v>
      </c>
      <c r="K1670" t="s">
        <v>4574</v>
      </c>
      <c r="L1670" t="s">
        <v>4575</v>
      </c>
      <c r="M1670" t="s">
        <v>4576</v>
      </c>
    </row>
    <row r="1671" spans="1:13" hidden="1" x14ac:dyDescent="0.25">
      <c r="A1671" s="24">
        <f t="shared" si="98"/>
        <v>20</v>
      </c>
      <c r="B1671" s="24">
        <v>9</v>
      </c>
      <c r="C1671" s="24">
        <v>56.15</v>
      </c>
      <c r="E1671" s="4">
        <v>430944</v>
      </c>
      <c r="F1671" s="2" t="s">
        <v>2</v>
      </c>
      <c r="G1671" s="2" t="str">
        <f t="shared" si="97"/>
        <v>https://www.oreht.ru/modules.php?name=orehtPriceLS&amp;op=Search&amp;page=1&amp;stext=430944</v>
      </c>
      <c r="I1671">
        <v>430944</v>
      </c>
      <c r="J1671" t="s">
        <v>2</v>
      </c>
      <c r="K1671" t="s">
        <v>4577</v>
      </c>
      <c r="L1671" t="s">
        <v>4578</v>
      </c>
      <c r="M1671" t="s">
        <v>4573</v>
      </c>
    </row>
    <row r="1672" spans="1:13" hidden="1" x14ac:dyDescent="0.25">
      <c r="A1672" s="24">
        <f t="shared" si="98"/>
        <v>20</v>
      </c>
      <c r="B1672" s="24">
        <v>10</v>
      </c>
      <c r="C1672" s="24">
        <v>290</v>
      </c>
      <c r="E1672" s="4">
        <v>93305</v>
      </c>
      <c r="F1672" s="2" t="s">
        <v>2</v>
      </c>
      <c r="G1672" s="2" t="str">
        <f t="shared" si="97"/>
        <v>https://www.oreht.ru/modules.php?name=orehtPriceLS&amp;op=Search&amp;page=1&amp;stext=93305</v>
      </c>
      <c r="I1672">
        <v>93305</v>
      </c>
      <c r="J1672" t="s">
        <v>2</v>
      </c>
      <c r="K1672" t="s">
        <v>4579</v>
      </c>
      <c r="L1672" t="s">
        <v>4580</v>
      </c>
      <c r="M1672" t="s">
        <v>3289</v>
      </c>
    </row>
    <row r="1673" spans="1:13" hidden="1" x14ac:dyDescent="0.25">
      <c r="A1673" s="24">
        <f t="shared" si="98"/>
        <v>20</v>
      </c>
      <c r="B1673" s="24">
        <v>9</v>
      </c>
      <c r="C1673" s="24">
        <v>56.55</v>
      </c>
      <c r="E1673" s="4">
        <v>405991</v>
      </c>
      <c r="F1673" s="2" t="s">
        <v>2</v>
      </c>
      <c r="G1673" s="2" t="str">
        <f t="shared" si="97"/>
        <v>https://www.oreht.ru/modules.php?name=orehtPriceLS&amp;op=Search&amp;page=1&amp;stext=405991</v>
      </c>
      <c r="I1673">
        <v>405991</v>
      </c>
      <c r="J1673" t="s">
        <v>2</v>
      </c>
      <c r="K1673" t="s">
        <v>4581</v>
      </c>
      <c r="L1673" t="s">
        <v>4582</v>
      </c>
      <c r="M1673" t="s">
        <v>4583</v>
      </c>
    </row>
    <row r="1674" spans="1:13" hidden="1" x14ac:dyDescent="0.25">
      <c r="A1674" s="24">
        <f t="shared" si="98"/>
        <v>20</v>
      </c>
      <c r="B1674" s="24">
        <v>9</v>
      </c>
      <c r="C1674" s="24">
        <v>56.95</v>
      </c>
      <c r="E1674" s="4">
        <v>333731</v>
      </c>
      <c r="F1674" s="2" t="s">
        <v>2</v>
      </c>
      <c r="G1674" s="2" t="str">
        <f t="shared" si="97"/>
        <v>https://www.oreht.ru/modules.php?name=orehtPriceLS&amp;op=Search&amp;page=1&amp;stext=333731</v>
      </c>
      <c r="I1674">
        <v>333731</v>
      </c>
      <c r="J1674" t="s">
        <v>2</v>
      </c>
      <c r="K1674" t="s">
        <v>4584</v>
      </c>
      <c r="L1674" t="s">
        <v>4585</v>
      </c>
      <c r="M1674" t="s">
        <v>4586</v>
      </c>
    </row>
    <row r="1675" spans="1:13" hidden="1" x14ac:dyDescent="0.25">
      <c r="A1675" s="24">
        <f t="shared" si="98"/>
        <v>20</v>
      </c>
      <c r="B1675" s="24">
        <v>10</v>
      </c>
      <c r="C1675" s="24">
        <v>185</v>
      </c>
      <c r="E1675" s="4">
        <v>93314</v>
      </c>
      <c r="F1675" s="2" t="s">
        <v>2</v>
      </c>
      <c r="G1675" s="2" t="str">
        <f t="shared" si="97"/>
        <v>https://www.oreht.ru/modules.php?name=orehtPriceLS&amp;op=Search&amp;page=1&amp;stext=93314</v>
      </c>
      <c r="I1675">
        <v>93314</v>
      </c>
      <c r="J1675" t="s">
        <v>2</v>
      </c>
      <c r="K1675" t="s">
        <v>4587</v>
      </c>
      <c r="L1675" t="s">
        <v>4588</v>
      </c>
      <c r="M1675" t="s">
        <v>4589</v>
      </c>
    </row>
    <row r="1676" spans="1:13" hidden="1" x14ac:dyDescent="0.25">
      <c r="A1676" s="24">
        <f t="shared" si="98"/>
        <v>20</v>
      </c>
      <c r="B1676" s="24">
        <v>9</v>
      </c>
      <c r="C1676" s="24">
        <v>57</v>
      </c>
      <c r="E1676" s="4">
        <v>225649</v>
      </c>
      <c r="F1676" s="2" t="s">
        <v>2</v>
      </c>
      <c r="G1676" s="2" t="str">
        <f t="shared" si="97"/>
        <v>https://www.oreht.ru/modules.php?name=orehtPriceLS&amp;op=Search&amp;page=1&amp;stext=225649</v>
      </c>
      <c r="I1676">
        <v>225649</v>
      </c>
      <c r="J1676" t="s">
        <v>2</v>
      </c>
      <c r="K1676" t="s">
        <v>4590</v>
      </c>
      <c r="L1676" t="s">
        <v>4591</v>
      </c>
      <c r="M1676" t="s">
        <v>4592</v>
      </c>
    </row>
    <row r="1677" spans="1:13" hidden="1" x14ac:dyDescent="0.25">
      <c r="A1677" s="24">
        <f t="shared" si="98"/>
        <v>20</v>
      </c>
      <c r="B1677" s="24">
        <v>12</v>
      </c>
      <c r="C1677" s="24">
        <v>160</v>
      </c>
      <c r="E1677" s="4">
        <v>256275</v>
      </c>
      <c r="F1677" s="2" t="s">
        <v>2</v>
      </c>
      <c r="G1677" s="2" t="str">
        <f t="shared" si="97"/>
        <v>https://www.oreht.ru/modules.php?name=orehtPriceLS&amp;op=Search&amp;page=1&amp;stext=256275</v>
      </c>
      <c r="I1677">
        <v>256275</v>
      </c>
      <c r="J1677" t="s">
        <v>2</v>
      </c>
      <c r="K1677" t="s">
        <v>4593</v>
      </c>
      <c r="L1677" t="s">
        <v>4594</v>
      </c>
      <c r="M1677" t="s">
        <v>4595</v>
      </c>
    </row>
    <row r="1678" spans="1:13" hidden="1" x14ac:dyDescent="0.25">
      <c r="A1678" s="24">
        <f t="shared" si="98"/>
        <v>20</v>
      </c>
      <c r="B1678" s="24">
        <v>9</v>
      </c>
      <c r="C1678" s="24">
        <v>57.05</v>
      </c>
      <c r="E1678" s="4">
        <v>313237</v>
      </c>
      <c r="F1678" s="2" t="s">
        <v>2</v>
      </c>
      <c r="G1678" s="2" t="str">
        <f t="shared" si="97"/>
        <v>https://www.oreht.ru/modules.php?name=orehtPriceLS&amp;op=Search&amp;page=1&amp;stext=313237</v>
      </c>
      <c r="I1678">
        <v>313237</v>
      </c>
      <c r="J1678" t="s">
        <v>2</v>
      </c>
      <c r="K1678" t="s">
        <v>4596</v>
      </c>
      <c r="L1678" t="s">
        <v>4597</v>
      </c>
      <c r="M1678" t="s">
        <v>4598</v>
      </c>
    </row>
    <row r="1679" spans="1:13" hidden="1" x14ac:dyDescent="0.25">
      <c r="A1679" s="24">
        <f t="shared" si="98"/>
        <v>20</v>
      </c>
      <c r="B1679" s="24">
        <v>9</v>
      </c>
      <c r="C1679" s="24">
        <v>69.66</v>
      </c>
      <c r="E1679" s="4">
        <v>365617</v>
      </c>
      <c r="F1679" s="2" t="s">
        <v>2</v>
      </c>
      <c r="G1679" s="2" t="str">
        <f t="shared" si="97"/>
        <v>https://www.oreht.ru/modules.php?name=orehtPriceLS&amp;op=Search&amp;page=1&amp;stext=365617</v>
      </c>
      <c r="I1679">
        <v>365617</v>
      </c>
      <c r="J1679" t="s">
        <v>2</v>
      </c>
      <c r="K1679" t="s">
        <v>4599</v>
      </c>
      <c r="L1679" t="s">
        <v>4600</v>
      </c>
      <c r="M1679" t="s">
        <v>4601</v>
      </c>
    </row>
    <row r="1680" spans="1:13" hidden="1" x14ac:dyDescent="0.25">
      <c r="A1680" s="24">
        <f t="shared" si="98"/>
        <v>20</v>
      </c>
      <c r="B1680" s="24">
        <v>12</v>
      </c>
      <c r="C1680" s="24">
        <v>79</v>
      </c>
      <c r="E1680" s="4">
        <v>409088</v>
      </c>
      <c r="F1680" s="2" t="s">
        <v>2</v>
      </c>
      <c r="G1680" s="2" t="str">
        <f t="shared" si="97"/>
        <v>https://www.oreht.ru/modules.php?name=orehtPriceLS&amp;op=Search&amp;page=1&amp;stext=409088</v>
      </c>
      <c r="I1680">
        <v>409088</v>
      </c>
      <c r="J1680" t="s">
        <v>2</v>
      </c>
      <c r="K1680" t="s">
        <v>4602</v>
      </c>
      <c r="L1680" t="s">
        <v>4603</v>
      </c>
      <c r="M1680" t="s">
        <v>3984</v>
      </c>
    </row>
    <row r="1681" spans="1:13" hidden="1" x14ac:dyDescent="0.25">
      <c r="A1681" s="24">
        <f t="shared" si="98"/>
        <v>20</v>
      </c>
      <c r="B1681" s="24">
        <v>12</v>
      </c>
      <c r="C1681" s="24">
        <v>79</v>
      </c>
      <c r="E1681" s="4">
        <v>339139</v>
      </c>
      <c r="F1681" s="2" t="s">
        <v>2</v>
      </c>
      <c r="G1681" s="2" t="str">
        <f t="shared" si="97"/>
        <v>https://www.oreht.ru/modules.php?name=orehtPriceLS&amp;op=Search&amp;page=1&amp;stext=339139</v>
      </c>
      <c r="I1681">
        <v>339139</v>
      </c>
      <c r="J1681" t="s">
        <v>2</v>
      </c>
      <c r="K1681" t="s">
        <v>4604</v>
      </c>
      <c r="L1681" t="s">
        <v>4605</v>
      </c>
      <c r="M1681" t="s">
        <v>4606</v>
      </c>
    </row>
    <row r="1682" spans="1:13" hidden="1" x14ac:dyDescent="0.25">
      <c r="A1682" s="24">
        <f t="shared" si="98"/>
        <v>20</v>
      </c>
      <c r="B1682" s="24">
        <v>9</v>
      </c>
      <c r="C1682" s="24">
        <v>57.25</v>
      </c>
      <c r="E1682" s="4">
        <v>421004</v>
      </c>
      <c r="F1682" s="2" t="s">
        <v>2</v>
      </c>
      <c r="G1682" s="2" t="str">
        <f t="shared" si="97"/>
        <v>https://www.oreht.ru/modules.php?name=orehtPriceLS&amp;op=Search&amp;page=1&amp;stext=421004</v>
      </c>
      <c r="I1682">
        <v>421004</v>
      </c>
      <c r="J1682" t="s">
        <v>2</v>
      </c>
      <c r="K1682" t="s">
        <v>4607</v>
      </c>
      <c r="L1682" t="s">
        <v>4608</v>
      </c>
      <c r="M1682" t="s">
        <v>4609</v>
      </c>
    </row>
    <row r="1683" spans="1:13" hidden="1" x14ac:dyDescent="0.25">
      <c r="A1683" s="24">
        <f t="shared" si="98"/>
        <v>20</v>
      </c>
      <c r="B1683" s="24">
        <v>9</v>
      </c>
      <c r="C1683" s="24">
        <v>57.75</v>
      </c>
      <c r="E1683" s="4">
        <v>452040</v>
      </c>
      <c r="F1683" s="2" t="s">
        <v>2</v>
      </c>
      <c r="G1683" s="2" t="str">
        <f t="shared" si="97"/>
        <v>https://www.oreht.ru/modules.php?name=orehtPriceLS&amp;op=Search&amp;page=1&amp;stext=452040</v>
      </c>
      <c r="I1683">
        <v>452040</v>
      </c>
      <c r="J1683" t="s">
        <v>2</v>
      </c>
      <c r="K1683" t="s">
        <v>4610</v>
      </c>
      <c r="L1683" t="s">
        <v>4611</v>
      </c>
      <c r="M1683" t="s">
        <v>4612</v>
      </c>
    </row>
    <row r="1684" spans="1:13" hidden="1" x14ac:dyDescent="0.25">
      <c r="A1684" s="24">
        <f t="shared" si="98"/>
        <v>20</v>
      </c>
      <c r="B1684" s="24">
        <v>9</v>
      </c>
      <c r="C1684" s="24">
        <v>57.75</v>
      </c>
      <c r="E1684" s="4">
        <v>452039</v>
      </c>
      <c r="F1684" s="2" t="s">
        <v>2</v>
      </c>
      <c r="G1684" s="2" t="str">
        <f t="shared" si="97"/>
        <v>https://www.oreht.ru/modules.php?name=orehtPriceLS&amp;op=Search&amp;page=1&amp;stext=452039</v>
      </c>
      <c r="I1684">
        <v>452039</v>
      </c>
      <c r="J1684" t="s">
        <v>2</v>
      </c>
      <c r="K1684" t="s">
        <v>4613</v>
      </c>
      <c r="L1684" t="s">
        <v>4614</v>
      </c>
      <c r="M1684" t="s">
        <v>4612</v>
      </c>
    </row>
    <row r="1685" spans="1:13" hidden="1" x14ac:dyDescent="0.25">
      <c r="A1685" s="24">
        <f t="shared" si="98"/>
        <v>20</v>
      </c>
      <c r="B1685" s="24">
        <v>15</v>
      </c>
      <c r="C1685" s="24">
        <v>74.94</v>
      </c>
      <c r="E1685" s="4">
        <v>276589</v>
      </c>
      <c r="F1685" s="2" t="s">
        <v>2</v>
      </c>
      <c r="G1685" s="2" t="str">
        <f t="shared" si="97"/>
        <v>https://www.oreht.ru/modules.php?name=orehtPriceLS&amp;op=Search&amp;page=1&amp;stext=276589</v>
      </c>
      <c r="I1685">
        <v>276589</v>
      </c>
      <c r="J1685" t="s">
        <v>2</v>
      </c>
      <c r="K1685" t="s">
        <v>4615</v>
      </c>
      <c r="L1685" t="s">
        <v>4616</v>
      </c>
      <c r="M1685" t="s">
        <v>2012</v>
      </c>
    </row>
    <row r="1686" spans="1:13" hidden="1" x14ac:dyDescent="0.25">
      <c r="A1686" s="24">
        <f t="shared" si="98"/>
        <v>20</v>
      </c>
      <c r="B1686" s="24">
        <v>9</v>
      </c>
      <c r="C1686" s="24">
        <v>70.44</v>
      </c>
      <c r="E1686" s="4">
        <v>321283</v>
      </c>
      <c r="F1686" s="2" t="s">
        <v>2</v>
      </c>
      <c r="G1686" s="2" t="str">
        <f t="shared" si="97"/>
        <v>https://www.oreht.ru/modules.php?name=orehtPriceLS&amp;op=Search&amp;page=1&amp;stext=321283</v>
      </c>
      <c r="I1686">
        <v>321283</v>
      </c>
      <c r="J1686" t="s">
        <v>2</v>
      </c>
      <c r="K1686" t="s">
        <v>4617</v>
      </c>
      <c r="L1686" t="s">
        <v>4618</v>
      </c>
      <c r="M1686" t="s">
        <v>2012</v>
      </c>
    </row>
    <row r="1687" spans="1:13" hidden="1" x14ac:dyDescent="0.25">
      <c r="A1687" s="24">
        <f t="shared" si="98"/>
        <v>20</v>
      </c>
      <c r="B1687" s="24">
        <v>9</v>
      </c>
      <c r="C1687" s="24">
        <v>57.95</v>
      </c>
      <c r="E1687" s="4">
        <v>234101</v>
      </c>
      <c r="F1687" s="2" t="s">
        <v>2</v>
      </c>
      <c r="G1687" s="2" t="str">
        <f t="shared" si="97"/>
        <v>https://www.oreht.ru/modules.php?name=orehtPriceLS&amp;op=Search&amp;page=1&amp;stext=234101</v>
      </c>
      <c r="I1687">
        <v>234101</v>
      </c>
      <c r="J1687" t="s">
        <v>2</v>
      </c>
      <c r="K1687" t="s">
        <v>4619</v>
      </c>
      <c r="L1687" t="s">
        <v>4620</v>
      </c>
      <c r="M1687" t="s">
        <v>2012</v>
      </c>
    </row>
    <row r="1688" spans="1:13" hidden="1" x14ac:dyDescent="0.25">
      <c r="A1688" s="24">
        <f t="shared" si="98"/>
        <v>20</v>
      </c>
      <c r="B1688" s="24">
        <v>12</v>
      </c>
      <c r="C1688" s="24">
        <v>67</v>
      </c>
      <c r="E1688" s="4">
        <v>256277</v>
      </c>
      <c r="F1688" s="2" t="s">
        <v>2</v>
      </c>
      <c r="G1688" s="2" t="str">
        <f t="shared" si="97"/>
        <v>https://www.oreht.ru/modules.php?name=orehtPriceLS&amp;op=Search&amp;page=1&amp;stext=256277</v>
      </c>
      <c r="I1688">
        <v>256277</v>
      </c>
      <c r="J1688" t="s">
        <v>2</v>
      </c>
      <c r="K1688" t="s">
        <v>4621</v>
      </c>
      <c r="L1688" t="s">
        <v>4622</v>
      </c>
      <c r="M1688" t="s">
        <v>3915</v>
      </c>
    </row>
    <row r="1689" spans="1:13" hidden="1" x14ac:dyDescent="0.25">
      <c r="A1689" s="24">
        <f t="shared" si="98"/>
        <v>20</v>
      </c>
      <c r="B1689" s="24">
        <v>12</v>
      </c>
      <c r="C1689" s="24">
        <v>49</v>
      </c>
      <c r="E1689" s="4">
        <v>271432</v>
      </c>
      <c r="F1689" s="2" t="s">
        <v>2</v>
      </c>
      <c r="G1689" s="2" t="str">
        <f t="shared" si="97"/>
        <v>https://www.oreht.ru/modules.php?name=orehtPriceLS&amp;op=Search&amp;page=1&amp;stext=271432</v>
      </c>
      <c r="I1689">
        <v>271432</v>
      </c>
      <c r="J1689" t="s">
        <v>2</v>
      </c>
      <c r="K1689" t="s">
        <v>4623</v>
      </c>
      <c r="L1689" t="s">
        <v>4624</v>
      </c>
      <c r="M1689" t="s">
        <v>4625</v>
      </c>
    </row>
    <row r="1690" spans="1:13" hidden="1" x14ac:dyDescent="0.25">
      <c r="A1690" s="24">
        <f t="shared" si="98"/>
        <v>20</v>
      </c>
      <c r="B1690" s="24">
        <v>9</v>
      </c>
      <c r="C1690" s="24">
        <v>79</v>
      </c>
      <c r="E1690" s="4">
        <v>450109</v>
      </c>
      <c r="F1690" s="2" t="s">
        <v>2</v>
      </c>
      <c r="G1690" s="2" t="str">
        <f t="shared" si="97"/>
        <v>https://www.oreht.ru/modules.php?name=orehtPriceLS&amp;op=Search&amp;page=1&amp;stext=450109</v>
      </c>
      <c r="I1690">
        <v>450109</v>
      </c>
      <c r="J1690" t="s">
        <v>2</v>
      </c>
      <c r="K1690" t="s">
        <v>4626</v>
      </c>
      <c r="L1690" t="s">
        <v>4627</v>
      </c>
      <c r="M1690" t="s">
        <v>3780</v>
      </c>
    </row>
    <row r="1691" spans="1:13" hidden="1" x14ac:dyDescent="0.25">
      <c r="A1691" s="24">
        <f t="shared" si="98"/>
        <v>20</v>
      </c>
      <c r="B1691" s="24">
        <v>9</v>
      </c>
      <c r="C1691" s="24">
        <v>58.05</v>
      </c>
      <c r="E1691" s="4">
        <v>347346</v>
      </c>
      <c r="F1691" s="2" t="s">
        <v>2</v>
      </c>
      <c r="G1691" s="2" t="str">
        <f t="shared" si="97"/>
        <v>https://www.oreht.ru/modules.php?name=orehtPriceLS&amp;op=Search&amp;page=1&amp;stext=347346</v>
      </c>
      <c r="I1691">
        <v>347346</v>
      </c>
      <c r="J1691" t="s">
        <v>2</v>
      </c>
      <c r="K1691" t="s">
        <v>4628</v>
      </c>
      <c r="L1691" t="s">
        <v>4629</v>
      </c>
      <c r="M1691" t="s">
        <v>3783</v>
      </c>
    </row>
    <row r="1692" spans="1:13" hidden="1" x14ac:dyDescent="0.25">
      <c r="A1692" s="24">
        <f t="shared" si="98"/>
        <v>20</v>
      </c>
      <c r="B1692" s="24">
        <v>12</v>
      </c>
      <c r="C1692" s="24">
        <v>61</v>
      </c>
      <c r="E1692" s="4">
        <v>258233</v>
      </c>
      <c r="F1692" s="2" t="s">
        <v>2</v>
      </c>
      <c r="G1692" s="2" t="str">
        <f t="shared" si="97"/>
        <v>https://www.oreht.ru/modules.php?name=orehtPriceLS&amp;op=Search&amp;page=1&amp;stext=258233</v>
      </c>
      <c r="I1692">
        <v>258233</v>
      </c>
      <c r="J1692" t="s">
        <v>2</v>
      </c>
      <c r="K1692" t="s">
        <v>4630</v>
      </c>
      <c r="L1692" t="s">
        <v>4631</v>
      </c>
      <c r="M1692" t="s">
        <v>4632</v>
      </c>
    </row>
    <row r="1693" spans="1:13" hidden="1" x14ac:dyDescent="0.25">
      <c r="A1693" s="24">
        <f t="shared" si="98"/>
        <v>20</v>
      </c>
      <c r="B1693" s="24">
        <v>12</v>
      </c>
      <c r="C1693" s="24">
        <v>42</v>
      </c>
      <c r="E1693" s="4">
        <v>258234</v>
      </c>
      <c r="F1693" s="2" t="s">
        <v>2</v>
      </c>
      <c r="G1693" s="2" t="str">
        <f t="shared" si="97"/>
        <v>https://www.oreht.ru/modules.php?name=orehtPriceLS&amp;op=Search&amp;page=1&amp;stext=258234</v>
      </c>
      <c r="I1693">
        <v>258234</v>
      </c>
      <c r="J1693" t="s">
        <v>2</v>
      </c>
      <c r="K1693" t="s">
        <v>4633</v>
      </c>
      <c r="L1693" t="s">
        <v>4634</v>
      </c>
      <c r="M1693" t="s">
        <v>4632</v>
      </c>
    </row>
    <row r="1694" spans="1:13" hidden="1" x14ac:dyDescent="0.25">
      <c r="A1694" s="24">
        <f t="shared" si="98"/>
        <v>20</v>
      </c>
      <c r="B1694" s="24">
        <v>12</v>
      </c>
      <c r="C1694" s="24">
        <v>42</v>
      </c>
      <c r="E1694" s="4">
        <v>271434</v>
      </c>
      <c r="F1694" s="2" t="s">
        <v>2</v>
      </c>
      <c r="G1694" s="2" t="str">
        <f t="shared" si="97"/>
        <v>https://www.oreht.ru/modules.php?name=orehtPriceLS&amp;op=Search&amp;page=1&amp;stext=271434</v>
      </c>
      <c r="I1694">
        <v>271434</v>
      </c>
      <c r="J1694" t="s">
        <v>2</v>
      </c>
      <c r="K1694" t="s">
        <v>4635</v>
      </c>
      <c r="L1694" t="s">
        <v>4636</v>
      </c>
      <c r="M1694" t="s">
        <v>4632</v>
      </c>
    </row>
    <row r="1695" spans="1:13" x14ac:dyDescent="0.25">
      <c r="A1695" s="24">
        <f t="shared" si="98"/>
        <v>20</v>
      </c>
      <c r="B1695" s="24">
        <v>7</v>
      </c>
      <c r="C1695" s="24">
        <v>55.1</v>
      </c>
      <c r="E1695" s="4">
        <v>387234</v>
      </c>
      <c r="F1695" s="2" t="s">
        <v>2</v>
      </c>
      <c r="G1695" s="2" t="str">
        <f t="shared" si="97"/>
        <v>https://www.oreht.ru/modules.php?name=orehtPriceLS&amp;op=Search&amp;page=1&amp;stext=387234</v>
      </c>
      <c r="I1695">
        <v>387234</v>
      </c>
      <c r="J1695" t="s">
        <v>2</v>
      </c>
      <c r="K1695" t="s">
        <v>4637</v>
      </c>
      <c r="L1695" t="s">
        <v>4638</v>
      </c>
      <c r="M1695" t="s">
        <v>649</v>
      </c>
    </row>
    <row r="1696" spans="1:13" x14ac:dyDescent="0.25">
      <c r="A1696" s="24">
        <f t="shared" si="98"/>
        <v>20</v>
      </c>
      <c r="B1696" s="24">
        <v>7</v>
      </c>
      <c r="C1696" s="24">
        <v>55.1</v>
      </c>
      <c r="E1696" s="4">
        <v>387236</v>
      </c>
      <c r="F1696" s="2" t="s">
        <v>2</v>
      </c>
      <c r="G1696" s="2" t="str">
        <f t="shared" si="97"/>
        <v>https://www.oreht.ru/modules.php?name=orehtPriceLS&amp;op=Search&amp;page=1&amp;stext=387236</v>
      </c>
      <c r="I1696">
        <v>387236</v>
      </c>
      <c r="J1696" t="s">
        <v>2</v>
      </c>
      <c r="K1696" t="s">
        <v>4639</v>
      </c>
      <c r="L1696" t="s">
        <v>4640</v>
      </c>
      <c r="M1696" t="s">
        <v>649</v>
      </c>
    </row>
    <row r="1697" spans="1:13" hidden="1" x14ac:dyDescent="0.25">
      <c r="A1697" s="24">
        <f t="shared" si="98"/>
        <v>20</v>
      </c>
      <c r="B1697" s="24">
        <v>10</v>
      </c>
      <c r="C1697" s="24">
        <v>41.4</v>
      </c>
      <c r="E1697" s="4">
        <v>420496</v>
      </c>
      <c r="F1697" s="2" t="s">
        <v>2</v>
      </c>
      <c r="G1697" s="2" t="str">
        <f t="shared" si="97"/>
        <v>https://www.oreht.ru/modules.php?name=orehtPriceLS&amp;op=Search&amp;page=1&amp;stext=420496</v>
      </c>
      <c r="I1697">
        <v>420496</v>
      </c>
      <c r="J1697" t="s">
        <v>2</v>
      </c>
      <c r="K1697" t="s">
        <v>4641</v>
      </c>
      <c r="L1697" t="s">
        <v>4642</v>
      </c>
      <c r="M1697" t="s">
        <v>4217</v>
      </c>
    </row>
    <row r="1698" spans="1:13" hidden="1" x14ac:dyDescent="0.25">
      <c r="A1698" s="24">
        <f t="shared" si="98"/>
        <v>20</v>
      </c>
      <c r="B1698" s="24">
        <v>9</v>
      </c>
      <c r="C1698" s="24">
        <v>58.45</v>
      </c>
      <c r="E1698" s="4">
        <v>283237</v>
      </c>
      <c r="F1698" s="2" t="s">
        <v>2</v>
      </c>
      <c r="G1698" s="2" t="str">
        <f t="shared" si="97"/>
        <v>https://www.oreht.ru/modules.php?name=orehtPriceLS&amp;op=Search&amp;page=1&amp;stext=283237</v>
      </c>
      <c r="I1698">
        <v>283237</v>
      </c>
      <c r="J1698" t="s">
        <v>2</v>
      </c>
      <c r="K1698" t="s">
        <v>4643</v>
      </c>
      <c r="L1698" t="s">
        <v>4644</v>
      </c>
      <c r="M1698" t="s">
        <v>4645</v>
      </c>
    </row>
    <row r="1699" spans="1:13" hidden="1" x14ac:dyDescent="0.25">
      <c r="A1699" s="24">
        <f t="shared" si="98"/>
        <v>20</v>
      </c>
      <c r="B1699" s="24">
        <v>9</v>
      </c>
      <c r="C1699" s="24">
        <v>71.52</v>
      </c>
      <c r="E1699" s="4">
        <v>381744</v>
      </c>
      <c r="F1699" s="2" t="s">
        <v>2</v>
      </c>
      <c r="G1699" s="2" t="str">
        <f t="shared" si="97"/>
        <v>https://www.oreht.ru/modules.php?name=orehtPriceLS&amp;op=Search&amp;page=1&amp;stext=381744</v>
      </c>
      <c r="I1699">
        <v>381744</v>
      </c>
      <c r="J1699" t="s">
        <v>2</v>
      </c>
      <c r="K1699" t="s">
        <v>4646</v>
      </c>
      <c r="L1699" t="s">
        <v>4647</v>
      </c>
      <c r="M1699" t="s">
        <v>4645</v>
      </c>
    </row>
    <row r="1700" spans="1:13" hidden="1" x14ac:dyDescent="0.25">
      <c r="A1700" s="24">
        <f t="shared" si="98"/>
        <v>20</v>
      </c>
      <c r="B1700" s="24">
        <v>9</v>
      </c>
      <c r="C1700" s="24">
        <v>58.75</v>
      </c>
      <c r="E1700" s="4">
        <v>402028</v>
      </c>
      <c r="F1700" s="2" t="s">
        <v>2</v>
      </c>
      <c r="G1700" s="2" t="str">
        <f t="shared" si="97"/>
        <v>https://www.oreht.ru/modules.php?name=orehtPriceLS&amp;op=Search&amp;page=1&amp;stext=402028</v>
      </c>
      <c r="I1700">
        <v>402028</v>
      </c>
      <c r="J1700" t="s">
        <v>2</v>
      </c>
      <c r="K1700" t="s">
        <v>4648</v>
      </c>
      <c r="L1700" t="s">
        <v>4649</v>
      </c>
      <c r="M1700" t="s">
        <v>4650</v>
      </c>
    </row>
    <row r="1701" spans="1:13" hidden="1" x14ac:dyDescent="0.25">
      <c r="A1701" s="24">
        <f t="shared" si="98"/>
        <v>20</v>
      </c>
      <c r="B1701" s="24">
        <v>8</v>
      </c>
      <c r="C1701" s="24">
        <v>525</v>
      </c>
      <c r="E1701" s="4">
        <v>271738</v>
      </c>
      <c r="F1701" s="2" t="s">
        <v>2</v>
      </c>
      <c r="G1701" s="2" t="str">
        <f t="shared" si="97"/>
        <v>https://www.oreht.ru/modules.php?name=orehtPriceLS&amp;op=Search&amp;page=1&amp;stext=271738</v>
      </c>
      <c r="I1701">
        <v>271738</v>
      </c>
      <c r="J1701" t="s">
        <v>2</v>
      </c>
      <c r="K1701" t="s">
        <v>4651</v>
      </c>
      <c r="L1701" t="s">
        <v>4652</v>
      </c>
      <c r="M1701" t="s">
        <v>1387</v>
      </c>
    </row>
    <row r="1702" spans="1:13" hidden="1" x14ac:dyDescent="0.25">
      <c r="A1702" s="24">
        <f t="shared" si="98"/>
        <v>20</v>
      </c>
      <c r="B1702" s="24">
        <v>10</v>
      </c>
      <c r="C1702" s="24">
        <v>41</v>
      </c>
      <c r="E1702" s="4">
        <v>177074</v>
      </c>
      <c r="F1702" s="2" t="s">
        <v>2</v>
      </c>
      <c r="G1702" s="2" t="str">
        <f t="shared" si="97"/>
        <v>https://www.oreht.ru/modules.php?name=orehtPriceLS&amp;op=Search&amp;page=1&amp;stext=177074</v>
      </c>
      <c r="I1702">
        <v>177074</v>
      </c>
      <c r="J1702" t="s">
        <v>2</v>
      </c>
      <c r="K1702" t="s">
        <v>4653</v>
      </c>
      <c r="L1702" t="s">
        <v>4654</v>
      </c>
      <c r="M1702" t="s">
        <v>4655</v>
      </c>
    </row>
    <row r="1703" spans="1:13" hidden="1" x14ac:dyDescent="0.25">
      <c r="A1703" s="24">
        <f t="shared" si="98"/>
        <v>20</v>
      </c>
      <c r="B1703" s="24">
        <v>8</v>
      </c>
      <c r="C1703" s="24">
        <v>67</v>
      </c>
      <c r="E1703" s="4">
        <v>426005</v>
      </c>
      <c r="F1703" s="2" t="s">
        <v>2</v>
      </c>
      <c r="G1703" s="2" t="str">
        <f t="shared" si="97"/>
        <v>https://www.oreht.ru/modules.php?name=orehtPriceLS&amp;op=Search&amp;page=1&amp;stext=426005</v>
      </c>
      <c r="I1703">
        <v>426005</v>
      </c>
      <c r="J1703" t="s">
        <v>2</v>
      </c>
      <c r="K1703" t="s">
        <v>4656</v>
      </c>
      <c r="L1703" t="s">
        <v>4657</v>
      </c>
      <c r="M1703" t="s">
        <v>4264</v>
      </c>
    </row>
    <row r="1704" spans="1:13" hidden="1" x14ac:dyDescent="0.25">
      <c r="A1704" s="24">
        <f t="shared" si="98"/>
        <v>20</v>
      </c>
      <c r="B1704" s="24">
        <v>8</v>
      </c>
      <c r="C1704" s="24">
        <v>63</v>
      </c>
      <c r="E1704" s="4">
        <v>293652</v>
      </c>
      <c r="F1704" s="2" t="s">
        <v>2</v>
      </c>
      <c r="G1704" s="2" t="str">
        <f t="shared" si="97"/>
        <v>https://www.oreht.ru/modules.php?name=orehtPriceLS&amp;op=Search&amp;page=1&amp;stext=293652</v>
      </c>
      <c r="I1704">
        <v>293652</v>
      </c>
      <c r="J1704" t="s">
        <v>2</v>
      </c>
      <c r="K1704" t="s">
        <v>4658</v>
      </c>
      <c r="L1704" t="s">
        <v>4659</v>
      </c>
      <c r="M1704" t="s">
        <v>4660</v>
      </c>
    </row>
    <row r="1705" spans="1:13" hidden="1" x14ac:dyDescent="0.25">
      <c r="A1705" s="24">
        <f t="shared" si="98"/>
        <v>20</v>
      </c>
      <c r="B1705" s="24">
        <v>9</v>
      </c>
      <c r="C1705" s="24">
        <v>71.819999999999993</v>
      </c>
      <c r="E1705" s="4">
        <v>381743</v>
      </c>
      <c r="F1705" s="2" t="s">
        <v>2</v>
      </c>
      <c r="G1705" s="2" t="str">
        <f t="shared" si="97"/>
        <v>https://www.oreht.ru/modules.php?name=orehtPriceLS&amp;op=Search&amp;page=1&amp;stext=381743</v>
      </c>
      <c r="I1705">
        <v>381743</v>
      </c>
      <c r="J1705" t="s">
        <v>2</v>
      </c>
      <c r="K1705" t="s">
        <v>4661</v>
      </c>
      <c r="L1705" t="s">
        <v>4662</v>
      </c>
      <c r="M1705" t="s">
        <v>4650</v>
      </c>
    </row>
    <row r="1706" spans="1:13" hidden="1" x14ac:dyDescent="0.25">
      <c r="A1706" s="24">
        <f t="shared" si="98"/>
        <v>20</v>
      </c>
      <c r="B1706" s="24">
        <v>8</v>
      </c>
      <c r="C1706" s="24">
        <v>79</v>
      </c>
      <c r="E1706" s="4">
        <v>293653</v>
      </c>
      <c r="F1706" s="2" t="s">
        <v>2</v>
      </c>
      <c r="G1706" s="2" t="str">
        <f t="shared" si="97"/>
        <v>https://www.oreht.ru/modules.php?name=orehtPriceLS&amp;op=Search&amp;page=1&amp;stext=293653</v>
      </c>
      <c r="I1706">
        <v>293653</v>
      </c>
      <c r="J1706" t="s">
        <v>2</v>
      </c>
      <c r="K1706" t="s">
        <v>4663</v>
      </c>
      <c r="L1706" t="s">
        <v>4664</v>
      </c>
      <c r="M1706" t="s">
        <v>4660</v>
      </c>
    </row>
    <row r="1707" spans="1:13" hidden="1" x14ac:dyDescent="0.25">
      <c r="A1707" s="24">
        <f t="shared" si="98"/>
        <v>20</v>
      </c>
      <c r="B1707" s="24">
        <v>10</v>
      </c>
      <c r="C1707" s="24">
        <v>41</v>
      </c>
      <c r="E1707" s="4">
        <v>93133</v>
      </c>
      <c r="F1707" s="2" t="s">
        <v>2</v>
      </c>
      <c r="G1707" s="2" t="str">
        <f t="shared" si="97"/>
        <v>https://www.oreht.ru/modules.php?name=orehtPriceLS&amp;op=Search&amp;page=1&amp;stext=93133</v>
      </c>
      <c r="I1707">
        <v>93133</v>
      </c>
      <c r="J1707" t="s">
        <v>2</v>
      </c>
      <c r="K1707" t="s">
        <v>4665</v>
      </c>
      <c r="L1707" t="s">
        <v>4666</v>
      </c>
      <c r="M1707" t="s">
        <v>4667</v>
      </c>
    </row>
    <row r="1708" spans="1:13" hidden="1" x14ac:dyDescent="0.25">
      <c r="A1708" s="24">
        <f t="shared" si="98"/>
        <v>20</v>
      </c>
      <c r="B1708" s="24">
        <v>8</v>
      </c>
      <c r="C1708" s="24">
        <v>56.75</v>
      </c>
      <c r="E1708" s="4">
        <v>369972</v>
      </c>
      <c r="F1708" s="2" t="s">
        <v>2</v>
      </c>
      <c r="G1708" s="2" t="str">
        <f t="shared" si="97"/>
        <v>https://www.oreht.ru/modules.php?name=orehtPriceLS&amp;op=Search&amp;page=1&amp;stext=369972</v>
      </c>
      <c r="I1708">
        <v>369972</v>
      </c>
      <c r="J1708" t="s">
        <v>2</v>
      </c>
      <c r="K1708" t="s">
        <v>4668</v>
      </c>
      <c r="L1708" t="s">
        <v>4669</v>
      </c>
      <c r="M1708" t="s">
        <v>4670</v>
      </c>
    </row>
    <row r="1709" spans="1:13" hidden="1" x14ac:dyDescent="0.25">
      <c r="A1709" s="24">
        <f t="shared" si="98"/>
        <v>20</v>
      </c>
      <c r="B1709" s="24">
        <v>8</v>
      </c>
      <c r="C1709" s="24">
        <v>160</v>
      </c>
      <c r="E1709" s="4">
        <v>426006</v>
      </c>
      <c r="F1709" s="2" t="s">
        <v>2</v>
      </c>
      <c r="G1709" s="2" t="str">
        <f t="shared" si="97"/>
        <v>https://www.oreht.ru/modules.php?name=orehtPriceLS&amp;op=Search&amp;page=1&amp;stext=426006</v>
      </c>
      <c r="I1709">
        <v>426006</v>
      </c>
      <c r="J1709" t="s">
        <v>2</v>
      </c>
      <c r="K1709" t="s">
        <v>4671</v>
      </c>
      <c r="L1709" t="s">
        <v>4672</v>
      </c>
      <c r="M1709" t="s">
        <v>4673</v>
      </c>
    </row>
    <row r="1710" spans="1:13" hidden="1" x14ac:dyDescent="0.25">
      <c r="A1710" s="24">
        <f t="shared" si="98"/>
        <v>20</v>
      </c>
      <c r="B1710" s="24">
        <v>8</v>
      </c>
      <c r="C1710" s="24">
        <v>210</v>
      </c>
      <c r="E1710" s="4">
        <v>380957</v>
      </c>
      <c r="F1710" s="2" t="s">
        <v>2</v>
      </c>
      <c r="G1710" s="2" t="str">
        <f t="shared" si="97"/>
        <v>https://www.oreht.ru/modules.php?name=orehtPriceLS&amp;op=Search&amp;page=1&amp;stext=380957</v>
      </c>
      <c r="I1710">
        <v>380957</v>
      </c>
      <c r="J1710" t="s">
        <v>2</v>
      </c>
      <c r="K1710" t="s">
        <v>4674</v>
      </c>
      <c r="L1710" t="s">
        <v>4675</v>
      </c>
      <c r="M1710" t="s">
        <v>4006</v>
      </c>
    </row>
    <row r="1711" spans="1:13" hidden="1" x14ac:dyDescent="0.25">
      <c r="A1711" s="24">
        <f t="shared" si="98"/>
        <v>20</v>
      </c>
      <c r="B1711" s="24">
        <v>8</v>
      </c>
      <c r="C1711" s="24">
        <v>120</v>
      </c>
      <c r="E1711" s="4">
        <v>426037</v>
      </c>
      <c r="F1711" s="2" t="s">
        <v>2</v>
      </c>
      <c r="G1711" s="2" t="str">
        <f t="shared" si="97"/>
        <v>https://www.oreht.ru/modules.php?name=orehtPriceLS&amp;op=Search&amp;page=1&amp;stext=426037</v>
      </c>
      <c r="I1711">
        <v>426037</v>
      </c>
      <c r="J1711" t="s">
        <v>2</v>
      </c>
      <c r="K1711" t="s">
        <v>4676</v>
      </c>
      <c r="L1711" t="s">
        <v>4677</v>
      </c>
      <c r="M1711" t="s">
        <v>4678</v>
      </c>
    </row>
    <row r="1712" spans="1:13" hidden="1" x14ac:dyDescent="0.25">
      <c r="A1712" s="24">
        <f t="shared" si="98"/>
        <v>20</v>
      </c>
      <c r="B1712" s="24">
        <v>10</v>
      </c>
      <c r="C1712" s="24">
        <v>41</v>
      </c>
      <c r="E1712" s="4">
        <v>93117</v>
      </c>
      <c r="F1712" s="2" t="s">
        <v>2</v>
      </c>
      <c r="G1712" s="2" t="str">
        <f t="shared" si="97"/>
        <v>https://www.oreht.ru/modules.php?name=orehtPriceLS&amp;op=Search&amp;page=1&amp;stext=93117</v>
      </c>
      <c r="I1712">
        <v>93117</v>
      </c>
      <c r="J1712" t="s">
        <v>2</v>
      </c>
      <c r="K1712" t="s">
        <v>4679</v>
      </c>
      <c r="L1712" t="s">
        <v>4680</v>
      </c>
      <c r="M1712" t="s">
        <v>819</v>
      </c>
    </row>
    <row r="1713" spans="1:13" hidden="1" x14ac:dyDescent="0.25">
      <c r="A1713" s="24">
        <f t="shared" si="98"/>
        <v>20</v>
      </c>
      <c r="B1713" s="24">
        <v>12</v>
      </c>
      <c r="C1713" s="24">
        <v>135</v>
      </c>
      <c r="E1713" s="4">
        <v>318243</v>
      </c>
      <c r="F1713" s="2" t="s">
        <v>2</v>
      </c>
      <c r="G1713" s="2" t="str">
        <f t="shared" si="97"/>
        <v>https://www.oreht.ru/modules.php?name=orehtPriceLS&amp;op=Search&amp;page=1&amp;stext=318243</v>
      </c>
      <c r="I1713">
        <v>318243</v>
      </c>
      <c r="J1713" t="s">
        <v>2</v>
      </c>
      <c r="K1713" t="s">
        <v>4681</v>
      </c>
      <c r="L1713" t="s">
        <v>4682</v>
      </c>
      <c r="M1713" t="s">
        <v>740</v>
      </c>
    </row>
    <row r="1714" spans="1:13" hidden="1" x14ac:dyDescent="0.25">
      <c r="A1714" s="24">
        <f t="shared" si="98"/>
        <v>20</v>
      </c>
      <c r="B1714" s="24">
        <v>12</v>
      </c>
      <c r="C1714" s="24">
        <v>100</v>
      </c>
      <c r="E1714" s="4">
        <v>92544</v>
      </c>
      <c r="F1714" s="2" t="s">
        <v>2</v>
      </c>
      <c r="G1714" s="2" t="str">
        <f t="shared" si="97"/>
        <v>https://www.oreht.ru/modules.php?name=orehtPriceLS&amp;op=Search&amp;page=1&amp;stext=92544</v>
      </c>
      <c r="I1714">
        <v>92544</v>
      </c>
      <c r="J1714" t="s">
        <v>2</v>
      </c>
      <c r="K1714" t="s">
        <v>4683</v>
      </c>
      <c r="L1714" t="s">
        <v>4684</v>
      </c>
      <c r="M1714" t="s">
        <v>4685</v>
      </c>
    </row>
    <row r="1715" spans="1:13" hidden="1" x14ac:dyDescent="0.25">
      <c r="A1715" s="24">
        <f t="shared" si="98"/>
        <v>20</v>
      </c>
      <c r="B1715" s="24">
        <v>10</v>
      </c>
      <c r="C1715" s="24">
        <v>79</v>
      </c>
      <c r="E1715" s="4">
        <v>160565</v>
      </c>
      <c r="F1715" s="2" t="s">
        <v>2</v>
      </c>
      <c r="G1715" s="2" t="str">
        <f t="shared" si="97"/>
        <v>https://www.oreht.ru/modules.php?name=orehtPriceLS&amp;op=Search&amp;page=1&amp;stext=160565</v>
      </c>
      <c r="I1715">
        <v>160565</v>
      </c>
      <c r="J1715" t="s">
        <v>2</v>
      </c>
      <c r="K1715" t="s">
        <v>4686</v>
      </c>
      <c r="L1715" t="s">
        <v>4687</v>
      </c>
      <c r="M1715" t="s">
        <v>4226</v>
      </c>
    </row>
    <row r="1716" spans="1:13" hidden="1" x14ac:dyDescent="0.25">
      <c r="A1716" s="24">
        <f t="shared" si="98"/>
        <v>20</v>
      </c>
      <c r="B1716" s="24">
        <v>12</v>
      </c>
      <c r="C1716" s="24">
        <v>120</v>
      </c>
      <c r="E1716" s="4">
        <v>189957</v>
      </c>
      <c r="F1716" s="2" t="s">
        <v>2</v>
      </c>
      <c r="G1716" s="2" t="str">
        <f t="shared" si="97"/>
        <v>https://www.oreht.ru/modules.php?name=orehtPriceLS&amp;op=Search&amp;page=1&amp;stext=189957</v>
      </c>
      <c r="I1716">
        <v>189957</v>
      </c>
      <c r="J1716" t="s">
        <v>2</v>
      </c>
      <c r="K1716" t="s">
        <v>4688</v>
      </c>
      <c r="L1716" t="s">
        <v>4689</v>
      </c>
      <c r="M1716" t="s">
        <v>4690</v>
      </c>
    </row>
    <row r="1717" spans="1:13" hidden="1" x14ac:dyDescent="0.25">
      <c r="A1717" s="24">
        <f t="shared" si="98"/>
        <v>20</v>
      </c>
      <c r="B1717" s="24">
        <v>12</v>
      </c>
      <c r="C1717" s="24">
        <v>120</v>
      </c>
      <c r="E1717" s="4">
        <v>311911</v>
      </c>
      <c r="F1717" s="2" t="s">
        <v>2</v>
      </c>
      <c r="G1717" s="2" t="str">
        <f t="shared" si="97"/>
        <v>https://www.oreht.ru/modules.php?name=orehtPriceLS&amp;op=Search&amp;page=1&amp;stext=311911</v>
      </c>
      <c r="I1717">
        <v>311911</v>
      </c>
      <c r="J1717" t="s">
        <v>2</v>
      </c>
      <c r="K1717" t="s">
        <v>4691</v>
      </c>
      <c r="L1717" t="s">
        <v>4692</v>
      </c>
      <c r="M1717" t="s">
        <v>4693</v>
      </c>
    </row>
    <row r="1718" spans="1:13" hidden="1" x14ac:dyDescent="0.25">
      <c r="A1718" s="24">
        <f t="shared" si="98"/>
        <v>20</v>
      </c>
      <c r="B1718" s="24">
        <v>12</v>
      </c>
      <c r="C1718" s="24">
        <v>120</v>
      </c>
      <c r="E1718" s="4">
        <v>189958</v>
      </c>
      <c r="F1718" s="2" t="s">
        <v>2</v>
      </c>
      <c r="G1718" s="2" t="str">
        <f t="shared" si="97"/>
        <v>https://www.oreht.ru/modules.php?name=orehtPriceLS&amp;op=Search&amp;page=1&amp;stext=189958</v>
      </c>
      <c r="I1718">
        <v>189958</v>
      </c>
      <c r="J1718" t="s">
        <v>2</v>
      </c>
      <c r="K1718" t="s">
        <v>4694</v>
      </c>
      <c r="L1718" t="s">
        <v>4695</v>
      </c>
      <c r="M1718" t="s">
        <v>4696</v>
      </c>
    </row>
    <row r="1719" spans="1:13" hidden="1" x14ac:dyDescent="0.25">
      <c r="A1719" s="24">
        <f t="shared" si="98"/>
        <v>20</v>
      </c>
      <c r="B1719" s="24">
        <v>12</v>
      </c>
      <c r="C1719" s="24">
        <v>120</v>
      </c>
      <c r="E1719" s="4">
        <v>203317</v>
      </c>
      <c r="F1719" s="2" t="s">
        <v>2</v>
      </c>
      <c r="G1719" s="2" t="str">
        <f t="shared" si="97"/>
        <v>https://www.oreht.ru/modules.php?name=orehtPriceLS&amp;op=Search&amp;page=1&amp;stext=203317</v>
      </c>
      <c r="I1719">
        <v>203317</v>
      </c>
      <c r="J1719" t="s">
        <v>2</v>
      </c>
      <c r="K1719" t="s">
        <v>4697</v>
      </c>
      <c r="L1719" t="s">
        <v>4698</v>
      </c>
      <c r="M1719" t="s">
        <v>4699</v>
      </c>
    </row>
    <row r="1720" spans="1:13" hidden="1" x14ac:dyDescent="0.25">
      <c r="A1720" s="24">
        <f t="shared" si="98"/>
        <v>20</v>
      </c>
      <c r="B1720" s="24">
        <v>12</v>
      </c>
      <c r="C1720" s="24">
        <v>40</v>
      </c>
      <c r="E1720" s="4">
        <v>143586</v>
      </c>
      <c r="F1720" s="2" t="s">
        <v>2</v>
      </c>
      <c r="G1720" s="2" t="str">
        <f t="shared" si="97"/>
        <v>https://www.oreht.ru/modules.php?name=orehtPriceLS&amp;op=Search&amp;page=1&amp;stext=143586</v>
      </c>
      <c r="I1720">
        <v>143586</v>
      </c>
      <c r="J1720" t="s">
        <v>2</v>
      </c>
      <c r="K1720" t="s">
        <v>4700</v>
      </c>
      <c r="L1720" t="s">
        <v>4701</v>
      </c>
      <c r="M1720" t="s">
        <v>3860</v>
      </c>
    </row>
    <row r="1721" spans="1:13" hidden="1" x14ac:dyDescent="0.25">
      <c r="A1721" s="24">
        <f t="shared" si="98"/>
        <v>20</v>
      </c>
      <c r="B1721" s="24">
        <v>12</v>
      </c>
      <c r="C1721" s="24">
        <v>43</v>
      </c>
      <c r="E1721" s="4">
        <v>227350</v>
      </c>
      <c r="F1721" s="2" t="s">
        <v>2</v>
      </c>
      <c r="G1721" s="2" t="str">
        <f t="shared" si="97"/>
        <v>https://www.oreht.ru/modules.php?name=orehtPriceLS&amp;op=Search&amp;page=1&amp;stext=227350</v>
      </c>
      <c r="I1721">
        <v>227350</v>
      </c>
      <c r="J1721" t="s">
        <v>2</v>
      </c>
      <c r="K1721" t="s">
        <v>4702</v>
      </c>
      <c r="L1721" t="s">
        <v>4703</v>
      </c>
      <c r="M1721" t="s">
        <v>819</v>
      </c>
    </row>
    <row r="1722" spans="1:13" x14ac:dyDescent="0.25">
      <c r="A1722" s="24">
        <f t="shared" si="98"/>
        <v>20</v>
      </c>
      <c r="B1722" s="24">
        <v>12</v>
      </c>
      <c r="C1722" s="24">
        <v>41</v>
      </c>
      <c r="E1722" s="4">
        <v>357650</v>
      </c>
      <c r="F1722" s="2" t="s">
        <v>2</v>
      </c>
      <c r="G1722" s="2" t="str">
        <f t="shared" si="97"/>
        <v>https://www.oreht.ru/modules.php?name=orehtPriceLS&amp;op=Search&amp;page=1&amp;stext=357650</v>
      </c>
      <c r="I1722">
        <v>357650</v>
      </c>
      <c r="J1722" t="s">
        <v>2</v>
      </c>
      <c r="K1722" t="s">
        <v>4704</v>
      </c>
    </row>
    <row r="1723" spans="1:13" hidden="1" x14ac:dyDescent="0.25">
      <c r="A1723" s="24">
        <f t="shared" si="98"/>
        <v>20</v>
      </c>
      <c r="B1723" s="24">
        <v>12</v>
      </c>
      <c r="C1723" s="24">
        <v>42</v>
      </c>
      <c r="E1723" s="4">
        <v>195201</v>
      </c>
      <c r="F1723" s="2" t="s">
        <v>2</v>
      </c>
      <c r="G1723" s="2" t="str">
        <f t="shared" si="97"/>
        <v>https://www.oreht.ru/modules.php?name=orehtPriceLS&amp;op=Search&amp;page=1&amp;stext=195201</v>
      </c>
      <c r="I1723">
        <v>195201</v>
      </c>
      <c r="J1723" t="s">
        <v>2</v>
      </c>
      <c r="K1723" t="s">
        <v>4705</v>
      </c>
      <c r="L1723" t="s">
        <v>4706</v>
      </c>
      <c r="M1723" t="s">
        <v>4240</v>
      </c>
    </row>
    <row r="1724" spans="1:13" hidden="1" x14ac:dyDescent="0.25">
      <c r="A1724" s="24">
        <f t="shared" si="98"/>
        <v>20</v>
      </c>
      <c r="B1724" s="24">
        <v>12</v>
      </c>
      <c r="C1724" s="24">
        <v>42</v>
      </c>
      <c r="E1724" s="4">
        <v>187395</v>
      </c>
      <c r="F1724" s="2" t="s">
        <v>2</v>
      </c>
      <c r="G1724" s="2" t="str">
        <f t="shared" si="97"/>
        <v>https://www.oreht.ru/modules.php?name=orehtPriceLS&amp;op=Search&amp;page=1&amp;stext=187395</v>
      </c>
      <c r="I1724">
        <v>187395</v>
      </c>
      <c r="J1724" t="s">
        <v>2</v>
      </c>
      <c r="K1724" t="s">
        <v>4707</v>
      </c>
      <c r="L1724" t="s">
        <v>4708</v>
      </c>
      <c r="M1724" t="s">
        <v>4250</v>
      </c>
    </row>
    <row r="1725" spans="1:13" hidden="1" x14ac:dyDescent="0.25">
      <c r="A1725" s="24">
        <f t="shared" si="98"/>
        <v>20</v>
      </c>
      <c r="B1725" s="24">
        <v>12</v>
      </c>
      <c r="C1725" s="24">
        <v>67</v>
      </c>
      <c r="E1725" s="4">
        <v>258223</v>
      </c>
      <c r="F1725" s="2" t="s">
        <v>2</v>
      </c>
      <c r="G1725" s="2" t="str">
        <f t="shared" si="97"/>
        <v>https://www.oreht.ru/modules.php?name=orehtPriceLS&amp;op=Search&amp;page=1&amp;stext=258223</v>
      </c>
      <c r="I1725">
        <v>258223</v>
      </c>
      <c r="J1725" t="s">
        <v>2</v>
      </c>
      <c r="K1725" t="s">
        <v>4709</v>
      </c>
      <c r="L1725" t="s">
        <v>4710</v>
      </c>
      <c r="M1725" t="s">
        <v>3559</v>
      </c>
    </row>
    <row r="1726" spans="1:13" hidden="1" x14ac:dyDescent="0.25">
      <c r="A1726" s="24">
        <f t="shared" si="98"/>
        <v>20</v>
      </c>
      <c r="B1726" s="24">
        <v>12</v>
      </c>
      <c r="C1726" s="24">
        <v>42</v>
      </c>
      <c r="E1726" s="4">
        <v>258224</v>
      </c>
      <c r="F1726" s="2" t="s">
        <v>2</v>
      </c>
      <c r="G1726" s="2" t="str">
        <f t="shared" si="97"/>
        <v>https://www.oreht.ru/modules.php?name=orehtPriceLS&amp;op=Search&amp;page=1&amp;stext=258224</v>
      </c>
      <c r="I1726">
        <v>258224</v>
      </c>
      <c r="J1726" t="s">
        <v>2</v>
      </c>
      <c r="K1726" t="s">
        <v>4711</v>
      </c>
      <c r="L1726" t="s">
        <v>4712</v>
      </c>
      <c r="M1726" t="s">
        <v>3559</v>
      </c>
    </row>
    <row r="1727" spans="1:13" hidden="1" x14ac:dyDescent="0.25">
      <c r="A1727" s="24">
        <f t="shared" si="98"/>
        <v>20</v>
      </c>
      <c r="B1727" s="24">
        <v>12</v>
      </c>
      <c r="C1727" s="24">
        <v>210</v>
      </c>
      <c r="E1727" s="4">
        <v>322019</v>
      </c>
      <c r="F1727" s="2" t="s">
        <v>2</v>
      </c>
      <c r="G1727" s="2" t="str">
        <f t="shared" si="97"/>
        <v>https://www.oreht.ru/modules.php?name=orehtPriceLS&amp;op=Search&amp;page=1&amp;stext=322019</v>
      </c>
      <c r="I1727">
        <v>322019</v>
      </c>
      <c r="J1727" t="s">
        <v>2</v>
      </c>
      <c r="K1727" t="s">
        <v>4713</v>
      </c>
      <c r="L1727" t="s">
        <v>4714</v>
      </c>
      <c r="M1727" t="s">
        <v>4715</v>
      </c>
    </row>
    <row r="1728" spans="1:13" hidden="1" x14ac:dyDescent="0.25">
      <c r="A1728" s="24">
        <f t="shared" si="98"/>
        <v>20</v>
      </c>
      <c r="B1728" s="24">
        <v>12</v>
      </c>
      <c r="C1728" s="24">
        <v>42</v>
      </c>
      <c r="E1728" s="4">
        <v>206966</v>
      </c>
      <c r="F1728" s="2" t="s">
        <v>2</v>
      </c>
      <c r="G1728" s="2" t="str">
        <f t="shared" si="97"/>
        <v>https://www.oreht.ru/modules.php?name=orehtPriceLS&amp;op=Search&amp;page=1&amp;stext=206966</v>
      </c>
      <c r="I1728">
        <v>206966</v>
      </c>
      <c r="J1728" t="s">
        <v>2</v>
      </c>
      <c r="K1728" t="s">
        <v>4716</v>
      </c>
      <c r="L1728" t="s">
        <v>4717</v>
      </c>
      <c r="M1728" t="s">
        <v>4718</v>
      </c>
    </row>
    <row r="1729" spans="1:13" hidden="1" x14ac:dyDescent="0.25">
      <c r="A1729" s="24">
        <f t="shared" si="98"/>
        <v>20</v>
      </c>
      <c r="B1729" s="24">
        <v>12</v>
      </c>
      <c r="C1729" s="24">
        <v>40</v>
      </c>
      <c r="E1729" s="4">
        <v>160506</v>
      </c>
      <c r="F1729" s="2" t="s">
        <v>2</v>
      </c>
      <c r="G1729" s="2" t="str">
        <f t="shared" si="97"/>
        <v>https://www.oreht.ru/modules.php?name=orehtPriceLS&amp;op=Search&amp;page=1&amp;stext=160506</v>
      </c>
      <c r="I1729">
        <v>160506</v>
      </c>
      <c r="J1729" t="s">
        <v>2</v>
      </c>
      <c r="K1729" t="s">
        <v>4719</v>
      </c>
      <c r="L1729" t="s">
        <v>4720</v>
      </c>
      <c r="M1729" t="s">
        <v>4721</v>
      </c>
    </row>
    <row r="1730" spans="1:13" hidden="1" x14ac:dyDescent="0.25">
      <c r="A1730" s="24">
        <f t="shared" si="98"/>
        <v>20</v>
      </c>
      <c r="B1730" s="24">
        <v>12</v>
      </c>
      <c r="C1730" s="24">
        <v>40</v>
      </c>
      <c r="E1730" s="4">
        <v>160508</v>
      </c>
      <c r="F1730" s="2" t="s">
        <v>2</v>
      </c>
      <c r="G1730" s="2" t="str">
        <f t="shared" ref="G1730:G1793" si="99">HYPERLINK(F1730&amp;E1730)</f>
        <v>https://www.oreht.ru/modules.php?name=orehtPriceLS&amp;op=Search&amp;page=1&amp;stext=160508</v>
      </c>
      <c r="I1730">
        <v>160508</v>
      </c>
      <c r="J1730" t="s">
        <v>2</v>
      </c>
      <c r="K1730" t="s">
        <v>4722</v>
      </c>
      <c r="L1730" t="s">
        <v>4723</v>
      </c>
      <c r="M1730" t="s">
        <v>4082</v>
      </c>
    </row>
    <row r="1731" spans="1:13" hidden="1" x14ac:dyDescent="0.25">
      <c r="A1731" s="24">
        <f t="shared" si="98"/>
        <v>20</v>
      </c>
      <c r="B1731" s="24">
        <v>12</v>
      </c>
      <c r="C1731" s="24">
        <v>53.9</v>
      </c>
      <c r="E1731" s="4">
        <v>93097</v>
      </c>
      <c r="F1731" s="2" t="s">
        <v>2</v>
      </c>
      <c r="G1731" s="2" t="str">
        <f t="shared" si="99"/>
        <v>https://www.oreht.ru/modules.php?name=orehtPriceLS&amp;op=Search&amp;page=1&amp;stext=93097</v>
      </c>
      <c r="I1731">
        <v>93097</v>
      </c>
      <c r="J1731" t="s">
        <v>2</v>
      </c>
      <c r="K1731" t="s">
        <v>4724</v>
      </c>
      <c r="L1731" t="s">
        <v>4725</v>
      </c>
      <c r="M1731" t="s">
        <v>4429</v>
      </c>
    </row>
    <row r="1732" spans="1:13" hidden="1" x14ac:dyDescent="0.25">
      <c r="A1732" s="24">
        <f t="shared" si="98"/>
        <v>20</v>
      </c>
      <c r="B1732" s="24">
        <v>12</v>
      </c>
      <c r="C1732" s="24">
        <v>41</v>
      </c>
      <c r="E1732" s="4">
        <v>93098</v>
      </c>
      <c r="F1732" s="2" t="s">
        <v>2</v>
      </c>
      <c r="G1732" s="2" t="str">
        <f t="shared" si="99"/>
        <v>https://www.oreht.ru/modules.php?name=orehtPriceLS&amp;op=Search&amp;page=1&amp;stext=93098</v>
      </c>
      <c r="I1732">
        <v>93098</v>
      </c>
      <c r="J1732" t="s">
        <v>2</v>
      </c>
      <c r="K1732" t="s">
        <v>4726</v>
      </c>
      <c r="L1732" t="s">
        <v>4727</v>
      </c>
      <c r="M1732" t="s">
        <v>3405</v>
      </c>
    </row>
    <row r="1733" spans="1:13" hidden="1" x14ac:dyDescent="0.25">
      <c r="A1733" s="24">
        <f t="shared" ref="A1733:A1796" si="100">IF(W1733*0.05&gt;=250,250,IF(W1733*0.05&gt;=20,IF(W1733*0.05&lt;20,20,W1733*0.05),20))</f>
        <v>20</v>
      </c>
      <c r="B1733" s="24">
        <v>12</v>
      </c>
      <c r="C1733" s="24">
        <v>41</v>
      </c>
      <c r="E1733" s="4">
        <v>192955</v>
      </c>
      <c r="F1733" s="2" t="s">
        <v>2</v>
      </c>
      <c r="G1733" s="2" t="str">
        <f t="shared" si="99"/>
        <v>https://www.oreht.ru/modules.php?name=orehtPriceLS&amp;op=Search&amp;page=1&amp;stext=192955</v>
      </c>
      <c r="I1733">
        <v>192955</v>
      </c>
      <c r="J1733" t="s">
        <v>2</v>
      </c>
      <c r="K1733" t="s">
        <v>4728</v>
      </c>
      <c r="L1733" t="s">
        <v>4729</v>
      </c>
      <c r="M1733" t="s">
        <v>3405</v>
      </c>
    </row>
    <row r="1734" spans="1:13" hidden="1" x14ac:dyDescent="0.25">
      <c r="A1734" s="24">
        <f t="shared" si="100"/>
        <v>20</v>
      </c>
      <c r="B1734" s="24">
        <v>12</v>
      </c>
      <c r="C1734" s="24">
        <v>41</v>
      </c>
      <c r="E1734" s="4">
        <v>160524</v>
      </c>
      <c r="F1734" s="2" t="s">
        <v>2</v>
      </c>
      <c r="G1734" s="2" t="str">
        <f t="shared" si="99"/>
        <v>https://www.oreht.ru/modules.php?name=orehtPriceLS&amp;op=Search&amp;page=1&amp;stext=160524</v>
      </c>
      <c r="I1734">
        <v>160524</v>
      </c>
      <c r="J1734" t="s">
        <v>2</v>
      </c>
      <c r="K1734" t="s">
        <v>4730</v>
      </c>
      <c r="L1734" t="s">
        <v>4731</v>
      </c>
      <c r="M1734" t="s">
        <v>4732</v>
      </c>
    </row>
    <row r="1735" spans="1:13" hidden="1" x14ac:dyDescent="0.25">
      <c r="A1735" s="24">
        <f t="shared" si="100"/>
        <v>20</v>
      </c>
      <c r="B1735" s="24">
        <v>12</v>
      </c>
      <c r="C1735" s="24">
        <v>41</v>
      </c>
      <c r="E1735" s="4">
        <v>160527</v>
      </c>
      <c r="F1735" s="2" t="s">
        <v>2</v>
      </c>
      <c r="G1735" s="2" t="str">
        <f t="shared" si="99"/>
        <v>https://www.oreht.ru/modules.php?name=orehtPriceLS&amp;op=Search&amp;page=1&amp;stext=160527</v>
      </c>
      <c r="I1735">
        <v>160527</v>
      </c>
      <c r="J1735" t="s">
        <v>2</v>
      </c>
      <c r="K1735" t="s">
        <v>4733</v>
      </c>
      <c r="L1735" t="s">
        <v>4734</v>
      </c>
      <c r="M1735" t="s">
        <v>4732</v>
      </c>
    </row>
    <row r="1736" spans="1:13" hidden="1" x14ac:dyDescent="0.25">
      <c r="A1736" s="24">
        <f t="shared" si="100"/>
        <v>20</v>
      </c>
      <c r="B1736" s="24">
        <v>12</v>
      </c>
      <c r="C1736" s="24">
        <v>41</v>
      </c>
      <c r="E1736" s="4">
        <v>93100</v>
      </c>
      <c r="F1736" s="2" t="s">
        <v>2</v>
      </c>
      <c r="G1736" s="2" t="str">
        <f t="shared" si="99"/>
        <v>https://www.oreht.ru/modules.php?name=orehtPriceLS&amp;op=Search&amp;page=1&amp;stext=93100</v>
      </c>
      <c r="I1736">
        <v>93100</v>
      </c>
      <c r="J1736" t="s">
        <v>2</v>
      </c>
      <c r="K1736" t="s">
        <v>4735</v>
      </c>
      <c r="L1736" t="s">
        <v>4736</v>
      </c>
      <c r="M1736" t="s">
        <v>3506</v>
      </c>
    </row>
    <row r="1737" spans="1:13" hidden="1" x14ac:dyDescent="0.25">
      <c r="A1737" s="24">
        <f t="shared" si="100"/>
        <v>20</v>
      </c>
      <c r="B1737" s="24">
        <v>12</v>
      </c>
      <c r="C1737" s="24">
        <v>41</v>
      </c>
      <c r="E1737" s="4">
        <v>93101</v>
      </c>
      <c r="F1737" s="2" t="s">
        <v>2</v>
      </c>
      <c r="G1737" s="2" t="str">
        <f t="shared" si="99"/>
        <v>https://www.oreht.ru/modules.php?name=orehtPriceLS&amp;op=Search&amp;page=1&amp;stext=93101</v>
      </c>
      <c r="I1737">
        <v>93101</v>
      </c>
      <c r="J1737" t="s">
        <v>2</v>
      </c>
      <c r="K1737" t="s">
        <v>4737</v>
      </c>
      <c r="L1737" t="s">
        <v>4738</v>
      </c>
      <c r="M1737" t="s">
        <v>3506</v>
      </c>
    </row>
    <row r="1738" spans="1:13" hidden="1" x14ac:dyDescent="0.25">
      <c r="A1738" s="24">
        <f t="shared" si="100"/>
        <v>20</v>
      </c>
      <c r="B1738" s="24">
        <v>12</v>
      </c>
      <c r="C1738" s="24">
        <v>41</v>
      </c>
      <c r="E1738" s="4">
        <v>93102</v>
      </c>
      <c r="F1738" s="2" t="s">
        <v>2</v>
      </c>
      <c r="G1738" s="2" t="str">
        <f t="shared" si="99"/>
        <v>https://www.oreht.ru/modules.php?name=orehtPriceLS&amp;op=Search&amp;page=1&amp;stext=93102</v>
      </c>
      <c r="I1738">
        <v>93102</v>
      </c>
      <c r="J1738" t="s">
        <v>2</v>
      </c>
      <c r="K1738" t="s">
        <v>4739</v>
      </c>
      <c r="L1738" t="s">
        <v>4740</v>
      </c>
      <c r="M1738" t="s">
        <v>4079</v>
      </c>
    </row>
    <row r="1739" spans="1:13" hidden="1" x14ac:dyDescent="0.25">
      <c r="A1739" s="24">
        <f t="shared" si="100"/>
        <v>20</v>
      </c>
      <c r="B1739" s="24">
        <v>12</v>
      </c>
      <c r="C1739" s="24">
        <v>41</v>
      </c>
      <c r="E1739" s="4">
        <v>93103</v>
      </c>
      <c r="F1739" s="2" t="s">
        <v>2</v>
      </c>
      <c r="G1739" s="2" t="str">
        <f t="shared" si="99"/>
        <v>https://www.oreht.ru/modules.php?name=orehtPriceLS&amp;op=Search&amp;page=1&amp;stext=93103</v>
      </c>
      <c r="I1739">
        <v>93103</v>
      </c>
      <c r="J1739" t="s">
        <v>2</v>
      </c>
      <c r="K1739" t="s">
        <v>4741</v>
      </c>
      <c r="L1739" t="s">
        <v>4742</v>
      </c>
      <c r="M1739" t="s">
        <v>4079</v>
      </c>
    </row>
    <row r="1740" spans="1:13" hidden="1" x14ac:dyDescent="0.25">
      <c r="A1740" s="24">
        <f t="shared" si="100"/>
        <v>20</v>
      </c>
      <c r="B1740" s="24">
        <v>12</v>
      </c>
      <c r="C1740" s="24">
        <v>41</v>
      </c>
      <c r="E1740" s="4">
        <v>203854</v>
      </c>
      <c r="F1740" s="2" t="s">
        <v>2</v>
      </c>
      <c r="G1740" s="2" t="str">
        <f t="shared" si="99"/>
        <v>https://www.oreht.ru/modules.php?name=orehtPriceLS&amp;op=Search&amp;page=1&amp;stext=203854</v>
      </c>
      <c r="I1740">
        <v>203854</v>
      </c>
      <c r="J1740" t="s">
        <v>2</v>
      </c>
      <c r="K1740" t="s">
        <v>4743</v>
      </c>
      <c r="L1740" t="s">
        <v>4744</v>
      </c>
      <c r="M1740" t="s">
        <v>4745</v>
      </c>
    </row>
    <row r="1741" spans="1:13" hidden="1" x14ac:dyDescent="0.25">
      <c r="A1741" s="24">
        <f t="shared" si="100"/>
        <v>20</v>
      </c>
      <c r="B1741" s="24">
        <v>12</v>
      </c>
      <c r="C1741" s="24">
        <v>57</v>
      </c>
      <c r="E1741" s="4">
        <v>262302</v>
      </c>
      <c r="F1741" s="2" t="s">
        <v>2</v>
      </c>
      <c r="G1741" s="2" t="str">
        <f t="shared" si="99"/>
        <v>https://www.oreht.ru/modules.php?name=orehtPriceLS&amp;op=Search&amp;page=1&amp;stext=262302</v>
      </c>
      <c r="I1741">
        <v>262302</v>
      </c>
      <c r="J1741" t="s">
        <v>2</v>
      </c>
      <c r="K1741" t="s">
        <v>4746</v>
      </c>
      <c r="L1741" t="s">
        <v>4747</v>
      </c>
      <c r="M1741" t="s">
        <v>958</v>
      </c>
    </row>
    <row r="1742" spans="1:13" hidden="1" x14ac:dyDescent="0.25">
      <c r="A1742" s="24">
        <f t="shared" si="100"/>
        <v>20</v>
      </c>
      <c r="B1742" s="24">
        <v>12</v>
      </c>
      <c r="C1742" s="24">
        <v>61</v>
      </c>
      <c r="E1742" s="4">
        <v>262303</v>
      </c>
      <c r="F1742" s="2" t="s">
        <v>2</v>
      </c>
      <c r="G1742" s="2" t="str">
        <f t="shared" si="99"/>
        <v>https://www.oreht.ru/modules.php?name=orehtPriceLS&amp;op=Search&amp;page=1&amp;stext=262303</v>
      </c>
      <c r="I1742">
        <v>262303</v>
      </c>
      <c r="J1742" t="s">
        <v>2</v>
      </c>
      <c r="K1742" t="s">
        <v>4748</v>
      </c>
      <c r="L1742" t="s">
        <v>4749</v>
      </c>
      <c r="M1742" t="s">
        <v>958</v>
      </c>
    </row>
    <row r="1743" spans="1:13" hidden="1" x14ac:dyDescent="0.25">
      <c r="A1743" s="24">
        <f t="shared" si="100"/>
        <v>20</v>
      </c>
      <c r="B1743" s="24">
        <v>12</v>
      </c>
      <c r="C1743" s="24">
        <v>79</v>
      </c>
      <c r="E1743" s="4">
        <v>262304</v>
      </c>
      <c r="F1743" s="2" t="s">
        <v>2</v>
      </c>
      <c r="G1743" s="2" t="str">
        <f t="shared" si="99"/>
        <v>https://www.oreht.ru/modules.php?name=orehtPriceLS&amp;op=Search&amp;page=1&amp;stext=262304</v>
      </c>
      <c r="I1743">
        <v>262304</v>
      </c>
      <c r="J1743" t="s">
        <v>2</v>
      </c>
      <c r="K1743" t="s">
        <v>4750</v>
      </c>
      <c r="L1743" t="s">
        <v>4751</v>
      </c>
      <c r="M1743" t="s">
        <v>4395</v>
      </c>
    </row>
    <row r="1744" spans="1:13" hidden="1" x14ac:dyDescent="0.25">
      <c r="A1744" s="24">
        <f t="shared" si="100"/>
        <v>20</v>
      </c>
      <c r="B1744" s="24">
        <v>12</v>
      </c>
      <c r="C1744" s="24">
        <v>79</v>
      </c>
      <c r="E1744" s="4">
        <v>262305</v>
      </c>
      <c r="F1744" s="2" t="s">
        <v>2</v>
      </c>
      <c r="G1744" s="2" t="str">
        <f t="shared" si="99"/>
        <v>https://www.oreht.ru/modules.php?name=orehtPriceLS&amp;op=Search&amp;page=1&amp;stext=262305</v>
      </c>
      <c r="I1744">
        <v>262305</v>
      </c>
      <c r="J1744" t="s">
        <v>2</v>
      </c>
      <c r="K1744" t="s">
        <v>4752</v>
      </c>
      <c r="L1744" t="s">
        <v>4753</v>
      </c>
      <c r="M1744" t="s">
        <v>4395</v>
      </c>
    </row>
    <row r="1745" spans="1:13" hidden="1" x14ac:dyDescent="0.25">
      <c r="A1745" s="24">
        <f t="shared" si="100"/>
        <v>20</v>
      </c>
      <c r="B1745" s="24">
        <v>12</v>
      </c>
      <c r="C1745" s="24">
        <v>185</v>
      </c>
      <c r="E1745" s="4">
        <v>93139</v>
      </c>
      <c r="F1745" s="2" t="s">
        <v>2</v>
      </c>
      <c r="G1745" s="2" t="str">
        <f t="shared" si="99"/>
        <v>https://www.oreht.ru/modules.php?name=orehtPriceLS&amp;op=Search&amp;page=1&amp;stext=93139</v>
      </c>
      <c r="I1745">
        <v>93139</v>
      </c>
      <c r="J1745" t="s">
        <v>2</v>
      </c>
      <c r="K1745" t="s">
        <v>4754</v>
      </c>
      <c r="L1745" t="s">
        <v>4755</v>
      </c>
      <c r="M1745" t="s">
        <v>4756</v>
      </c>
    </row>
    <row r="1746" spans="1:13" hidden="1" x14ac:dyDescent="0.25">
      <c r="A1746" s="24">
        <f t="shared" si="100"/>
        <v>20</v>
      </c>
      <c r="B1746" s="24">
        <v>12</v>
      </c>
      <c r="C1746" s="24">
        <v>79</v>
      </c>
      <c r="E1746" s="4">
        <v>93145</v>
      </c>
      <c r="F1746" s="2" t="s">
        <v>2</v>
      </c>
      <c r="G1746" s="2" t="str">
        <f t="shared" si="99"/>
        <v>https://www.oreht.ru/modules.php?name=orehtPriceLS&amp;op=Search&amp;page=1&amp;stext=93145</v>
      </c>
      <c r="I1746">
        <v>93145</v>
      </c>
      <c r="J1746" t="s">
        <v>2</v>
      </c>
      <c r="K1746" t="s">
        <v>4757</v>
      </c>
      <c r="L1746" t="s">
        <v>4758</v>
      </c>
      <c r="M1746" t="s">
        <v>917</v>
      </c>
    </row>
    <row r="1747" spans="1:13" hidden="1" x14ac:dyDescent="0.25">
      <c r="A1747" s="24">
        <f t="shared" si="100"/>
        <v>20</v>
      </c>
      <c r="B1747" s="24">
        <v>12</v>
      </c>
      <c r="C1747" s="24">
        <v>42</v>
      </c>
      <c r="E1747" s="4">
        <v>187399</v>
      </c>
      <c r="F1747" s="2" t="s">
        <v>2</v>
      </c>
      <c r="G1747" s="2" t="str">
        <f t="shared" si="99"/>
        <v>https://www.oreht.ru/modules.php?name=orehtPriceLS&amp;op=Search&amp;page=1&amp;stext=187399</v>
      </c>
      <c r="I1747">
        <v>187399</v>
      </c>
      <c r="J1747" t="s">
        <v>2</v>
      </c>
      <c r="K1747" t="s">
        <v>4759</v>
      </c>
      <c r="L1747" t="s">
        <v>4760</v>
      </c>
      <c r="M1747" t="s">
        <v>4395</v>
      </c>
    </row>
    <row r="1748" spans="1:13" hidden="1" x14ac:dyDescent="0.25">
      <c r="A1748" s="24">
        <f t="shared" si="100"/>
        <v>20</v>
      </c>
      <c r="B1748" s="24">
        <v>12</v>
      </c>
      <c r="C1748" s="24">
        <v>42</v>
      </c>
      <c r="E1748" s="4">
        <v>93147</v>
      </c>
      <c r="F1748" s="2" t="s">
        <v>2</v>
      </c>
      <c r="G1748" s="2" t="str">
        <f t="shared" si="99"/>
        <v>https://www.oreht.ru/modules.php?name=orehtPriceLS&amp;op=Search&amp;page=1&amp;stext=93147</v>
      </c>
      <c r="I1748">
        <v>93147</v>
      </c>
      <c r="J1748" t="s">
        <v>2</v>
      </c>
      <c r="K1748" t="s">
        <v>4761</v>
      </c>
      <c r="L1748" t="s">
        <v>4762</v>
      </c>
      <c r="M1748" t="s">
        <v>4123</v>
      </c>
    </row>
    <row r="1749" spans="1:13" x14ac:dyDescent="0.25">
      <c r="A1749" s="24">
        <f t="shared" si="100"/>
        <v>20</v>
      </c>
      <c r="B1749" s="24">
        <v>12</v>
      </c>
      <c r="C1749" s="24">
        <v>41</v>
      </c>
      <c r="E1749" s="4">
        <v>93148</v>
      </c>
      <c r="F1749" s="2" t="s">
        <v>2</v>
      </c>
      <c r="G1749" s="2" t="str">
        <f t="shared" si="99"/>
        <v>https://www.oreht.ru/modules.php?name=orehtPriceLS&amp;op=Search&amp;page=1&amp;stext=93148</v>
      </c>
      <c r="I1749">
        <v>93148</v>
      </c>
      <c r="J1749" t="s">
        <v>2</v>
      </c>
      <c r="K1749" t="s">
        <v>4763</v>
      </c>
    </row>
    <row r="1750" spans="1:13" hidden="1" x14ac:dyDescent="0.25">
      <c r="A1750" s="24">
        <f t="shared" si="100"/>
        <v>20</v>
      </c>
      <c r="B1750" s="24">
        <v>12</v>
      </c>
      <c r="C1750" s="24">
        <v>42</v>
      </c>
      <c r="E1750" s="4">
        <v>93150</v>
      </c>
      <c r="F1750" s="2" t="s">
        <v>2</v>
      </c>
      <c r="G1750" s="2" t="str">
        <f t="shared" si="99"/>
        <v>https://www.oreht.ru/modules.php?name=orehtPriceLS&amp;op=Search&amp;page=1&amp;stext=93150</v>
      </c>
      <c r="I1750">
        <v>93150</v>
      </c>
      <c r="J1750" t="s">
        <v>2</v>
      </c>
      <c r="K1750" t="s">
        <v>4764</v>
      </c>
      <c r="L1750" t="s">
        <v>4765</v>
      </c>
      <c r="M1750" t="s">
        <v>4073</v>
      </c>
    </row>
    <row r="1751" spans="1:13" hidden="1" x14ac:dyDescent="0.25">
      <c r="A1751" s="24">
        <f t="shared" si="100"/>
        <v>20</v>
      </c>
      <c r="B1751" s="24">
        <v>12</v>
      </c>
      <c r="C1751" s="24">
        <v>41</v>
      </c>
      <c r="E1751" s="4">
        <v>93151</v>
      </c>
      <c r="F1751" s="2" t="s">
        <v>2</v>
      </c>
      <c r="G1751" s="2" t="str">
        <f t="shared" si="99"/>
        <v>https://www.oreht.ru/modules.php?name=orehtPriceLS&amp;op=Search&amp;page=1&amp;stext=93151</v>
      </c>
      <c r="I1751">
        <v>93151</v>
      </c>
      <c r="J1751" t="s">
        <v>2</v>
      </c>
      <c r="K1751" t="s">
        <v>4766</v>
      </c>
      <c r="L1751" t="s">
        <v>4767</v>
      </c>
      <c r="M1751" t="s">
        <v>4073</v>
      </c>
    </row>
    <row r="1752" spans="1:13" hidden="1" x14ac:dyDescent="0.25">
      <c r="A1752" s="24">
        <f t="shared" si="100"/>
        <v>20</v>
      </c>
      <c r="B1752" s="24">
        <v>12</v>
      </c>
      <c r="C1752" s="24">
        <v>41</v>
      </c>
      <c r="E1752" s="4">
        <v>93152</v>
      </c>
      <c r="F1752" s="2" t="s">
        <v>2</v>
      </c>
      <c r="G1752" s="2" t="str">
        <f t="shared" si="99"/>
        <v>https://www.oreht.ru/modules.php?name=orehtPriceLS&amp;op=Search&amp;page=1&amp;stext=93152</v>
      </c>
      <c r="I1752">
        <v>93152</v>
      </c>
      <c r="J1752" t="s">
        <v>2</v>
      </c>
      <c r="K1752" t="s">
        <v>4768</v>
      </c>
      <c r="L1752" t="s">
        <v>4769</v>
      </c>
      <c r="M1752" t="s">
        <v>4073</v>
      </c>
    </row>
    <row r="1753" spans="1:13" hidden="1" x14ac:dyDescent="0.25">
      <c r="A1753" s="24">
        <f t="shared" si="100"/>
        <v>20</v>
      </c>
      <c r="B1753" s="24">
        <v>12</v>
      </c>
      <c r="C1753" s="24">
        <v>67</v>
      </c>
      <c r="E1753" s="4">
        <v>143588</v>
      </c>
      <c r="F1753" s="2" t="s">
        <v>2</v>
      </c>
      <c r="G1753" s="2" t="str">
        <f t="shared" si="99"/>
        <v>https://www.oreht.ru/modules.php?name=orehtPriceLS&amp;op=Search&amp;page=1&amp;stext=143588</v>
      </c>
      <c r="I1753">
        <v>143588</v>
      </c>
      <c r="J1753" t="s">
        <v>2</v>
      </c>
      <c r="K1753" t="s">
        <v>4770</v>
      </c>
      <c r="L1753" t="s">
        <v>4771</v>
      </c>
      <c r="M1753" t="s">
        <v>4772</v>
      </c>
    </row>
    <row r="1754" spans="1:13" hidden="1" x14ac:dyDescent="0.25">
      <c r="A1754" s="24">
        <f t="shared" si="100"/>
        <v>20</v>
      </c>
      <c r="B1754" s="24">
        <v>12</v>
      </c>
      <c r="C1754" s="24">
        <v>65</v>
      </c>
      <c r="E1754" s="4">
        <v>413150</v>
      </c>
      <c r="F1754" s="2" t="s">
        <v>2</v>
      </c>
      <c r="G1754" s="2" t="str">
        <f t="shared" si="99"/>
        <v>https://www.oreht.ru/modules.php?name=orehtPriceLS&amp;op=Search&amp;page=1&amp;stext=413150</v>
      </c>
      <c r="I1754">
        <v>413150</v>
      </c>
      <c r="J1754" t="s">
        <v>2</v>
      </c>
      <c r="K1754" t="s">
        <v>4773</v>
      </c>
      <c r="L1754" t="s">
        <v>4774</v>
      </c>
      <c r="M1754" t="s">
        <v>3371</v>
      </c>
    </row>
    <row r="1755" spans="1:13" hidden="1" x14ac:dyDescent="0.25">
      <c r="A1755" s="24">
        <f t="shared" si="100"/>
        <v>20</v>
      </c>
      <c r="B1755" s="24">
        <v>12</v>
      </c>
      <c r="C1755" s="24">
        <v>65</v>
      </c>
      <c r="E1755" s="4">
        <v>420501</v>
      </c>
      <c r="F1755" s="2" t="s">
        <v>2</v>
      </c>
      <c r="G1755" s="2" t="str">
        <f t="shared" si="99"/>
        <v>https://www.oreht.ru/modules.php?name=orehtPriceLS&amp;op=Search&amp;page=1&amp;stext=420501</v>
      </c>
      <c r="I1755">
        <v>420501</v>
      </c>
      <c r="J1755" t="s">
        <v>2</v>
      </c>
      <c r="K1755" t="s">
        <v>4775</v>
      </c>
      <c r="L1755" t="s">
        <v>4776</v>
      </c>
      <c r="M1755" t="s">
        <v>3371</v>
      </c>
    </row>
    <row r="1756" spans="1:13" hidden="1" x14ac:dyDescent="0.25">
      <c r="A1756" s="24">
        <f t="shared" si="100"/>
        <v>20</v>
      </c>
      <c r="B1756" s="24">
        <v>12</v>
      </c>
      <c r="C1756" s="24">
        <v>42</v>
      </c>
      <c r="E1756" s="4">
        <v>420502</v>
      </c>
      <c r="F1756" s="2" t="s">
        <v>2</v>
      </c>
      <c r="G1756" s="2" t="str">
        <f t="shared" si="99"/>
        <v>https://www.oreht.ru/modules.php?name=orehtPriceLS&amp;op=Search&amp;page=1&amp;stext=420502</v>
      </c>
      <c r="I1756">
        <v>420502</v>
      </c>
      <c r="J1756" t="s">
        <v>2</v>
      </c>
      <c r="K1756" t="s">
        <v>4777</v>
      </c>
      <c r="L1756" t="s">
        <v>4778</v>
      </c>
      <c r="M1756" t="s">
        <v>3371</v>
      </c>
    </row>
    <row r="1757" spans="1:13" hidden="1" x14ac:dyDescent="0.25">
      <c r="A1757" s="24">
        <f t="shared" si="100"/>
        <v>20</v>
      </c>
      <c r="B1757" s="24">
        <v>12</v>
      </c>
      <c r="C1757" s="24">
        <v>42</v>
      </c>
      <c r="E1757" s="4">
        <v>413151</v>
      </c>
      <c r="F1757" s="2" t="s">
        <v>2</v>
      </c>
      <c r="G1757" s="2" t="str">
        <f t="shared" si="99"/>
        <v>https://www.oreht.ru/modules.php?name=orehtPriceLS&amp;op=Search&amp;page=1&amp;stext=413151</v>
      </c>
      <c r="I1757">
        <v>413151</v>
      </c>
      <c r="J1757" t="s">
        <v>2</v>
      </c>
      <c r="K1757" t="s">
        <v>4779</v>
      </c>
      <c r="L1757" t="s">
        <v>4780</v>
      </c>
      <c r="M1757" t="s">
        <v>3371</v>
      </c>
    </row>
    <row r="1758" spans="1:13" hidden="1" x14ac:dyDescent="0.25">
      <c r="A1758" s="24">
        <f t="shared" si="100"/>
        <v>20</v>
      </c>
      <c r="B1758" s="24">
        <v>12</v>
      </c>
      <c r="C1758" s="24">
        <v>79</v>
      </c>
      <c r="E1758" s="4">
        <v>395058</v>
      </c>
      <c r="F1758" s="2" t="s">
        <v>2</v>
      </c>
      <c r="G1758" s="2" t="str">
        <f t="shared" si="99"/>
        <v>https://www.oreht.ru/modules.php?name=orehtPriceLS&amp;op=Search&amp;page=1&amp;stext=395058</v>
      </c>
      <c r="I1758">
        <v>395058</v>
      </c>
      <c r="J1758" t="s">
        <v>2</v>
      </c>
      <c r="K1758" t="s">
        <v>4781</v>
      </c>
      <c r="L1758" t="s">
        <v>4782</v>
      </c>
      <c r="M1758" t="s">
        <v>3513</v>
      </c>
    </row>
    <row r="1759" spans="1:13" hidden="1" x14ac:dyDescent="0.25">
      <c r="A1759" s="24">
        <f t="shared" si="100"/>
        <v>20</v>
      </c>
      <c r="B1759" s="24">
        <v>12</v>
      </c>
      <c r="C1759" s="24">
        <v>40</v>
      </c>
      <c r="E1759" s="4">
        <v>395059</v>
      </c>
      <c r="F1759" s="2" t="s">
        <v>2</v>
      </c>
      <c r="G1759" s="2" t="str">
        <f t="shared" si="99"/>
        <v>https://www.oreht.ru/modules.php?name=orehtPriceLS&amp;op=Search&amp;page=1&amp;stext=395059</v>
      </c>
      <c r="I1759">
        <v>395059</v>
      </c>
      <c r="J1759" t="s">
        <v>2</v>
      </c>
      <c r="K1759" t="s">
        <v>4783</v>
      </c>
      <c r="L1759" t="s">
        <v>4784</v>
      </c>
      <c r="M1759" t="s">
        <v>3513</v>
      </c>
    </row>
    <row r="1760" spans="1:13" hidden="1" x14ac:dyDescent="0.25">
      <c r="A1760" s="24">
        <f t="shared" si="100"/>
        <v>20</v>
      </c>
      <c r="B1760" s="24">
        <v>12</v>
      </c>
      <c r="C1760" s="24">
        <v>71</v>
      </c>
      <c r="E1760" s="4">
        <v>364566</v>
      </c>
      <c r="F1760" s="2" t="s">
        <v>2</v>
      </c>
      <c r="G1760" s="2" t="str">
        <f t="shared" si="99"/>
        <v>https://www.oreht.ru/modules.php?name=orehtPriceLS&amp;op=Search&amp;page=1&amp;stext=364566</v>
      </c>
      <c r="I1760">
        <v>364566</v>
      </c>
      <c r="J1760" t="s">
        <v>2</v>
      </c>
      <c r="K1760" t="s">
        <v>4785</v>
      </c>
      <c r="L1760" t="s">
        <v>4786</v>
      </c>
      <c r="M1760" t="s">
        <v>4787</v>
      </c>
    </row>
    <row r="1761" spans="1:13" hidden="1" x14ac:dyDescent="0.25">
      <c r="A1761" s="24">
        <f t="shared" si="100"/>
        <v>20</v>
      </c>
      <c r="B1761" s="24">
        <v>12</v>
      </c>
      <c r="C1761" s="24">
        <v>47</v>
      </c>
      <c r="E1761" s="4">
        <v>434654</v>
      </c>
      <c r="F1761" s="2" t="s">
        <v>2</v>
      </c>
      <c r="G1761" s="2" t="str">
        <f t="shared" si="99"/>
        <v>https://www.oreht.ru/modules.php?name=orehtPriceLS&amp;op=Search&amp;page=1&amp;stext=434654</v>
      </c>
      <c r="I1761">
        <v>434654</v>
      </c>
      <c r="J1761" t="s">
        <v>2</v>
      </c>
      <c r="K1761" t="s">
        <v>4788</v>
      </c>
      <c r="L1761" t="s">
        <v>4789</v>
      </c>
      <c r="M1761" t="s">
        <v>4787</v>
      </c>
    </row>
    <row r="1762" spans="1:13" hidden="1" x14ac:dyDescent="0.25">
      <c r="A1762" s="24">
        <f t="shared" si="100"/>
        <v>20</v>
      </c>
      <c r="B1762" s="24">
        <v>12</v>
      </c>
      <c r="C1762" s="24">
        <v>47</v>
      </c>
      <c r="E1762" s="4">
        <v>369583</v>
      </c>
      <c r="F1762" s="2" t="s">
        <v>2</v>
      </c>
      <c r="G1762" s="2" t="str">
        <f t="shared" si="99"/>
        <v>https://www.oreht.ru/modules.php?name=orehtPriceLS&amp;op=Search&amp;page=1&amp;stext=369583</v>
      </c>
      <c r="I1762">
        <v>369583</v>
      </c>
      <c r="J1762" t="s">
        <v>2</v>
      </c>
      <c r="K1762" t="s">
        <v>4790</v>
      </c>
      <c r="L1762" t="s">
        <v>4791</v>
      </c>
      <c r="M1762" t="s">
        <v>4792</v>
      </c>
    </row>
    <row r="1763" spans="1:13" hidden="1" x14ac:dyDescent="0.25">
      <c r="A1763" s="24">
        <f t="shared" si="100"/>
        <v>20</v>
      </c>
      <c r="B1763" s="24">
        <v>12</v>
      </c>
      <c r="C1763" s="24">
        <v>45</v>
      </c>
      <c r="E1763" s="4">
        <v>364568</v>
      </c>
      <c r="F1763" s="2" t="s">
        <v>2</v>
      </c>
      <c r="G1763" s="2" t="str">
        <f t="shared" si="99"/>
        <v>https://www.oreht.ru/modules.php?name=orehtPriceLS&amp;op=Search&amp;page=1&amp;stext=364568</v>
      </c>
      <c r="I1763">
        <v>364568</v>
      </c>
      <c r="J1763" t="s">
        <v>2</v>
      </c>
      <c r="K1763" t="s">
        <v>4793</v>
      </c>
      <c r="L1763" t="s">
        <v>4794</v>
      </c>
      <c r="M1763" t="s">
        <v>4792</v>
      </c>
    </row>
    <row r="1764" spans="1:13" hidden="1" x14ac:dyDescent="0.25">
      <c r="A1764" s="24">
        <f t="shared" si="100"/>
        <v>20</v>
      </c>
      <c r="B1764" s="24">
        <v>12</v>
      </c>
      <c r="C1764" s="24">
        <v>45</v>
      </c>
      <c r="E1764" s="4">
        <v>364569</v>
      </c>
      <c r="F1764" s="2" t="s">
        <v>2</v>
      </c>
      <c r="G1764" s="2" t="str">
        <f t="shared" si="99"/>
        <v>https://www.oreht.ru/modules.php?name=orehtPriceLS&amp;op=Search&amp;page=1&amp;stext=364569</v>
      </c>
      <c r="I1764">
        <v>364569</v>
      </c>
      <c r="J1764" t="s">
        <v>2</v>
      </c>
      <c r="K1764" t="s">
        <v>4795</v>
      </c>
      <c r="L1764" t="s">
        <v>4796</v>
      </c>
      <c r="M1764" t="s">
        <v>4792</v>
      </c>
    </row>
    <row r="1765" spans="1:13" hidden="1" x14ac:dyDescent="0.25">
      <c r="A1765" s="24">
        <f t="shared" si="100"/>
        <v>20</v>
      </c>
      <c r="B1765" s="24">
        <v>12</v>
      </c>
      <c r="C1765" s="24">
        <v>71</v>
      </c>
      <c r="E1765" s="4">
        <v>434655</v>
      </c>
      <c r="F1765" s="2" t="s">
        <v>2</v>
      </c>
      <c r="G1765" s="2" t="str">
        <f t="shared" si="99"/>
        <v>https://www.oreht.ru/modules.php?name=orehtPriceLS&amp;op=Search&amp;page=1&amp;stext=434655</v>
      </c>
      <c r="I1765">
        <v>434655</v>
      </c>
      <c r="J1765" t="s">
        <v>2</v>
      </c>
      <c r="K1765" t="s">
        <v>4797</v>
      </c>
      <c r="L1765" t="s">
        <v>4798</v>
      </c>
      <c r="M1765" t="s">
        <v>3520</v>
      </c>
    </row>
    <row r="1766" spans="1:13" hidden="1" x14ac:dyDescent="0.25">
      <c r="A1766" s="24">
        <f t="shared" si="100"/>
        <v>20</v>
      </c>
      <c r="B1766" s="24">
        <v>12</v>
      </c>
      <c r="C1766" s="24">
        <v>51</v>
      </c>
      <c r="E1766" s="4">
        <v>369588</v>
      </c>
      <c r="F1766" s="2" t="s">
        <v>2</v>
      </c>
      <c r="G1766" s="2" t="str">
        <f t="shared" si="99"/>
        <v>https://www.oreht.ru/modules.php?name=orehtPriceLS&amp;op=Search&amp;page=1&amp;stext=369588</v>
      </c>
      <c r="I1766">
        <v>369588</v>
      </c>
      <c r="J1766" t="s">
        <v>2</v>
      </c>
      <c r="K1766" t="s">
        <v>4799</v>
      </c>
      <c r="L1766" t="s">
        <v>4800</v>
      </c>
      <c r="M1766" t="s">
        <v>3520</v>
      </c>
    </row>
    <row r="1767" spans="1:13" hidden="1" x14ac:dyDescent="0.25">
      <c r="A1767" s="24">
        <f t="shared" si="100"/>
        <v>20</v>
      </c>
      <c r="B1767" s="24">
        <v>12</v>
      </c>
      <c r="C1767" s="24">
        <v>47</v>
      </c>
      <c r="E1767" s="4">
        <v>442917</v>
      </c>
      <c r="F1767" s="2" t="s">
        <v>2</v>
      </c>
      <c r="G1767" s="2" t="str">
        <f t="shared" si="99"/>
        <v>https://www.oreht.ru/modules.php?name=orehtPriceLS&amp;op=Search&amp;page=1&amp;stext=442917</v>
      </c>
      <c r="I1767">
        <v>442917</v>
      </c>
      <c r="J1767" t="s">
        <v>2</v>
      </c>
      <c r="K1767" t="s">
        <v>4801</v>
      </c>
      <c r="L1767" t="s">
        <v>4802</v>
      </c>
      <c r="M1767" t="s">
        <v>4419</v>
      </c>
    </row>
    <row r="1768" spans="1:13" hidden="1" x14ac:dyDescent="0.25">
      <c r="A1768" s="24">
        <f t="shared" si="100"/>
        <v>20</v>
      </c>
      <c r="B1768" s="24">
        <v>12</v>
      </c>
      <c r="C1768" s="24">
        <v>63</v>
      </c>
      <c r="E1768" s="4">
        <v>443565</v>
      </c>
      <c r="F1768" s="2" t="s">
        <v>2</v>
      </c>
      <c r="G1768" s="2" t="str">
        <f t="shared" si="99"/>
        <v>https://www.oreht.ru/modules.php?name=orehtPriceLS&amp;op=Search&amp;page=1&amp;stext=443565</v>
      </c>
      <c r="I1768">
        <v>443565</v>
      </c>
      <c r="J1768" t="s">
        <v>2</v>
      </c>
      <c r="K1768" t="s">
        <v>4803</v>
      </c>
      <c r="L1768" t="s">
        <v>4804</v>
      </c>
      <c r="M1768" t="s">
        <v>4324</v>
      </c>
    </row>
    <row r="1769" spans="1:13" hidden="1" x14ac:dyDescent="0.25">
      <c r="A1769" s="24">
        <f t="shared" si="100"/>
        <v>20</v>
      </c>
      <c r="B1769" s="24">
        <v>12</v>
      </c>
      <c r="C1769" s="24">
        <v>71</v>
      </c>
      <c r="E1769" s="4">
        <v>443568</v>
      </c>
      <c r="F1769" s="2" t="s">
        <v>2</v>
      </c>
      <c r="G1769" s="2" t="str">
        <f t="shared" si="99"/>
        <v>https://www.oreht.ru/modules.php?name=orehtPriceLS&amp;op=Search&amp;page=1&amp;stext=443568</v>
      </c>
      <c r="I1769">
        <v>443568</v>
      </c>
      <c r="J1769" t="s">
        <v>2</v>
      </c>
      <c r="K1769" t="s">
        <v>4805</v>
      </c>
      <c r="L1769" t="s">
        <v>4806</v>
      </c>
      <c r="M1769" t="s">
        <v>4807</v>
      </c>
    </row>
    <row r="1770" spans="1:13" hidden="1" x14ac:dyDescent="0.25">
      <c r="A1770" s="24">
        <f t="shared" si="100"/>
        <v>20</v>
      </c>
      <c r="B1770" s="24">
        <v>12</v>
      </c>
      <c r="C1770" s="24">
        <v>41</v>
      </c>
      <c r="E1770" s="4">
        <v>93224</v>
      </c>
      <c r="F1770" s="2" t="s">
        <v>2</v>
      </c>
      <c r="G1770" s="2" t="str">
        <f t="shared" si="99"/>
        <v>https://www.oreht.ru/modules.php?name=orehtPriceLS&amp;op=Search&amp;page=1&amp;stext=93224</v>
      </c>
      <c r="I1770">
        <v>93224</v>
      </c>
      <c r="J1770" t="s">
        <v>2</v>
      </c>
      <c r="K1770" t="s">
        <v>4808</v>
      </c>
      <c r="L1770" t="s">
        <v>4809</v>
      </c>
      <c r="M1770" t="s">
        <v>4026</v>
      </c>
    </row>
    <row r="1771" spans="1:13" x14ac:dyDescent="0.25">
      <c r="A1771" s="24">
        <f t="shared" si="100"/>
        <v>20</v>
      </c>
      <c r="B1771" s="24">
        <v>12</v>
      </c>
      <c r="C1771" s="24">
        <v>350</v>
      </c>
      <c r="E1771" s="4">
        <v>92611</v>
      </c>
      <c r="F1771" s="2" t="s">
        <v>2</v>
      </c>
      <c r="G1771" s="2" t="str">
        <f t="shared" si="99"/>
        <v>https://www.oreht.ru/modules.php?name=orehtPriceLS&amp;op=Search&amp;page=1&amp;stext=92611</v>
      </c>
      <c r="I1771">
        <v>92611</v>
      </c>
      <c r="J1771" t="s">
        <v>2</v>
      </c>
      <c r="K1771" t="s">
        <v>4810</v>
      </c>
    </row>
    <row r="1772" spans="1:13" hidden="1" x14ac:dyDescent="0.25">
      <c r="A1772" s="24">
        <f t="shared" si="100"/>
        <v>20</v>
      </c>
      <c r="B1772" s="24">
        <v>12</v>
      </c>
      <c r="C1772" s="24">
        <v>44.05</v>
      </c>
      <c r="E1772" s="4">
        <v>327748</v>
      </c>
      <c r="F1772" s="2" t="s">
        <v>2</v>
      </c>
      <c r="G1772" s="2" t="str">
        <f t="shared" si="99"/>
        <v>https://www.oreht.ru/modules.php?name=orehtPriceLS&amp;op=Search&amp;page=1&amp;stext=327748</v>
      </c>
      <c r="I1772">
        <v>327748</v>
      </c>
      <c r="J1772" t="s">
        <v>2</v>
      </c>
      <c r="K1772" t="s">
        <v>4811</v>
      </c>
      <c r="L1772" t="s">
        <v>4812</v>
      </c>
      <c r="M1772" t="s">
        <v>4204</v>
      </c>
    </row>
    <row r="1773" spans="1:13" hidden="1" x14ac:dyDescent="0.25">
      <c r="A1773" s="24">
        <f t="shared" si="100"/>
        <v>20</v>
      </c>
      <c r="B1773" s="24">
        <v>12</v>
      </c>
      <c r="C1773" s="24">
        <v>41</v>
      </c>
      <c r="E1773" s="4">
        <v>160685</v>
      </c>
      <c r="F1773" s="2" t="s">
        <v>2</v>
      </c>
      <c r="G1773" s="2" t="str">
        <f t="shared" si="99"/>
        <v>https://www.oreht.ru/modules.php?name=orehtPriceLS&amp;op=Search&amp;page=1&amp;stext=160685</v>
      </c>
      <c r="I1773">
        <v>160685</v>
      </c>
      <c r="J1773" t="s">
        <v>2</v>
      </c>
      <c r="K1773" t="s">
        <v>4813</v>
      </c>
      <c r="L1773" t="s">
        <v>4814</v>
      </c>
      <c r="M1773" t="s">
        <v>4815</v>
      </c>
    </row>
    <row r="1774" spans="1:13" hidden="1" x14ac:dyDescent="0.25">
      <c r="A1774" s="24">
        <f t="shared" si="100"/>
        <v>20</v>
      </c>
      <c r="B1774" s="24">
        <v>10</v>
      </c>
      <c r="C1774" s="24">
        <v>79</v>
      </c>
      <c r="E1774" s="4">
        <v>369593</v>
      </c>
      <c r="F1774" s="2" t="s">
        <v>2</v>
      </c>
      <c r="G1774" s="2" t="str">
        <f t="shared" si="99"/>
        <v>https://www.oreht.ru/modules.php?name=orehtPriceLS&amp;op=Search&amp;page=1&amp;stext=369593</v>
      </c>
      <c r="I1774">
        <v>369593</v>
      </c>
      <c r="J1774" t="s">
        <v>2</v>
      </c>
      <c r="K1774" t="s">
        <v>4816</v>
      </c>
      <c r="L1774" t="s">
        <v>4817</v>
      </c>
      <c r="M1774" t="s">
        <v>4815</v>
      </c>
    </row>
    <row r="1775" spans="1:13" hidden="1" x14ac:dyDescent="0.25">
      <c r="A1775" s="24">
        <f t="shared" si="100"/>
        <v>20</v>
      </c>
      <c r="B1775" s="24">
        <v>12</v>
      </c>
      <c r="C1775" s="24">
        <v>42</v>
      </c>
      <c r="E1775" s="4">
        <v>93234</v>
      </c>
      <c r="F1775" s="2" t="s">
        <v>2</v>
      </c>
      <c r="G1775" s="2" t="str">
        <f t="shared" si="99"/>
        <v>https://www.oreht.ru/modules.php?name=orehtPriceLS&amp;op=Search&amp;page=1&amp;stext=93234</v>
      </c>
      <c r="I1775">
        <v>93234</v>
      </c>
      <c r="J1775" t="s">
        <v>2</v>
      </c>
      <c r="K1775" t="s">
        <v>4818</v>
      </c>
      <c r="L1775" t="s">
        <v>4819</v>
      </c>
      <c r="M1775" t="s">
        <v>3536</v>
      </c>
    </row>
    <row r="1776" spans="1:13" hidden="1" x14ac:dyDescent="0.25">
      <c r="A1776" s="24">
        <f t="shared" si="100"/>
        <v>20</v>
      </c>
      <c r="B1776" s="24">
        <v>12</v>
      </c>
      <c r="C1776" s="24">
        <v>41</v>
      </c>
      <c r="E1776" s="4">
        <v>160686</v>
      </c>
      <c r="F1776" s="2" t="s">
        <v>2</v>
      </c>
      <c r="G1776" s="2" t="str">
        <f t="shared" si="99"/>
        <v>https://www.oreht.ru/modules.php?name=orehtPriceLS&amp;op=Search&amp;page=1&amp;stext=160686</v>
      </c>
      <c r="I1776">
        <v>160686</v>
      </c>
      <c r="J1776" t="s">
        <v>2</v>
      </c>
      <c r="K1776" t="s">
        <v>4820</v>
      </c>
      <c r="L1776" t="s">
        <v>4821</v>
      </c>
      <c r="M1776" t="s">
        <v>4822</v>
      </c>
    </row>
    <row r="1777" spans="1:13" hidden="1" x14ac:dyDescent="0.25">
      <c r="A1777" s="24">
        <f t="shared" si="100"/>
        <v>20</v>
      </c>
      <c r="B1777" s="24">
        <v>12</v>
      </c>
      <c r="C1777" s="24">
        <v>41</v>
      </c>
      <c r="E1777" s="4">
        <v>420503</v>
      </c>
      <c r="F1777" s="2" t="s">
        <v>2</v>
      </c>
      <c r="G1777" s="2" t="str">
        <f t="shared" si="99"/>
        <v>https://www.oreht.ru/modules.php?name=orehtPriceLS&amp;op=Search&amp;page=1&amp;stext=420503</v>
      </c>
      <c r="I1777">
        <v>420503</v>
      </c>
      <c r="J1777" t="s">
        <v>2</v>
      </c>
      <c r="K1777" t="s">
        <v>4823</v>
      </c>
      <c r="L1777" t="s">
        <v>4824</v>
      </c>
      <c r="M1777" t="s">
        <v>4822</v>
      </c>
    </row>
    <row r="1778" spans="1:13" hidden="1" x14ac:dyDescent="0.25">
      <c r="A1778" s="24">
        <f t="shared" si="100"/>
        <v>20</v>
      </c>
      <c r="B1778" s="24">
        <v>12</v>
      </c>
      <c r="C1778" s="24">
        <v>43</v>
      </c>
      <c r="E1778" s="4">
        <v>408543</v>
      </c>
      <c r="F1778" s="2" t="s">
        <v>2</v>
      </c>
      <c r="G1778" s="2" t="str">
        <f t="shared" si="99"/>
        <v>https://www.oreht.ru/modules.php?name=orehtPriceLS&amp;op=Search&amp;page=1&amp;stext=408543</v>
      </c>
      <c r="I1778">
        <v>408543</v>
      </c>
      <c r="J1778" t="s">
        <v>2</v>
      </c>
      <c r="K1778" t="s">
        <v>4825</v>
      </c>
      <c r="L1778" t="s">
        <v>4826</v>
      </c>
      <c r="M1778" t="s">
        <v>773</v>
      </c>
    </row>
    <row r="1779" spans="1:13" hidden="1" x14ac:dyDescent="0.25">
      <c r="A1779" s="24">
        <f t="shared" si="100"/>
        <v>20</v>
      </c>
      <c r="B1779" s="24">
        <v>12</v>
      </c>
      <c r="C1779" s="24">
        <v>45</v>
      </c>
      <c r="E1779" s="4">
        <v>420504</v>
      </c>
      <c r="F1779" s="2" t="s">
        <v>2</v>
      </c>
      <c r="G1779" s="2" t="str">
        <f t="shared" si="99"/>
        <v>https://www.oreht.ru/modules.php?name=orehtPriceLS&amp;op=Search&amp;page=1&amp;stext=420504</v>
      </c>
      <c r="I1779">
        <v>420504</v>
      </c>
      <c r="J1779" t="s">
        <v>2</v>
      </c>
      <c r="K1779" t="s">
        <v>4827</v>
      </c>
      <c r="L1779" t="s">
        <v>4828</v>
      </c>
      <c r="M1779" t="s">
        <v>4829</v>
      </c>
    </row>
    <row r="1780" spans="1:13" hidden="1" x14ac:dyDescent="0.25">
      <c r="A1780" s="24">
        <f t="shared" si="100"/>
        <v>20</v>
      </c>
      <c r="B1780" s="24">
        <v>10</v>
      </c>
      <c r="C1780" s="24">
        <v>41</v>
      </c>
      <c r="E1780" s="4">
        <v>93176</v>
      </c>
      <c r="F1780" s="2" t="s">
        <v>2</v>
      </c>
      <c r="G1780" s="2" t="str">
        <f t="shared" si="99"/>
        <v>https://www.oreht.ru/modules.php?name=orehtPriceLS&amp;op=Search&amp;page=1&amp;stext=93176</v>
      </c>
      <c r="I1780">
        <v>93176</v>
      </c>
      <c r="J1780" t="s">
        <v>2</v>
      </c>
      <c r="K1780" t="s">
        <v>4830</v>
      </c>
      <c r="L1780" t="s">
        <v>4831</v>
      </c>
      <c r="M1780" t="s">
        <v>976</v>
      </c>
    </row>
    <row r="1781" spans="1:13" hidden="1" x14ac:dyDescent="0.25">
      <c r="A1781" s="24">
        <f t="shared" si="100"/>
        <v>20</v>
      </c>
      <c r="B1781" s="24">
        <v>12</v>
      </c>
      <c r="C1781" s="24">
        <v>61</v>
      </c>
      <c r="E1781" s="4">
        <v>227346</v>
      </c>
      <c r="F1781" s="2" t="s">
        <v>2</v>
      </c>
      <c r="G1781" s="2" t="str">
        <f t="shared" si="99"/>
        <v>https://www.oreht.ru/modules.php?name=orehtPriceLS&amp;op=Search&amp;page=1&amp;stext=227346</v>
      </c>
      <c r="I1781">
        <v>227346</v>
      </c>
      <c r="J1781" t="s">
        <v>2</v>
      </c>
      <c r="K1781" t="s">
        <v>4832</v>
      </c>
      <c r="L1781" t="s">
        <v>4833</v>
      </c>
      <c r="M1781" t="s">
        <v>908</v>
      </c>
    </row>
    <row r="1782" spans="1:13" hidden="1" x14ac:dyDescent="0.25">
      <c r="A1782" s="24">
        <f t="shared" si="100"/>
        <v>20</v>
      </c>
      <c r="B1782" s="24">
        <v>12</v>
      </c>
      <c r="C1782" s="24">
        <v>67</v>
      </c>
      <c r="E1782" s="4">
        <v>283482</v>
      </c>
      <c r="F1782" s="2" t="s">
        <v>2</v>
      </c>
      <c r="G1782" s="2" t="str">
        <f t="shared" si="99"/>
        <v>https://www.oreht.ru/modules.php?name=orehtPriceLS&amp;op=Search&amp;page=1&amp;stext=283482</v>
      </c>
      <c r="I1782">
        <v>283482</v>
      </c>
      <c r="J1782" t="s">
        <v>2</v>
      </c>
      <c r="K1782" t="s">
        <v>4834</v>
      </c>
      <c r="L1782" t="s">
        <v>4835</v>
      </c>
      <c r="M1782" t="s">
        <v>908</v>
      </c>
    </row>
    <row r="1783" spans="1:13" hidden="1" x14ac:dyDescent="0.25">
      <c r="A1783" s="24">
        <f t="shared" si="100"/>
        <v>20</v>
      </c>
      <c r="B1783" s="24">
        <v>12</v>
      </c>
      <c r="C1783" s="24">
        <v>49</v>
      </c>
      <c r="E1783" s="4">
        <v>183697</v>
      </c>
      <c r="F1783" s="2" t="s">
        <v>2</v>
      </c>
      <c r="G1783" s="2" t="str">
        <f t="shared" si="99"/>
        <v>https://www.oreht.ru/modules.php?name=orehtPriceLS&amp;op=Search&amp;page=1&amp;stext=183697</v>
      </c>
      <c r="I1783">
        <v>183697</v>
      </c>
      <c r="J1783" t="s">
        <v>2</v>
      </c>
      <c r="K1783" t="s">
        <v>4836</v>
      </c>
      <c r="L1783" t="s">
        <v>4837</v>
      </c>
      <c r="M1783" t="s">
        <v>4193</v>
      </c>
    </row>
    <row r="1784" spans="1:13" hidden="1" x14ac:dyDescent="0.25">
      <c r="A1784" s="24">
        <f t="shared" si="100"/>
        <v>20</v>
      </c>
      <c r="B1784" s="24">
        <v>12</v>
      </c>
      <c r="C1784" s="24">
        <v>41</v>
      </c>
      <c r="E1784" s="4">
        <v>346388</v>
      </c>
      <c r="F1784" s="2" t="s">
        <v>2</v>
      </c>
      <c r="G1784" s="2" t="str">
        <f t="shared" si="99"/>
        <v>https://www.oreht.ru/modules.php?name=orehtPriceLS&amp;op=Search&amp;page=1&amp;stext=346388</v>
      </c>
      <c r="I1784">
        <v>346388</v>
      </c>
      <c r="J1784" t="s">
        <v>2</v>
      </c>
      <c r="K1784" t="s">
        <v>4838</v>
      </c>
      <c r="L1784" t="s">
        <v>4839</v>
      </c>
      <c r="M1784" t="s">
        <v>3893</v>
      </c>
    </row>
    <row r="1785" spans="1:13" hidden="1" x14ac:dyDescent="0.25">
      <c r="A1785" s="24">
        <f t="shared" si="100"/>
        <v>20</v>
      </c>
      <c r="B1785" s="24">
        <v>12</v>
      </c>
      <c r="C1785" s="24">
        <v>41</v>
      </c>
      <c r="E1785" s="4">
        <v>268147</v>
      </c>
      <c r="F1785" s="2" t="s">
        <v>2</v>
      </c>
      <c r="G1785" s="2" t="str">
        <f t="shared" si="99"/>
        <v>https://www.oreht.ru/modules.php?name=orehtPriceLS&amp;op=Search&amp;page=1&amp;stext=268147</v>
      </c>
      <c r="I1785">
        <v>268147</v>
      </c>
      <c r="J1785" t="s">
        <v>2</v>
      </c>
      <c r="K1785" t="s">
        <v>4840</v>
      </c>
      <c r="L1785" t="s">
        <v>4841</v>
      </c>
      <c r="M1785" t="s">
        <v>4842</v>
      </c>
    </row>
    <row r="1786" spans="1:13" hidden="1" x14ac:dyDescent="0.25">
      <c r="A1786" s="24">
        <f t="shared" si="100"/>
        <v>20</v>
      </c>
      <c r="B1786" s="24">
        <v>12</v>
      </c>
      <c r="C1786" s="24">
        <v>43</v>
      </c>
      <c r="E1786" s="4">
        <v>160661</v>
      </c>
      <c r="F1786" s="2" t="s">
        <v>2</v>
      </c>
      <c r="G1786" s="2" t="str">
        <f t="shared" si="99"/>
        <v>https://www.oreht.ru/modules.php?name=orehtPriceLS&amp;op=Search&amp;page=1&amp;stext=160661</v>
      </c>
      <c r="I1786">
        <v>160661</v>
      </c>
      <c r="J1786" t="s">
        <v>2</v>
      </c>
      <c r="K1786" t="s">
        <v>4843</v>
      </c>
      <c r="L1786" t="s">
        <v>4844</v>
      </c>
      <c r="M1786" t="s">
        <v>4383</v>
      </c>
    </row>
    <row r="1787" spans="1:13" hidden="1" x14ac:dyDescent="0.25">
      <c r="A1787" s="24">
        <f t="shared" si="100"/>
        <v>20</v>
      </c>
      <c r="B1787" s="24">
        <v>12</v>
      </c>
      <c r="C1787" s="24">
        <v>43</v>
      </c>
      <c r="E1787" s="4">
        <v>369670</v>
      </c>
      <c r="F1787" s="2" t="s">
        <v>2</v>
      </c>
      <c r="G1787" s="2" t="str">
        <f t="shared" si="99"/>
        <v>https://www.oreht.ru/modules.php?name=orehtPriceLS&amp;op=Search&amp;page=1&amp;stext=369670</v>
      </c>
      <c r="I1787">
        <v>369670</v>
      </c>
      <c r="J1787" t="s">
        <v>2</v>
      </c>
      <c r="K1787" t="s">
        <v>4845</v>
      </c>
      <c r="L1787" t="s">
        <v>4846</v>
      </c>
      <c r="M1787" t="s">
        <v>706</v>
      </c>
    </row>
    <row r="1788" spans="1:13" hidden="1" x14ac:dyDescent="0.25">
      <c r="A1788" s="24">
        <f t="shared" si="100"/>
        <v>20</v>
      </c>
      <c r="B1788" s="24">
        <v>12</v>
      </c>
      <c r="C1788" s="24">
        <v>43</v>
      </c>
      <c r="E1788" s="4">
        <v>93154</v>
      </c>
      <c r="F1788" s="2" t="s">
        <v>2</v>
      </c>
      <c r="G1788" s="2" t="str">
        <f t="shared" si="99"/>
        <v>https://www.oreht.ru/modules.php?name=orehtPriceLS&amp;op=Search&amp;page=1&amp;stext=93154</v>
      </c>
      <c r="I1788">
        <v>93154</v>
      </c>
      <c r="J1788" t="s">
        <v>2</v>
      </c>
      <c r="K1788" t="s">
        <v>4847</v>
      </c>
      <c r="L1788" t="s">
        <v>4848</v>
      </c>
      <c r="M1788" t="s">
        <v>4383</v>
      </c>
    </row>
    <row r="1789" spans="1:13" hidden="1" x14ac:dyDescent="0.25">
      <c r="A1789" s="24">
        <f t="shared" si="100"/>
        <v>20</v>
      </c>
      <c r="B1789" s="24">
        <v>12</v>
      </c>
      <c r="C1789" s="24">
        <v>45</v>
      </c>
      <c r="E1789" s="4">
        <v>369672</v>
      </c>
      <c r="F1789" s="2" t="s">
        <v>2</v>
      </c>
      <c r="G1789" s="2" t="str">
        <f t="shared" si="99"/>
        <v>https://www.oreht.ru/modules.php?name=orehtPriceLS&amp;op=Search&amp;page=1&amp;stext=369672</v>
      </c>
      <c r="I1789">
        <v>369672</v>
      </c>
      <c r="J1789" t="s">
        <v>2</v>
      </c>
      <c r="K1789" t="s">
        <v>4849</v>
      </c>
      <c r="L1789" t="s">
        <v>4850</v>
      </c>
      <c r="M1789" t="s">
        <v>4117</v>
      </c>
    </row>
    <row r="1790" spans="1:13" hidden="1" x14ac:dyDescent="0.25">
      <c r="A1790" s="24">
        <f t="shared" si="100"/>
        <v>20</v>
      </c>
      <c r="B1790" s="24">
        <v>12</v>
      </c>
      <c r="C1790" s="24">
        <v>42</v>
      </c>
      <c r="E1790" s="4">
        <v>93155</v>
      </c>
      <c r="F1790" s="2" t="s">
        <v>2</v>
      </c>
      <c r="G1790" s="2" t="str">
        <f t="shared" si="99"/>
        <v>https://www.oreht.ru/modules.php?name=orehtPriceLS&amp;op=Search&amp;page=1&amp;stext=93155</v>
      </c>
      <c r="I1790">
        <v>93155</v>
      </c>
      <c r="J1790" t="s">
        <v>2</v>
      </c>
      <c r="K1790" t="s">
        <v>4851</v>
      </c>
      <c r="L1790" t="s">
        <v>4852</v>
      </c>
      <c r="M1790" t="s">
        <v>4117</v>
      </c>
    </row>
    <row r="1791" spans="1:13" hidden="1" x14ac:dyDescent="0.25">
      <c r="A1791" s="24">
        <f t="shared" si="100"/>
        <v>20</v>
      </c>
      <c r="B1791" s="24">
        <v>12</v>
      </c>
      <c r="C1791" s="24">
        <v>57</v>
      </c>
      <c r="E1791" s="4">
        <v>160666</v>
      </c>
      <c r="F1791" s="2" t="s">
        <v>2</v>
      </c>
      <c r="G1791" s="2" t="str">
        <f t="shared" si="99"/>
        <v>https://www.oreht.ru/modules.php?name=orehtPriceLS&amp;op=Search&amp;page=1&amp;stext=160666</v>
      </c>
      <c r="I1791">
        <v>160666</v>
      </c>
      <c r="J1791" t="s">
        <v>2</v>
      </c>
      <c r="K1791" t="s">
        <v>4853</v>
      </c>
      <c r="L1791" t="s">
        <v>4854</v>
      </c>
      <c r="M1791" t="s">
        <v>4855</v>
      </c>
    </row>
    <row r="1792" spans="1:13" hidden="1" x14ac:dyDescent="0.25">
      <c r="A1792" s="24">
        <f t="shared" si="100"/>
        <v>20</v>
      </c>
      <c r="B1792" s="24">
        <v>12</v>
      </c>
      <c r="C1792" s="24">
        <v>57</v>
      </c>
      <c r="E1792" s="4">
        <v>160667</v>
      </c>
      <c r="F1792" s="2" t="s">
        <v>2</v>
      </c>
      <c r="G1792" s="2" t="str">
        <f t="shared" si="99"/>
        <v>https://www.oreht.ru/modules.php?name=orehtPriceLS&amp;op=Search&amp;page=1&amp;stext=160667</v>
      </c>
      <c r="I1792">
        <v>160667</v>
      </c>
      <c r="J1792" t="s">
        <v>2</v>
      </c>
      <c r="K1792" t="s">
        <v>4856</v>
      </c>
      <c r="L1792" t="s">
        <v>4857</v>
      </c>
      <c r="M1792" t="s">
        <v>4855</v>
      </c>
    </row>
    <row r="1793" spans="1:13" hidden="1" x14ac:dyDescent="0.25">
      <c r="A1793" s="24">
        <f t="shared" si="100"/>
        <v>20</v>
      </c>
      <c r="B1793" s="24">
        <v>12</v>
      </c>
      <c r="C1793" s="24">
        <v>57</v>
      </c>
      <c r="E1793" s="4">
        <v>220896</v>
      </c>
      <c r="F1793" s="2" t="s">
        <v>2</v>
      </c>
      <c r="G1793" s="2" t="str">
        <f t="shared" si="99"/>
        <v>https://www.oreht.ru/modules.php?name=orehtPriceLS&amp;op=Search&amp;page=1&amp;stext=220896</v>
      </c>
      <c r="I1793">
        <v>220896</v>
      </c>
      <c r="J1793" t="s">
        <v>2</v>
      </c>
      <c r="K1793" t="s">
        <v>4858</v>
      </c>
      <c r="L1793" t="s">
        <v>4859</v>
      </c>
      <c r="M1793" t="s">
        <v>955</v>
      </c>
    </row>
    <row r="1794" spans="1:13" hidden="1" x14ac:dyDescent="0.25">
      <c r="A1794" s="24">
        <f t="shared" si="100"/>
        <v>20</v>
      </c>
      <c r="B1794" s="24">
        <v>12</v>
      </c>
      <c r="C1794" s="24">
        <v>41</v>
      </c>
      <c r="E1794" s="4">
        <v>160697</v>
      </c>
      <c r="F1794" s="2" t="s">
        <v>2</v>
      </c>
      <c r="G1794" s="2" t="str">
        <f t="shared" ref="G1794:G1857" si="101">HYPERLINK(F1794&amp;E1794)</f>
        <v>https://www.oreht.ru/modules.php?name=orehtPriceLS&amp;op=Search&amp;page=1&amp;stext=160697</v>
      </c>
      <c r="I1794">
        <v>160697</v>
      </c>
      <c r="J1794" t="s">
        <v>2</v>
      </c>
      <c r="K1794" t="s">
        <v>4860</v>
      </c>
      <c r="L1794" t="s">
        <v>4861</v>
      </c>
      <c r="M1794" t="s">
        <v>3387</v>
      </c>
    </row>
    <row r="1795" spans="1:13" hidden="1" x14ac:dyDescent="0.25">
      <c r="A1795" s="24">
        <f t="shared" si="100"/>
        <v>20</v>
      </c>
      <c r="B1795" s="24">
        <v>12</v>
      </c>
      <c r="C1795" s="24">
        <v>41</v>
      </c>
      <c r="E1795" s="4">
        <v>160698</v>
      </c>
      <c r="F1795" s="2" t="s">
        <v>2</v>
      </c>
      <c r="G1795" s="2" t="str">
        <f t="shared" si="101"/>
        <v>https://www.oreht.ru/modules.php?name=orehtPriceLS&amp;op=Search&amp;page=1&amp;stext=160698</v>
      </c>
      <c r="I1795">
        <v>160698</v>
      </c>
      <c r="J1795" t="s">
        <v>2</v>
      </c>
      <c r="K1795" t="s">
        <v>4862</v>
      </c>
      <c r="L1795" t="s">
        <v>4863</v>
      </c>
      <c r="M1795" t="s">
        <v>3387</v>
      </c>
    </row>
    <row r="1796" spans="1:13" hidden="1" x14ac:dyDescent="0.25">
      <c r="A1796" s="24">
        <f t="shared" si="100"/>
        <v>20</v>
      </c>
      <c r="B1796" s="24">
        <v>12</v>
      </c>
      <c r="C1796" s="24">
        <v>57</v>
      </c>
      <c r="E1796" s="4">
        <v>93209</v>
      </c>
      <c r="F1796" s="2" t="s">
        <v>2</v>
      </c>
      <c r="G1796" s="2" t="str">
        <f t="shared" si="101"/>
        <v>https://www.oreht.ru/modules.php?name=orehtPriceLS&amp;op=Search&amp;page=1&amp;stext=93209</v>
      </c>
      <c r="I1796">
        <v>93209</v>
      </c>
      <c r="J1796" t="s">
        <v>2</v>
      </c>
      <c r="K1796" t="s">
        <v>4864</v>
      </c>
      <c r="L1796" t="s">
        <v>4865</v>
      </c>
      <c r="M1796" t="s">
        <v>4866</v>
      </c>
    </row>
    <row r="1797" spans="1:13" hidden="1" x14ac:dyDescent="0.25">
      <c r="A1797" s="24">
        <f t="shared" ref="A1797:A1860" si="102">IF(W1797*0.05&gt;=250,250,IF(W1797*0.05&gt;=20,IF(W1797*0.05&lt;20,20,W1797*0.05),20))</f>
        <v>20</v>
      </c>
      <c r="B1797" s="24">
        <v>12</v>
      </c>
      <c r="C1797" s="24">
        <v>67</v>
      </c>
      <c r="E1797" s="4">
        <v>93211</v>
      </c>
      <c r="F1797" s="2" t="s">
        <v>2</v>
      </c>
      <c r="G1797" s="2" t="str">
        <f t="shared" si="101"/>
        <v>https://www.oreht.ru/modules.php?name=orehtPriceLS&amp;op=Search&amp;page=1&amp;stext=93211</v>
      </c>
      <c r="I1797">
        <v>93211</v>
      </c>
      <c r="J1797" t="s">
        <v>2</v>
      </c>
      <c r="K1797" t="s">
        <v>4867</v>
      </c>
      <c r="L1797" t="s">
        <v>4868</v>
      </c>
      <c r="M1797" t="s">
        <v>4063</v>
      </c>
    </row>
    <row r="1798" spans="1:13" hidden="1" x14ac:dyDescent="0.25">
      <c r="A1798" s="24">
        <f t="shared" si="102"/>
        <v>20</v>
      </c>
      <c r="B1798" s="24">
        <v>12</v>
      </c>
      <c r="C1798" s="24">
        <v>67</v>
      </c>
      <c r="E1798" s="4">
        <v>93212</v>
      </c>
      <c r="F1798" s="2" t="s">
        <v>2</v>
      </c>
      <c r="G1798" s="2" t="str">
        <f t="shared" si="101"/>
        <v>https://www.oreht.ru/modules.php?name=orehtPriceLS&amp;op=Search&amp;page=1&amp;stext=93212</v>
      </c>
      <c r="I1798">
        <v>93212</v>
      </c>
      <c r="J1798" t="s">
        <v>2</v>
      </c>
      <c r="K1798" t="s">
        <v>4869</v>
      </c>
      <c r="L1798" t="s">
        <v>4870</v>
      </c>
      <c r="M1798" t="s">
        <v>4063</v>
      </c>
    </row>
    <row r="1799" spans="1:13" hidden="1" x14ac:dyDescent="0.25">
      <c r="A1799" s="24">
        <f t="shared" si="102"/>
        <v>20</v>
      </c>
      <c r="B1799" s="24">
        <v>12</v>
      </c>
      <c r="C1799" s="24">
        <v>100</v>
      </c>
      <c r="E1799" s="4">
        <v>93213</v>
      </c>
      <c r="F1799" s="2" t="s">
        <v>2</v>
      </c>
      <c r="G1799" s="2" t="str">
        <f t="shared" si="101"/>
        <v>https://www.oreht.ru/modules.php?name=orehtPriceLS&amp;op=Search&amp;page=1&amp;stext=93213</v>
      </c>
      <c r="I1799">
        <v>93213</v>
      </c>
      <c r="J1799" t="s">
        <v>2</v>
      </c>
      <c r="K1799" t="s">
        <v>4871</v>
      </c>
      <c r="L1799" t="s">
        <v>4872</v>
      </c>
      <c r="M1799" t="s">
        <v>3984</v>
      </c>
    </row>
    <row r="1800" spans="1:13" x14ac:dyDescent="0.25">
      <c r="A1800" s="24">
        <f t="shared" si="102"/>
        <v>20</v>
      </c>
      <c r="B1800" s="24">
        <v>12</v>
      </c>
      <c r="C1800" s="24">
        <v>265</v>
      </c>
      <c r="E1800" s="4">
        <v>384927</v>
      </c>
      <c r="F1800" s="2" t="s">
        <v>2</v>
      </c>
      <c r="G1800" s="2" t="str">
        <f t="shared" si="101"/>
        <v>https://www.oreht.ru/modules.php?name=orehtPriceLS&amp;op=Search&amp;page=1&amp;stext=384927</v>
      </c>
      <c r="I1800">
        <v>384927</v>
      </c>
      <c r="J1800" t="s">
        <v>2</v>
      </c>
      <c r="K1800" t="s">
        <v>4873</v>
      </c>
      <c r="L1800" t="s">
        <v>4874</v>
      </c>
      <c r="M1800" t="s">
        <v>649</v>
      </c>
    </row>
    <row r="1801" spans="1:13" x14ac:dyDescent="0.25">
      <c r="A1801" s="24">
        <f t="shared" si="102"/>
        <v>20</v>
      </c>
      <c r="B1801" s="24">
        <v>12</v>
      </c>
      <c r="C1801" s="24">
        <v>52.35</v>
      </c>
      <c r="E1801" s="4">
        <v>384929</v>
      </c>
      <c r="F1801" s="2" t="s">
        <v>2</v>
      </c>
      <c r="G1801" s="2" t="str">
        <f t="shared" si="101"/>
        <v>https://www.oreht.ru/modules.php?name=orehtPriceLS&amp;op=Search&amp;page=1&amp;stext=384929</v>
      </c>
      <c r="I1801">
        <v>384929</v>
      </c>
      <c r="J1801" t="s">
        <v>2</v>
      </c>
      <c r="K1801" t="s">
        <v>4875</v>
      </c>
      <c r="L1801" t="s">
        <v>4876</v>
      </c>
      <c r="M1801" t="s">
        <v>649</v>
      </c>
    </row>
    <row r="1802" spans="1:13" hidden="1" x14ac:dyDescent="0.25">
      <c r="A1802" s="24">
        <f t="shared" si="102"/>
        <v>20</v>
      </c>
      <c r="B1802" s="24">
        <v>10</v>
      </c>
      <c r="C1802" s="24">
        <v>79</v>
      </c>
      <c r="E1802" s="4">
        <v>318251</v>
      </c>
      <c r="F1802" s="2" t="s">
        <v>2</v>
      </c>
      <c r="G1802" s="2" t="str">
        <f t="shared" si="101"/>
        <v>https://www.oreht.ru/modules.php?name=orehtPriceLS&amp;op=Search&amp;page=1&amp;stext=318251</v>
      </c>
      <c r="I1802">
        <v>318251</v>
      </c>
      <c r="J1802" t="s">
        <v>2</v>
      </c>
      <c r="K1802" t="s">
        <v>4877</v>
      </c>
      <c r="L1802" t="s">
        <v>4878</v>
      </c>
      <c r="M1802" t="s">
        <v>4073</v>
      </c>
    </row>
    <row r="1803" spans="1:13" hidden="1" x14ac:dyDescent="0.25">
      <c r="A1803" s="24">
        <f t="shared" si="102"/>
        <v>20</v>
      </c>
      <c r="B1803" s="24">
        <v>12</v>
      </c>
      <c r="C1803" s="24">
        <v>135</v>
      </c>
      <c r="E1803" s="4">
        <v>163234</v>
      </c>
      <c r="F1803" s="2" t="s">
        <v>2</v>
      </c>
      <c r="G1803" s="2" t="str">
        <f t="shared" si="101"/>
        <v>https://www.oreht.ru/modules.php?name=orehtPriceLS&amp;op=Search&amp;page=1&amp;stext=163234</v>
      </c>
      <c r="I1803">
        <v>163234</v>
      </c>
      <c r="J1803" t="s">
        <v>2</v>
      </c>
      <c r="K1803" t="s">
        <v>4879</v>
      </c>
      <c r="L1803" t="s">
        <v>4880</v>
      </c>
      <c r="M1803" t="s">
        <v>4518</v>
      </c>
    </row>
    <row r="1804" spans="1:13" hidden="1" x14ac:dyDescent="0.25">
      <c r="A1804" s="24">
        <f t="shared" si="102"/>
        <v>20</v>
      </c>
      <c r="B1804" s="24">
        <v>12</v>
      </c>
      <c r="C1804" s="24">
        <v>40</v>
      </c>
      <c r="E1804" s="4">
        <v>413153</v>
      </c>
      <c r="F1804" s="2" t="s">
        <v>2</v>
      </c>
      <c r="G1804" s="2" t="str">
        <f t="shared" si="101"/>
        <v>https://www.oreht.ru/modules.php?name=orehtPriceLS&amp;op=Search&amp;page=1&amp;stext=413153</v>
      </c>
      <c r="I1804">
        <v>413153</v>
      </c>
      <c r="J1804" t="s">
        <v>2</v>
      </c>
      <c r="K1804" t="s">
        <v>4881</v>
      </c>
      <c r="L1804" t="s">
        <v>4882</v>
      </c>
      <c r="M1804" t="s">
        <v>4883</v>
      </c>
    </row>
    <row r="1805" spans="1:13" hidden="1" x14ac:dyDescent="0.25">
      <c r="A1805" s="24">
        <f t="shared" si="102"/>
        <v>20</v>
      </c>
      <c r="B1805" s="24">
        <v>12</v>
      </c>
      <c r="C1805" s="24">
        <v>43</v>
      </c>
      <c r="E1805" s="4">
        <v>177075</v>
      </c>
      <c r="F1805" s="2" t="s">
        <v>2</v>
      </c>
      <c r="G1805" s="2" t="str">
        <f t="shared" si="101"/>
        <v>https://www.oreht.ru/modules.php?name=orehtPriceLS&amp;op=Search&amp;page=1&amp;stext=177075</v>
      </c>
      <c r="I1805">
        <v>177075</v>
      </c>
      <c r="J1805" t="s">
        <v>2</v>
      </c>
      <c r="K1805" t="s">
        <v>4884</v>
      </c>
      <c r="L1805" t="s">
        <v>4885</v>
      </c>
      <c r="M1805" t="s">
        <v>3464</v>
      </c>
    </row>
    <row r="1806" spans="1:13" hidden="1" x14ac:dyDescent="0.25">
      <c r="A1806" s="24">
        <f t="shared" si="102"/>
        <v>20</v>
      </c>
      <c r="B1806" s="24">
        <v>12</v>
      </c>
      <c r="C1806" s="24">
        <v>40</v>
      </c>
      <c r="E1806" s="4">
        <v>410155</v>
      </c>
      <c r="F1806" s="2" t="s">
        <v>2</v>
      </c>
      <c r="G1806" s="2" t="str">
        <f t="shared" si="101"/>
        <v>https://www.oreht.ru/modules.php?name=orehtPriceLS&amp;op=Search&amp;page=1&amp;stext=410155</v>
      </c>
      <c r="I1806">
        <v>410155</v>
      </c>
      <c r="J1806" t="s">
        <v>2</v>
      </c>
      <c r="K1806" t="s">
        <v>4886</v>
      </c>
      <c r="L1806" t="s">
        <v>4887</v>
      </c>
      <c r="M1806" t="s">
        <v>4179</v>
      </c>
    </row>
    <row r="1807" spans="1:13" hidden="1" x14ac:dyDescent="0.25">
      <c r="A1807" s="24">
        <f t="shared" si="102"/>
        <v>20</v>
      </c>
      <c r="B1807" s="24">
        <v>12</v>
      </c>
      <c r="C1807" s="24">
        <v>40</v>
      </c>
      <c r="E1807" s="4">
        <v>410154</v>
      </c>
      <c r="F1807" s="2" t="s">
        <v>2</v>
      </c>
      <c r="G1807" s="2" t="str">
        <f t="shared" si="101"/>
        <v>https://www.oreht.ru/modules.php?name=orehtPriceLS&amp;op=Search&amp;page=1&amp;stext=410154</v>
      </c>
      <c r="I1807">
        <v>410154</v>
      </c>
      <c r="J1807" t="s">
        <v>2</v>
      </c>
      <c r="K1807" t="s">
        <v>4888</v>
      </c>
      <c r="L1807" t="s">
        <v>4889</v>
      </c>
      <c r="M1807" t="s">
        <v>862</v>
      </c>
    </row>
    <row r="1808" spans="1:13" hidden="1" x14ac:dyDescent="0.25">
      <c r="A1808" s="24">
        <f t="shared" si="102"/>
        <v>20</v>
      </c>
      <c r="B1808" s="24">
        <v>12</v>
      </c>
      <c r="C1808" s="24">
        <v>40</v>
      </c>
      <c r="E1808" s="4">
        <v>410156</v>
      </c>
      <c r="F1808" s="2" t="s">
        <v>2</v>
      </c>
      <c r="G1808" s="2" t="str">
        <f t="shared" si="101"/>
        <v>https://www.oreht.ru/modules.php?name=orehtPriceLS&amp;op=Search&amp;page=1&amp;stext=410156</v>
      </c>
      <c r="I1808">
        <v>410156</v>
      </c>
      <c r="J1808" t="s">
        <v>2</v>
      </c>
      <c r="K1808" t="s">
        <v>4890</v>
      </c>
      <c r="L1808" t="s">
        <v>4891</v>
      </c>
      <c r="M1808" t="s">
        <v>862</v>
      </c>
    </row>
    <row r="1809" spans="1:13" hidden="1" x14ac:dyDescent="0.25">
      <c r="A1809" s="24">
        <f t="shared" si="102"/>
        <v>20</v>
      </c>
      <c r="B1809" s="24">
        <v>12</v>
      </c>
      <c r="C1809" s="24">
        <v>100</v>
      </c>
      <c r="E1809" s="4">
        <v>177076</v>
      </c>
      <c r="F1809" s="2" t="s">
        <v>2</v>
      </c>
      <c r="G1809" s="2" t="str">
        <f t="shared" si="101"/>
        <v>https://www.oreht.ru/modules.php?name=orehtPriceLS&amp;op=Search&amp;page=1&amp;stext=177076</v>
      </c>
      <c r="I1809">
        <v>177076</v>
      </c>
      <c r="J1809" t="s">
        <v>2</v>
      </c>
      <c r="K1809" t="s">
        <v>4892</v>
      </c>
      <c r="L1809" t="s">
        <v>4893</v>
      </c>
      <c r="M1809" t="s">
        <v>4855</v>
      </c>
    </row>
    <row r="1810" spans="1:13" hidden="1" x14ac:dyDescent="0.25">
      <c r="A1810" s="24">
        <f t="shared" si="102"/>
        <v>20</v>
      </c>
      <c r="B1810" s="24">
        <v>12</v>
      </c>
      <c r="C1810" s="24">
        <v>67</v>
      </c>
      <c r="E1810" s="4">
        <v>243050</v>
      </c>
      <c r="F1810" s="2" t="s">
        <v>2</v>
      </c>
      <c r="G1810" s="2" t="str">
        <f t="shared" si="101"/>
        <v>https://www.oreht.ru/modules.php?name=orehtPriceLS&amp;op=Search&amp;page=1&amp;stext=243050</v>
      </c>
      <c r="I1810">
        <v>243050</v>
      </c>
      <c r="J1810" t="s">
        <v>2</v>
      </c>
      <c r="K1810" t="s">
        <v>4894</v>
      </c>
      <c r="L1810" t="s">
        <v>4895</v>
      </c>
      <c r="M1810" t="s">
        <v>1027</v>
      </c>
    </row>
    <row r="1811" spans="1:13" hidden="1" x14ac:dyDescent="0.25">
      <c r="A1811" s="24">
        <f t="shared" si="102"/>
        <v>20</v>
      </c>
      <c r="B1811" s="24">
        <v>12</v>
      </c>
      <c r="C1811" s="24">
        <v>43</v>
      </c>
      <c r="E1811" s="4">
        <v>420531</v>
      </c>
      <c r="F1811" s="2" t="s">
        <v>2</v>
      </c>
      <c r="G1811" s="2" t="str">
        <f t="shared" si="101"/>
        <v>https://www.oreht.ru/modules.php?name=orehtPriceLS&amp;op=Search&amp;page=1&amp;stext=420531</v>
      </c>
      <c r="I1811">
        <v>420531</v>
      </c>
      <c r="J1811" t="s">
        <v>2</v>
      </c>
      <c r="K1811" t="s">
        <v>4896</v>
      </c>
      <c r="L1811" t="s">
        <v>4897</v>
      </c>
      <c r="M1811" t="s">
        <v>4898</v>
      </c>
    </row>
    <row r="1812" spans="1:13" hidden="1" x14ac:dyDescent="0.25">
      <c r="A1812" s="24">
        <f t="shared" si="102"/>
        <v>20</v>
      </c>
      <c r="B1812" s="24">
        <v>12</v>
      </c>
      <c r="C1812" s="24">
        <v>45</v>
      </c>
      <c r="E1812" s="4">
        <v>92668</v>
      </c>
      <c r="F1812" s="2" t="s">
        <v>2</v>
      </c>
      <c r="G1812" s="2" t="str">
        <f t="shared" si="101"/>
        <v>https://www.oreht.ru/modules.php?name=orehtPriceLS&amp;op=Search&amp;page=1&amp;stext=92668</v>
      </c>
      <c r="I1812">
        <v>92668</v>
      </c>
      <c r="J1812" t="s">
        <v>2</v>
      </c>
      <c r="K1812" t="s">
        <v>4899</v>
      </c>
      <c r="L1812" t="s">
        <v>4900</v>
      </c>
      <c r="M1812" t="s">
        <v>4070</v>
      </c>
    </row>
    <row r="1813" spans="1:13" hidden="1" x14ac:dyDescent="0.25">
      <c r="A1813" s="24">
        <f t="shared" si="102"/>
        <v>20</v>
      </c>
      <c r="B1813" s="24">
        <v>12</v>
      </c>
      <c r="C1813" s="24">
        <v>45</v>
      </c>
      <c r="E1813" s="4">
        <v>92669</v>
      </c>
      <c r="F1813" s="2" t="s">
        <v>2</v>
      </c>
      <c r="G1813" s="2" t="str">
        <f t="shared" si="101"/>
        <v>https://www.oreht.ru/modules.php?name=orehtPriceLS&amp;op=Search&amp;page=1&amp;stext=92669</v>
      </c>
      <c r="I1813">
        <v>92669</v>
      </c>
      <c r="J1813" t="s">
        <v>2</v>
      </c>
      <c r="K1813" t="s">
        <v>4901</v>
      </c>
      <c r="L1813" t="s">
        <v>4902</v>
      </c>
      <c r="M1813" t="s">
        <v>4070</v>
      </c>
    </row>
    <row r="1814" spans="1:13" hidden="1" x14ac:dyDescent="0.25">
      <c r="A1814" s="24">
        <f t="shared" si="102"/>
        <v>20</v>
      </c>
      <c r="B1814" s="24">
        <v>12</v>
      </c>
      <c r="C1814" s="24">
        <v>45</v>
      </c>
      <c r="E1814" s="4">
        <v>172749</v>
      </c>
      <c r="F1814" s="2" t="s">
        <v>2</v>
      </c>
      <c r="G1814" s="2" t="str">
        <f t="shared" si="101"/>
        <v>https://www.oreht.ru/modules.php?name=orehtPriceLS&amp;op=Search&amp;page=1&amp;stext=172749</v>
      </c>
      <c r="I1814">
        <v>172749</v>
      </c>
      <c r="J1814" t="s">
        <v>2</v>
      </c>
      <c r="K1814" t="s">
        <v>4903</v>
      </c>
      <c r="L1814" t="s">
        <v>4904</v>
      </c>
      <c r="M1814" t="s">
        <v>4905</v>
      </c>
    </row>
    <row r="1815" spans="1:13" hidden="1" x14ac:dyDescent="0.25">
      <c r="A1815" s="24">
        <f t="shared" si="102"/>
        <v>20</v>
      </c>
      <c r="B1815" s="24">
        <v>12</v>
      </c>
      <c r="C1815" s="24">
        <v>45</v>
      </c>
      <c r="E1815" s="4">
        <v>217218</v>
      </c>
      <c r="F1815" s="2" t="s">
        <v>2</v>
      </c>
      <c r="G1815" s="2" t="str">
        <f t="shared" si="101"/>
        <v>https://www.oreht.ru/modules.php?name=orehtPriceLS&amp;op=Search&amp;page=1&amp;stext=217218</v>
      </c>
      <c r="I1815">
        <v>217218</v>
      </c>
      <c r="J1815" t="s">
        <v>2</v>
      </c>
      <c r="K1815" t="s">
        <v>4906</v>
      </c>
      <c r="L1815" t="s">
        <v>4907</v>
      </c>
      <c r="M1815" t="s">
        <v>4905</v>
      </c>
    </row>
    <row r="1816" spans="1:13" hidden="1" x14ac:dyDescent="0.25">
      <c r="A1816" s="24">
        <f t="shared" si="102"/>
        <v>20</v>
      </c>
      <c r="B1816" s="24">
        <v>12</v>
      </c>
      <c r="C1816" s="24">
        <v>45</v>
      </c>
      <c r="E1816" s="4">
        <v>207913</v>
      </c>
      <c r="F1816" s="2" t="s">
        <v>2</v>
      </c>
      <c r="G1816" s="2" t="str">
        <f t="shared" si="101"/>
        <v>https://www.oreht.ru/modules.php?name=orehtPriceLS&amp;op=Search&amp;page=1&amp;stext=207913</v>
      </c>
      <c r="I1816">
        <v>207913</v>
      </c>
      <c r="J1816" t="s">
        <v>2</v>
      </c>
      <c r="K1816" t="s">
        <v>4908</v>
      </c>
      <c r="L1816" t="s">
        <v>4909</v>
      </c>
      <c r="M1816" t="s">
        <v>4905</v>
      </c>
    </row>
    <row r="1817" spans="1:13" hidden="1" x14ac:dyDescent="0.25">
      <c r="A1817" s="24">
        <f t="shared" si="102"/>
        <v>20</v>
      </c>
      <c r="B1817" s="24">
        <v>12</v>
      </c>
      <c r="C1817" s="24">
        <v>67</v>
      </c>
      <c r="E1817" s="4">
        <v>92697</v>
      </c>
      <c r="F1817" s="2" t="s">
        <v>2</v>
      </c>
      <c r="G1817" s="2" t="str">
        <f t="shared" si="101"/>
        <v>https://www.oreht.ru/modules.php?name=orehtPriceLS&amp;op=Search&amp;page=1&amp;stext=92697</v>
      </c>
      <c r="I1817">
        <v>92697</v>
      </c>
      <c r="J1817" t="s">
        <v>2</v>
      </c>
      <c r="K1817" t="s">
        <v>4910</v>
      </c>
      <c r="L1817" t="s">
        <v>4911</v>
      </c>
      <c r="M1817" t="s">
        <v>976</v>
      </c>
    </row>
    <row r="1818" spans="1:13" hidden="1" x14ac:dyDescent="0.25">
      <c r="A1818" s="24">
        <f t="shared" si="102"/>
        <v>20</v>
      </c>
      <c r="B1818" s="24">
        <v>12</v>
      </c>
      <c r="C1818" s="24">
        <v>71</v>
      </c>
      <c r="E1818" s="4">
        <v>305671</v>
      </c>
      <c r="F1818" s="2" t="s">
        <v>2</v>
      </c>
      <c r="G1818" s="2" t="str">
        <f t="shared" si="101"/>
        <v>https://www.oreht.ru/modules.php?name=orehtPriceLS&amp;op=Search&amp;page=1&amp;stext=305671</v>
      </c>
      <c r="I1818">
        <v>305671</v>
      </c>
      <c r="J1818" t="s">
        <v>2</v>
      </c>
      <c r="K1818" t="s">
        <v>4912</v>
      </c>
      <c r="L1818" t="s">
        <v>4913</v>
      </c>
      <c r="M1818" t="s">
        <v>4914</v>
      </c>
    </row>
    <row r="1819" spans="1:13" hidden="1" x14ac:dyDescent="0.25">
      <c r="A1819" s="24">
        <f t="shared" si="102"/>
        <v>20</v>
      </c>
      <c r="B1819" s="24">
        <v>12</v>
      </c>
      <c r="C1819" s="24">
        <v>42.85</v>
      </c>
      <c r="E1819" s="4">
        <v>172788</v>
      </c>
      <c r="F1819" s="2" t="s">
        <v>2</v>
      </c>
      <c r="G1819" s="2" t="str">
        <f t="shared" si="101"/>
        <v>https://www.oreht.ru/modules.php?name=orehtPriceLS&amp;op=Search&amp;page=1&amp;stext=172788</v>
      </c>
      <c r="I1819">
        <v>172788</v>
      </c>
      <c r="J1819" t="s">
        <v>2</v>
      </c>
      <c r="K1819" t="s">
        <v>4915</v>
      </c>
      <c r="L1819" t="s">
        <v>4916</v>
      </c>
      <c r="M1819" t="s">
        <v>4917</v>
      </c>
    </row>
    <row r="1820" spans="1:13" hidden="1" x14ac:dyDescent="0.25">
      <c r="A1820" s="24">
        <f t="shared" si="102"/>
        <v>20</v>
      </c>
      <c r="B1820" s="24">
        <v>12</v>
      </c>
      <c r="C1820" s="24">
        <v>63</v>
      </c>
      <c r="E1820" s="4">
        <v>358213</v>
      </c>
      <c r="F1820" s="2" t="s">
        <v>2</v>
      </c>
      <c r="G1820" s="2" t="str">
        <f t="shared" si="101"/>
        <v>https://www.oreht.ru/modules.php?name=orehtPriceLS&amp;op=Search&amp;page=1&amp;stext=358213</v>
      </c>
      <c r="I1820">
        <v>358213</v>
      </c>
      <c r="J1820" t="s">
        <v>2</v>
      </c>
      <c r="K1820" t="s">
        <v>4918</v>
      </c>
      <c r="L1820" t="s">
        <v>4919</v>
      </c>
      <c r="M1820" t="s">
        <v>4917</v>
      </c>
    </row>
    <row r="1821" spans="1:13" hidden="1" x14ac:dyDescent="0.25">
      <c r="A1821" s="24">
        <f t="shared" si="102"/>
        <v>20</v>
      </c>
      <c r="B1821" s="24">
        <v>12</v>
      </c>
      <c r="C1821" s="24">
        <v>45</v>
      </c>
      <c r="E1821" s="4">
        <v>173435</v>
      </c>
      <c r="F1821" s="2" t="s">
        <v>2</v>
      </c>
      <c r="G1821" s="2" t="str">
        <f t="shared" si="101"/>
        <v>https://www.oreht.ru/modules.php?name=orehtPriceLS&amp;op=Search&amp;page=1&amp;stext=173435</v>
      </c>
      <c r="I1821">
        <v>173435</v>
      </c>
      <c r="J1821" t="s">
        <v>2</v>
      </c>
      <c r="K1821" t="s">
        <v>4920</v>
      </c>
      <c r="L1821" t="s">
        <v>4921</v>
      </c>
      <c r="M1821" t="s">
        <v>4917</v>
      </c>
    </row>
    <row r="1822" spans="1:13" hidden="1" x14ac:dyDescent="0.25">
      <c r="A1822" s="24">
        <f t="shared" si="102"/>
        <v>20</v>
      </c>
      <c r="B1822" s="24">
        <v>12</v>
      </c>
      <c r="C1822" s="24">
        <v>45</v>
      </c>
      <c r="E1822" s="4">
        <v>172789</v>
      </c>
      <c r="F1822" s="2" t="s">
        <v>2</v>
      </c>
      <c r="G1822" s="2" t="str">
        <f t="shared" si="101"/>
        <v>https://www.oreht.ru/modules.php?name=orehtPriceLS&amp;op=Search&amp;page=1&amp;stext=172789</v>
      </c>
      <c r="I1822">
        <v>172789</v>
      </c>
      <c r="J1822" t="s">
        <v>2</v>
      </c>
      <c r="K1822" t="s">
        <v>4922</v>
      </c>
      <c r="L1822" t="s">
        <v>4923</v>
      </c>
      <c r="M1822" t="s">
        <v>4917</v>
      </c>
    </row>
    <row r="1823" spans="1:13" hidden="1" x14ac:dyDescent="0.25">
      <c r="A1823" s="24">
        <f t="shared" si="102"/>
        <v>20</v>
      </c>
      <c r="B1823" s="24">
        <v>12</v>
      </c>
      <c r="C1823" s="24">
        <v>67</v>
      </c>
      <c r="E1823" s="4">
        <v>160448</v>
      </c>
      <c r="F1823" s="2" t="s">
        <v>2</v>
      </c>
      <c r="G1823" s="2" t="str">
        <f t="shared" si="101"/>
        <v>https://www.oreht.ru/modules.php?name=orehtPriceLS&amp;op=Search&amp;page=1&amp;stext=160448</v>
      </c>
      <c r="I1823">
        <v>160448</v>
      </c>
      <c r="J1823" t="s">
        <v>2</v>
      </c>
      <c r="K1823" t="s">
        <v>4924</v>
      </c>
      <c r="L1823" t="s">
        <v>4925</v>
      </c>
      <c r="M1823" t="s">
        <v>4926</v>
      </c>
    </row>
    <row r="1824" spans="1:13" hidden="1" x14ac:dyDescent="0.25">
      <c r="A1824" s="24">
        <f t="shared" si="102"/>
        <v>20</v>
      </c>
      <c r="B1824" s="24">
        <v>10</v>
      </c>
      <c r="C1824" s="24">
        <v>42</v>
      </c>
      <c r="E1824" s="4">
        <v>159596</v>
      </c>
      <c r="F1824" s="2" t="s">
        <v>2</v>
      </c>
      <c r="G1824" s="2" t="str">
        <f t="shared" si="101"/>
        <v>https://www.oreht.ru/modules.php?name=orehtPriceLS&amp;op=Search&amp;page=1&amp;stext=159596</v>
      </c>
      <c r="I1824">
        <v>159596</v>
      </c>
      <c r="J1824" t="s">
        <v>2</v>
      </c>
      <c r="K1824" t="s">
        <v>4927</v>
      </c>
      <c r="L1824" t="s">
        <v>4928</v>
      </c>
      <c r="M1824" t="s">
        <v>773</v>
      </c>
    </row>
    <row r="1825" spans="1:13" hidden="1" x14ac:dyDescent="0.25">
      <c r="A1825" s="24">
        <f t="shared" si="102"/>
        <v>20</v>
      </c>
      <c r="B1825" s="24">
        <v>12</v>
      </c>
      <c r="C1825" s="24">
        <v>41</v>
      </c>
      <c r="E1825" s="4">
        <v>93129</v>
      </c>
      <c r="F1825" s="2" t="s">
        <v>2</v>
      </c>
      <c r="G1825" s="2" t="str">
        <f t="shared" si="101"/>
        <v>https://www.oreht.ru/modules.php?name=orehtPriceLS&amp;op=Search&amp;page=1&amp;stext=93129</v>
      </c>
      <c r="I1825">
        <v>93129</v>
      </c>
      <c r="J1825" t="s">
        <v>2</v>
      </c>
      <c r="K1825" t="s">
        <v>4929</v>
      </c>
      <c r="L1825" t="s">
        <v>4930</v>
      </c>
      <c r="M1825" t="s">
        <v>4231</v>
      </c>
    </row>
    <row r="1826" spans="1:13" hidden="1" x14ac:dyDescent="0.25">
      <c r="A1826" s="24">
        <f t="shared" si="102"/>
        <v>20</v>
      </c>
      <c r="B1826" s="24">
        <v>12</v>
      </c>
      <c r="C1826" s="24">
        <v>63</v>
      </c>
      <c r="E1826" s="4">
        <v>174252</v>
      </c>
      <c r="F1826" s="2" t="s">
        <v>2</v>
      </c>
      <c r="G1826" s="2" t="str">
        <f t="shared" si="101"/>
        <v>https://www.oreht.ru/modules.php?name=orehtPriceLS&amp;op=Search&amp;page=1&amp;stext=174252</v>
      </c>
      <c r="I1826">
        <v>174252</v>
      </c>
      <c r="J1826" t="s">
        <v>2</v>
      </c>
      <c r="K1826" t="s">
        <v>4931</v>
      </c>
      <c r="L1826" t="s">
        <v>4932</v>
      </c>
      <c r="M1826" t="s">
        <v>4815</v>
      </c>
    </row>
    <row r="1827" spans="1:13" hidden="1" x14ac:dyDescent="0.25">
      <c r="A1827" s="24">
        <f t="shared" si="102"/>
        <v>20</v>
      </c>
      <c r="B1827" s="24">
        <v>12</v>
      </c>
      <c r="C1827" s="24">
        <v>315</v>
      </c>
      <c r="E1827" s="4">
        <v>92767</v>
      </c>
      <c r="F1827" s="2" t="s">
        <v>2</v>
      </c>
      <c r="G1827" s="2" t="str">
        <f t="shared" si="101"/>
        <v>https://www.oreht.ru/modules.php?name=orehtPriceLS&amp;op=Search&amp;page=1&amp;stext=92767</v>
      </c>
      <c r="I1827">
        <v>92767</v>
      </c>
      <c r="J1827" t="s">
        <v>2</v>
      </c>
      <c r="K1827" t="s">
        <v>4933</v>
      </c>
      <c r="L1827" t="s">
        <v>4934</v>
      </c>
      <c r="M1827" t="s">
        <v>4935</v>
      </c>
    </row>
    <row r="1828" spans="1:13" hidden="1" x14ac:dyDescent="0.25">
      <c r="A1828" s="24">
        <f t="shared" si="102"/>
        <v>20</v>
      </c>
      <c r="B1828" s="24">
        <v>12</v>
      </c>
      <c r="C1828" s="24">
        <v>265</v>
      </c>
      <c r="E1828" s="4">
        <v>402679</v>
      </c>
      <c r="F1828" s="2" t="s">
        <v>2</v>
      </c>
      <c r="G1828" s="2" t="str">
        <f t="shared" si="101"/>
        <v>https://www.oreht.ru/modules.php?name=orehtPriceLS&amp;op=Search&amp;page=1&amp;stext=402679</v>
      </c>
      <c r="I1828">
        <v>402679</v>
      </c>
      <c r="J1828" t="s">
        <v>2</v>
      </c>
      <c r="K1828" t="s">
        <v>4936</v>
      </c>
      <c r="L1828" t="s">
        <v>4937</v>
      </c>
      <c r="M1828" t="s">
        <v>4935</v>
      </c>
    </row>
    <row r="1829" spans="1:13" hidden="1" x14ac:dyDescent="0.25">
      <c r="A1829" s="24">
        <f t="shared" si="102"/>
        <v>20</v>
      </c>
      <c r="B1829" s="24">
        <v>12</v>
      </c>
      <c r="C1829" s="24">
        <v>79</v>
      </c>
      <c r="E1829" s="4">
        <v>384922</v>
      </c>
      <c r="F1829" s="2" t="s">
        <v>2</v>
      </c>
      <c r="G1829" s="2" t="str">
        <f t="shared" si="101"/>
        <v>https://www.oreht.ru/modules.php?name=orehtPriceLS&amp;op=Search&amp;page=1&amp;stext=384922</v>
      </c>
      <c r="I1829">
        <v>384922</v>
      </c>
      <c r="J1829" t="s">
        <v>2</v>
      </c>
      <c r="K1829" t="s">
        <v>4938</v>
      </c>
      <c r="L1829" t="s">
        <v>4939</v>
      </c>
      <c r="M1829" t="s">
        <v>4009</v>
      </c>
    </row>
    <row r="1830" spans="1:13" hidden="1" x14ac:dyDescent="0.25">
      <c r="A1830" s="24">
        <f t="shared" si="102"/>
        <v>20</v>
      </c>
      <c r="B1830" s="24">
        <v>12</v>
      </c>
      <c r="C1830" s="24">
        <v>49</v>
      </c>
      <c r="E1830" s="4">
        <v>413700</v>
      </c>
      <c r="F1830" s="2" t="s">
        <v>2</v>
      </c>
      <c r="G1830" s="2" t="str">
        <f t="shared" si="101"/>
        <v>https://www.oreht.ru/modules.php?name=orehtPriceLS&amp;op=Search&amp;page=1&amp;stext=413700</v>
      </c>
      <c r="I1830">
        <v>413700</v>
      </c>
      <c r="J1830" t="s">
        <v>2</v>
      </c>
      <c r="K1830" t="s">
        <v>4940</v>
      </c>
      <c r="L1830" t="s">
        <v>4941</v>
      </c>
      <c r="M1830" t="s">
        <v>809</v>
      </c>
    </row>
    <row r="1831" spans="1:13" hidden="1" x14ac:dyDescent="0.25">
      <c r="A1831" s="24">
        <f t="shared" si="102"/>
        <v>20</v>
      </c>
      <c r="B1831" s="24">
        <v>8</v>
      </c>
      <c r="C1831" s="24">
        <v>120</v>
      </c>
      <c r="E1831" s="4">
        <v>348616</v>
      </c>
      <c r="F1831" s="2" t="s">
        <v>2</v>
      </c>
      <c r="G1831" s="2" t="str">
        <f t="shared" si="101"/>
        <v>https://www.oreht.ru/modules.php?name=orehtPriceLS&amp;op=Search&amp;page=1&amp;stext=348616</v>
      </c>
      <c r="I1831">
        <v>348616</v>
      </c>
      <c r="J1831" t="s">
        <v>2</v>
      </c>
      <c r="K1831" t="s">
        <v>4942</v>
      </c>
      <c r="L1831" t="s">
        <v>4943</v>
      </c>
      <c r="M1831" t="s">
        <v>4745</v>
      </c>
    </row>
    <row r="1832" spans="1:13" hidden="1" x14ac:dyDescent="0.25">
      <c r="A1832" s="24">
        <f t="shared" si="102"/>
        <v>20</v>
      </c>
      <c r="B1832" s="24">
        <v>8</v>
      </c>
      <c r="C1832" s="24">
        <v>120</v>
      </c>
      <c r="E1832" s="4">
        <v>399943</v>
      </c>
      <c r="F1832" s="2" t="s">
        <v>2</v>
      </c>
      <c r="G1832" s="2" t="str">
        <f t="shared" si="101"/>
        <v>https://www.oreht.ru/modules.php?name=orehtPriceLS&amp;op=Search&amp;page=1&amp;stext=399943</v>
      </c>
      <c r="I1832">
        <v>399943</v>
      </c>
      <c r="J1832" t="s">
        <v>2</v>
      </c>
      <c r="K1832" t="s">
        <v>4944</v>
      </c>
      <c r="L1832" t="s">
        <v>4945</v>
      </c>
      <c r="M1832" t="s">
        <v>4946</v>
      </c>
    </row>
    <row r="1833" spans="1:13" hidden="1" x14ac:dyDescent="0.25">
      <c r="A1833" s="24">
        <f t="shared" si="102"/>
        <v>20</v>
      </c>
      <c r="B1833" s="24">
        <v>8</v>
      </c>
      <c r="C1833" s="24">
        <v>120</v>
      </c>
      <c r="E1833" s="4">
        <v>426015</v>
      </c>
      <c r="F1833" s="2" t="s">
        <v>2</v>
      </c>
      <c r="G1833" s="2" t="str">
        <f t="shared" si="101"/>
        <v>https://www.oreht.ru/modules.php?name=orehtPriceLS&amp;op=Search&amp;page=1&amp;stext=426015</v>
      </c>
      <c r="I1833">
        <v>426015</v>
      </c>
      <c r="J1833" t="s">
        <v>2</v>
      </c>
      <c r="K1833" t="s">
        <v>4947</v>
      </c>
      <c r="L1833" t="s">
        <v>4948</v>
      </c>
      <c r="M1833" t="s">
        <v>4088</v>
      </c>
    </row>
    <row r="1834" spans="1:13" hidden="1" x14ac:dyDescent="0.25">
      <c r="A1834" s="24">
        <f t="shared" si="102"/>
        <v>20</v>
      </c>
      <c r="B1834" s="24">
        <v>8</v>
      </c>
      <c r="C1834" s="24">
        <v>61</v>
      </c>
      <c r="E1834" s="4">
        <v>210653</v>
      </c>
      <c r="F1834" s="2" t="s">
        <v>2</v>
      </c>
      <c r="G1834" s="2" t="str">
        <f t="shared" si="101"/>
        <v>https://www.oreht.ru/modules.php?name=orehtPriceLS&amp;op=Search&amp;page=1&amp;stext=210653</v>
      </c>
      <c r="I1834">
        <v>210653</v>
      </c>
      <c r="J1834" t="s">
        <v>2</v>
      </c>
      <c r="K1834" t="s">
        <v>4949</v>
      </c>
      <c r="L1834" t="s">
        <v>4950</v>
      </c>
      <c r="M1834" t="s">
        <v>4951</v>
      </c>
    </row>
    <row r="1835" spans="1:13" hidden="1" x14ac:dyDescent="0.25">
      <c r="A1835" s="24">
        <f t="shared" si="102"/>
        <v>20</v>
      </c>
      <c r="B1835" s="24">
        <v>12</v>
      </c>
      <c r="C1835" s="24">
        <v>40</v>
      </c>
      <c r="E1835" s="4">
        <v>217225</v>
      </c>
      <c r="F1835" s="2" t="s">
        <v>2</v>
      </c>
      <c r="G1835" s="2" t="str">
        <f t="shared" si="101"/>
        <v>https://www.oreht.ru/modules.php?name=orehtPriceLS&amp;op=Search&amp;page=1&amp;stext=217225</v>
      </c>
      <c r="I1835">
        <v>217225</v>
      </c>
      <c r="J1835" t="s">
        <v>2</v>
      </c>
      <c r="K1835" t="s">
        <v>4952</v>
      </c>
      <c r="L1835" t="s">
        <v>4953</v>
      </c>
      <c r="M1835" t="s">
        <v>4954</v>
      </c>
    </row>
    <row r="1836" spans="1:13" hidden="1" x14ac:dyDescent="0.25">
      <c r="A1836" s="24">
        <f t="shared" si="102"/>
        <v>20</v>
      </c>
      <c r="B1836" s="24">
        <v>12</v>
      </c>
      <c r="C1836" s="24">
        <v>79</v>
      </c>
      <c r="E1836" s="4">
        <v>334743</v>
      </c>
      <c r="F1836" s="2" t="s">
        <v>2</v>
      </c>
      <c r="G1836" s="2" t="str">
        <f t="shared" si="101"/>
        <v>https://www.oreht.ru/modules.php?name=orehtPriceLS&amp;op=Search&amp;page=1&amp;stext=334743</v>
      </c>
      <c r="I1836">
        <v>334743</v>
      </c>
      <c r="J1836" t="s">
        <v>2</v>
      </c>
      <c r="K1836" t="s">
        <v>4955</v>
      </c>
      <c r="L1836" t="s">
        <v>4956</v>
      </c>
      <c r="M1836" t="s">
        <v>4957</v>
      </c>
    </row>
    <row r="1837" spans="1:13" hidden="1" x14ac:dyDescent="0.25">
      <c r="A1837" s="24">
        <f t="shared" si="102"/>
        <v>20</v>
      </c>
      <c r="B1837" s="24">
        <v>12</v>
      </c>
      <c r="C1837" s="24">
        <v>135</v>
      </c>
      <c r="E1837" s="4">
        <v>93378</v>
      </c>
      <c r="F1837" s="2" t="s">
        <v>2</v>
      </c>
      <c r="G1837" s="2" t="str">
        <f t="shared" si="101"/>
        <v>https://www.oreht.ru/modules.php?name=orehtPriceLS&amp;op=Search&amp;page=1&amp;stext=93378</v>
      </c>
      <c r="I1837">
        <v>93378</v>
      </c>
      <c r="J1837" t="s">
        <v>2</v>
      </c>
      <c r="K1837" t="s">
        <v>4958</v>
      </c>
      <c r="L1837" t="s">
        <v>4959</v>
      </c>
      <c r="M1837" t="s">
        <v>4960</v>
      </c>
    </row>
    <row r="1838" spans="1:13" hidden="1" x14ac:dyDescent="0.25">
      <c r="A1838" s="24">
        <f t="shared" si="102"/>
        <v>20</v>
      </c>
      <c r="B1838" s="24">
        <v>12</v>
      </c>
      <c r="C1838" s="24">
        <v>185</v>
      </c>
      <c r="E1838" s="4">
        <v>93381</v>
      </c>
      <c r="F1838" s="2" t="s">
        <v>2</v>
      </c>
      <c r="G1838" s="2" t="str">
        <f t="shared" si="101"/>
        <v>https://www.oreht.ru/modules.php?name=orehtPriceLS&amp;op=Search&amp;page=1&amp;stext=93381</v>
      </c>
      <c r="I1838">
        <v>93381</v>
      </c>
      <c r="J1838" t="s">
        <v>2</v>
      </c>
      <c r="K1838" t="s">
        <v>4961</v>
      </c>
      <c r="L1838" t="s">
        <v>4962</v>
      </c>
      <c r="M1838" t="s">
        <v>4963</v>
      </c>
    </row>
    <row r="1839" spans="1:13" hidden="1" x14ac:dyDescent="0.25">
      <c r="A1839" s="24">
        <f t="shared" si="102"/>
        <v>20</v>
      </c>
      <c r="B1839" s="24">
        <v>12</v>
      </c>
      <c r="C1839" s="24">
        <v>225</v>
      </c>
      <c r="E1839" s="4">
        <v>299390</v>
      </c>
      <c r="F1839" s="2" t="s">
        <v>2</v>
      </c>
      <c r="G1839" s="2" t="str">
        <f t="shared" si="101"/>
        <v>https://www.oreht.ru/modules.php?name=orehtPriceLS&amp;op=Search&amp;page=1&amp;stext=299390</v>
      </c>
      <c r="I1839">
        <v>299390</v>
      </c>
      <c r="J1839" t="s">
        <v>2</v>
      </c>
      <c r="K1839" t="s">
        <v>4964</v>
      </c>
      <c r="L1839" t="s">
        <v>4965</v>
      </c>
      <c r="M1839" t="s">
        <v>4966</v>
      </c>
    </row>
    <row r="1840" spans="1:13" hidden="1" x14ac:dyDescent="0.25">
      <c r="A1840" s="24">
        <f t="shared" si="102"/>
        <v>20</v>
      </c>
      <c r="B1840" s="24">
        <v>12</v>
      </c>
      <c r="C1840" s="24">
        <v>120</v>
      </c>
      <c r="E1840" s="4">
        <v>283708</v>
      </c>
      <c r="F1840" s="2" t="s">
        <v>2</v>
      </c>
      <c r="G1840" s="2" t="str">
        <f t="shared" si="101"/>
        <v>https://www.oreht.ru/modules.php?name=orehtPriceLS&amp;op=Search&amp;page=1&amp;stext=283708</v>
      </c>
      <c r="I1840">
        <v>283708</v>
      </c>
      <c r="J1840" t="s">
        <v>2</v>
      </c>
      <c r="K1840" t="s">
        <v>4967</v>
      </c>
      <c r="L1840" t="s">
        <v>4968</v>
      </c>
      <c r="M1840" t="s">
        <v>4969</v>
      </c>
    </row>
    <row r="1841" spans="1:13" hidden="1" x14ac:dyDescent="0.25">
      <c r="A1841" s="24">
        <f t="shared" si="102"/>
        <v>20</v>
      </c>
      <c r="B1841" s="24">
        <v>12</v>
      </c>
      <c r="C1841" s="24">
        <v>41</v>
      </c>
      <c r="E1841" s="4">
        <v>281452</v>
      </c>
      <c r="F1841" s="2" t="s">
        <v>2</v>
      </c>
      <c r="G1841" s="2" t="str">
        <f t="shared" si="101"/>
        <v>https://www.oreht.ru/modules.php?name=orehtPriceLS&amp;op=Search&amp;page=1&amp;stext=281452</v>
      </c>
      <c r="I1841">
        <v>281452</v>
      </c>
      <c r="J1841" t="s">
        <v>2</v>
      </c>
      <c r="K1841" t="s">
        <v>4970</v>
      </c>
      <c r="L1841" t="s">
        <v>4971</v>
      </c>
      <c r="M1841" t="s">
        <v>3886</v>
      </c>
    </row>
    <row r="1842" spans="1:13" hidden="1" x14ac:dyDescent="0.25">
      <c r="A1842" s="24">
        <f t="shared" si="102"/>
        <v>20</v>
      </c>
      <c r="B1842" s="24">
        <v>12</v>
      </c>
      <c r="C1842" s="24">
        <v>79</v>
      </c>
      <c r="E1842" s="4">
        <v>92794</v>
      </c>
      <c r="F1842" s="2" t="s">
        <v>2</v>
      </c>
      <c r="G1842" s="2" t="str">
        <f t="shared" si="101"/>
        <v>https://www.oreht.ru/modules.php?name=orehtPriceLS&amp;op=Search&amp;page=1&amp;stext=92794</v>
      </c>
      <c r="I1842">
        <v>92794</v>
      </c>
      <c r="J1842" t="s">
        <v>2</v>
      </c>
      <c r="K1842" t="s">
        <v>4972</v>
      </c>
      <c r="L1842" t="s">
        <v>4973</v>
      </c>
      <c r="M1842" t="s">
        <v>3536</v>
      </c>
    </row>
    <row r="1843" spans="1:13" hidden="1" x14ac:dyDescent="0.25">
      <c r="A1843" s="24">
        <f t="shared" si="102"/>
        <v>20</v>
      </c>
      <c r="B1843" s="24">
        <v>12</v>
      </c>
      <c r="C1843" s="24">
        <v>100</v>
      </c>
      <c r="E1843" s="4">
        <v>92795</v>
      </c>
      <c r="F1843" s="2" t="s">
        <v>2</v>
      </c>
      <c r="G1843" s="2" t="str">
        <f t="shared" si="101"/>
        <v>https://www.oreht.ru/modules.php?name=orehtPriceLS&amp;op=Search&amp;page=1&amp;stext=92795</v>
      </c>
      <c r="I1843">
        <v>92795</v>
      </c>
      <c r="J1843" t="s">
        <v>2</v>
      </c>
      <c r="K1843" t="s">
        <v>4974</v>
      </c>
      <c r="L1843" t="s">
        <v>4975</v>
      </c>
      <c r="M1843" t="s">
        <v>4976</v>
      </c>
    </row>
    <row r="1844" spans="1:13" hidden="1" x14ac:dyDescent="0.25">
      <c r="A1844" s="24">
        <f t="shared" si="102"/>
        <v>20</v>
      </c>
      <c r="B1844" s="24">
        <v>12</v>
      </c>
      <c r="C1844" s="24">
        <v>120</v>
      </c>
      <c r="E1844" s="4">
        <v>92796</v>
      </c>
      <c r="F1844" s="2" t="s">
        <v>2</v>
      </c>
      <c r="G1844" s="2" t="str">
        <f t="shared" si="101"/>
        <v>https://www.oreht.ru/modules.php?name=orehtPriceLS&amp;op=Search&amp;page=1&amp;stext=92796</v>
      </c>
      <c r="I1844">
        <v>92796</v>
      </c>
      <c r="J1844" t="s">
        <v>2</v>
      </c>
      <c r="K1844" t="s">
        <v>4977</v>
      </c>
      <c r="L1844" t="s">
        <v>4978</v>
      </c>
      <c r="M1844" t="s">
        <v>4190</v>
      </c>
    </row>
    <row r="1845" spans="1:13" hidden="1" x14ac:dyDescent="0.25">
      <c r="A1845" s="24">
        <f t="shared" si="102"/>
        <v>20</v>
      </c>
      <c r="B1845" s="24">
        <v>12</v>
      </c>
      <c r="C1845" s="24">
        <v>100</v>
      </c>
      <c r="E1845" s="4">
        <v>423037</v>
      </c>
      <c r="F1845" s="2" t="s">
        <v>2</v>
      </c>
      <c r="G1845" s="2" t="str">
        <f t="shared" si="101"/>
        <v>https://www.oreht.ru/modules.php?name=orehtPriceLS&amp;op=Search&amp;page=1&amp;stext=423037</v>
      </c>
      <c r="I1845">
        <v>423037</v>
      </c>
      <c r="J1845" t="s">
        <v>2</v>
      </c>
      <c r="K1845" t="s">
        <v>4979</v>
      </c>
      <c r="L1845" t="s">
        <v>4980</v>
      </c>
      <c r="M1845" t="s">
        <v>4632</v>
      </c>
    </row>
    <row r="1846" spans="1:13" hidden="1" x14ac:dyDescent="0.25">
      <c r="A1846" s="24">
        <f t="shared" si="102"/>
        <v>20</v>
      </c>
      <c r="B1846" s="24">
        <v>12</v>
      </c>
      <c r="C1846" s="24">
        <v>45</v>
      </c>
      <c r="E1846" s="4">
        <v>256293</v>
      </c>
      <c r="F1846" s="2" t="s">
        <v>2</v>
      </c>
      <c r="G1846" s="2" t="str">
        <f t="shared" si="101"/>
        <v>https://www.oreht.ru/modules.php?name=orehtPriceLS&amp;op=Search&amp;page=1&amp;stext=256293</v>
      </c>
      <c r="I1846">
        <v>256293</v>
      </c>
      <c r="J1846" t="s">
        <v>2</v>
      </c>
      <c r="K1846" t="s">
        <v>4981</v>
      </c>
      <c r="L1846" t="s">
        <v>4982</v>
      </c>
      <c r="M1846" t="s">
        <v>3457</v>
      </c>
    </row>
    <row r="1847" spans="1:13" hidden="1" x14ac:dyDescent="0.25">
      <c r="A1847" s="24">
        <f t="shared" si="102"/>
        <v>20</v>
      </c>
      <c r="B1847" s="24">
        <v>12</v>
      </c>
      <c r="C1847" s="24">
        <v>43</v>
      </c>
      <c r="E1847" s="4">
        <v>423038</v>
      </c>
      <c r="F1847" s="2" t="s">
        <v>2</v>
      </c>
      <c r="G1847" s="2" t="str">
        <f t="shared" si="101"/>
        <v>https://www.oreht.ru/modules.php?name=orehtPriceLS&amp;op=Search&amp;page=1&amp;stext=423038</v>
      </c>
      <c r="I1847">
        <v>423038</v>
      </c>
      <c r="J1847" t="s">
        <v>2</v>
      </c>
      <c r="K1847" t="s">
        <v>4983</v>
      </c>
      <c r="L1847" t="s">
        <v>4984</v>
      </c>
      <c r="M1847" t="s">
        <v>4985</v>
      </c>
    </row>
    <row r="1848" spans="1:13" hidden="1" x14ac:dyDescent="0.25">
      <c r="A1848" s="24">
        <f t="shared" si="102"/>
        <v>20</v>
      </c>
      <c r="B1848" s="24">
        <v>12</v>
      </c>
      <c r="C1848" s="24">
        <v>45</v>
      </c>
      <c r="E1848" s="4">
        <v>237273</v>
      </c>
      <c r="F1848" s="2" t="s">
        <v>2</v>
      </c>
      <c r="G1848" s="2" t="str">
        <f t="shared" si="101"/>
        <v>https://www.oreht.ru/modules.php?name=orehtPriceLS&amp;op=Search&amp;page=1&amp;stext=237273</v>
      </c>
      <c r="I1848">
        <v>237273</v>
      </c>
      <c r="J1848" t="s">
        <v>2</v>
      </c>
      <c r="K1848" t="s">
        <v>4986</v>
      </c>
      <c r="L1848" t="s">
        <v>4987</v>
      </c>
      <c r="M1848" t="s">
        <v>4660</v>
      </c>
    </row>
    <row r="1849" spans="1:13" hidden="1" x14ac:dyDescent="0.25">
      <c r="A1849" s="24">
        <f t="shared" si="102"/>
        <v>20</v>
      </c>
      <c r="B1849" s="24">
        <v>12</v>
      </c>
      <c r="C1849" s="24">
        <v>41</v>
      </c>
      <c r="E1849" s="4">
        <v>194986</v>
      </c>
      <c r="F1849" s="2" t="s">
        <v>2</v>
      </c>
      <c r="G1849" s="2" t="str">
        <f t="shared" si="101"/>
        <v>https://www.oreht.ru/modules.php?name=orehtPriceLS&amp;op=Search&amp;page=1&amp;stext=194986</v>
      </c>
      <c r="I1849">
        <v>194986</v>
      </c>
      <c r="J1849" t="s">
        <v>2</v>
      </c>
      <c r="K1849" t="s">
        <v>4988</v>
      </c>
      <c r="L1849" t="s">
        <v>4989</v>
      </c>
      <c r="M1849" t="s">
        <v>4660</v>
      </c>
    </row>
    <row r="1850" spans="1:13" hidden="1" x14ac:dyDescent="0.25">
      <c r="A1850" s="24">
        <f t="shared" si="102"/>
        <v>20</v>
      </c>
      <c r="B1850" s="24">
        <v>12</v>
      </c>
      <c r="C1850" s="24">
        <v>41</v>
      </c>
      <c r="E1850" s="4">
        <v>194987</v>
      </c>
      <c r="F1850" s="2" t="s">
        <v>2</v>
      </c>
      <c r="G1850" s="2" t="str">
        <f t="shared" si="101"/>
        <v>https://www.oreht.ru/modules.php?name=orehtPriceLS&amp;op=Search&amp;page=1&amp;stext=194987</v>
      </c>
      <c r="I1850">
        <v>194987</v>
      </c>
      <c r="J1850" t="s">
        <v>2</v>
      </c>
      <c r="K1850" t="s">
        <v>4990</v>
      </c>
      <c r="L1850" t="s">
        <v>4991</v>
      </c>
      <c r="M1850" t="s">
        <v>4660</v>
      </c>
    </row>
    <row r="1851" spans="1:13" hidden="1" x14ac:dyDescent="0.25">
      <c r="A1851" s="24">
        <f t="shared" si="102"/>
        <v>20</v>
      </c>
      <c r="B1851" s="24">
        <v>12</v>
      </c>
      <c r="C1851" s="24">
        <v>525</v>
      </c>
      <c r="E1851" s="4">
        <v>183820</v>
      </c>
      <c r="F1851" s="2" t="s">
        <v>2</v>
      </c>
      <c r="G1851" s="2" t="str">
        <f t="shared" si="101"/>
        <v>https://www.oreht.ru/modules.php?name=orehtPriceLS&amp;op=Search&amp;page=1&amp;stext=183820</v>
      </c>
      <c r="I1851">
        <v>183820</v>
      </c>
      <c r="J1851" t="s">
        <v>2</v>
      </c>
      <c r="K1851" t="s">
        <v>4992</v>
      </c>
      <c r="L1851" t="s">
        <v>4993</v>
      </c>
      <c r="M1851" t="s">
        <v>4994</v>
      </c>
    </row>
    <row r="1852" spans="1:13" x14ac:dyDescent="0.25">
      <c r="A1852" s="24">
        <f t="shared" si="102"/>
        <v>20</v>
      </c>
      <c r="B1852" s="24">
        <v>12</v>
      </c>
      <c r="C1852" s="24">
        <v>49</v>
      </c>
      <c r="E1852" s="4">
        <v>92802</v>
      </c>
      <c r="F1852" s="2" t="s">
        <v>2</v>
      </c>
      <c r="G1852" s="2" t="str">
        <f t="shared" si="101"/>
        <v>https://www.oreht.ru/modules.php?name=orehtPriceLS&amp;op=Search&amp;page=1&amp;stext=92802</v>
      </c>
      <c r="I1852">
        <v>92802</v>
      </c>
      <c r="J1852" t="s">
        <v>2</v>
      </c>
      <c r="K1852" t="s">
        <v>4995</v>
      </c>
    </row>
    <row r="1853" spans="1:13" hidden="1" x14ac:dyDescent="0.25">
      <c r="A1853" s="24">
        <f t="shared" si="102"/>
        <v>20</v>
      </c>
      <c r="B1853" s="24">
        <v>10</v>
      </c>
      <c r="C1853" s="24">
        <v>79</v>
      </c>
      <c r="E1853" s="4">
        <v>420515</v>
      </c>
      <c r="F1853" s="2" t="s">
        <v>2</v>
      </c>
      <c r="G1853" s="2" t="str">
        <f t="shared" si="101"/>
        <v>https://www.oreht.ru/modules.php?name=orehtPriceLS&amp;op=Search&amp;page=1&amp;stext=420515</v>
      </c>
      <c r="I1853">
        <v>420515</v>
      </c>
      <c r="J1853" t="s">
        <v>2</v>
      </c>
      <c r="K1853" t="s">
        <v>4996</v>
      </c>
      <c r="L1853" t="s">
        <v>4997</v>
      </c>
      <c r="M1853" t="s">
        <v>4998</v>
      </c>
    </row>
    <row r="1854" spans="1:13" hidden="1" x14ac:dyDescent="0.25">
      <c r="A1854" s="24">
        <f t="shared" si="102"/>
        <v>20</v>
      </c>
      <c r="B1854" s="24">
        <v>10</v>
      </c>
      <c r="C1854" s="24">
        <v>79</v>
      </c>
      <c r="E1854" s="4">
        <v>289774</v>
      </c>
      <c r="F1854" s="2" t="s">
        <v>2</v>
      </c>
      <c r="G1854" s="2" t="str">
        <f t="shared" si="101"/>
        <v>https://www.oreht.ru/modules.php?name=orehtPriceLS&amp;op=Search&amp;page=1&amp;stext=289774</v>
      </c>
      <c r="I1854">
        <v>289774</v>
      </c>
      <c r="J1854" t="s">
        <v>2</v>
      </c>
      <c r="K1854" t="s">
        <v>4999</v>
      </c>
      <c r="L1854" t="s">
        <v>5000</v>
      </c>
      <c r="M1854" t="s">
        <v>5001</v>
      </c>
    </row>
    <row r="1855" spans="1:13" hidden="1" x14ac:dyDescent="0.25">
      <c r="A1855" s="24">
        <f t="shared" si="102"/>
        <v>20</v>
      </c>
      <c r="B1855" s="24">
        <v>12</v>
      </c>
      <c r="C1855" s="24">
        <v>100</v>
      </c>
      <c r="E1855" s="4">
        <v>150407</v>
      </c>
      <c r="F1855" s="2" t="s">
        <v>2</v>
      </c>
      <c r="G1855" s="2" t="str">
        <f t="shared" si="101"/>
        <v>https://www.oreht.ru/modules.php?name=orehtPriceLS&amp;op=Search&amp;page=1&amp;stext=150407</v>
      </c>
      <c r="I1855">
        <v>150407</v>
      </c>
      <c r="J1855" t="s">
        <v>2</v>
      </c>
      <c r="K1855" t="s">
        <v>5002</v>
      </c>
      <c r="L1855" t="s">
        <v>5003</v>
      </c>
      <c r="M1855" t="s">
        <v>5004</v>
      </c>
    </row>
    <row r="1856" spans="1:13" hidden="1" x14ac:dyDescent="0.25">
      <c r="A1856" s="24">
        <f t="shared" si="102"/>
        <v>20</v>
      </c>
      <c r="B1856" s="24">
        <v>12</v>
      </c>
      <c r="C1856" s="24">
        <v>120</v>
      </c>
      <c r="E1856" s="4">
        <v>138981</v>
      </c>
      <c r="F1856" s="2" t="s">
        <v>2</v>
      </c>
      <c r="G1856" s="2" t="str">
        <f t="shared" si="101"/>
        <v>https://www.oreht.ru/modules.php?name=orehtPriceLS&amp;op=Search&amp;page=1&amp;stext=138981</v>
      </c>
      <c r="I1856">
        <v>138981</v>
      </c>
      <c r="J1856" t="s">
        <v>2</v>
      </c>
      <c r="K1856" t="s">
        <v>5005</v>
      </c>
      <c r="L1856" t="s">
        <v>5006</v>
      </c>
      <c r="M1856" t="s">
        <v>4690</v>
      </c>
    </row>
    <row r="1857" spans="1:13" hidden="1" x14ac:dyDescent="0.25">
      <c r="A1857" s="24">
        <f t="shared" si="102"/>
        <v>20</v>
      </c>
      <c r="B1857" s="24">
        <v>12</v>
      </c>
      <c r="C1857" s="24">
        <v>120</v>
      </c>
      <c r="E1857" s="4">
        <v>160795</v>
      </c>
      <c r="F1857" s="2" t="s">
        <v>2</v>
      </c>
      <c r="G1857" s="2" t="str">
        <f t="shared" si="101"/>
        <v>https://www.oreht.ru/modules.php?name=orehtPriceLS&amp;op=Search&amp;page=1&amp;stext=160795</v>
      </c>
      <c r="I1857">
        <v>160795</v>
      </c>
      <c r="J1857" t="s">
        <v>2</v>
      </c>
      <c r="K1857" t="s">
        <v>5007</v>
      </c>
      <c r="L1857" t="s">
        <v>5008</v>
      </c>
      <c r="M1857" t="s">
        <v>5009</v>
      </c>
    </row>
    <row r="1858" spans="1:13" hidden="1" x14ac:dyDescent="0.25">
      <c r="A1858" s="24">
        <f t="shared" si="102"/>
        <v>20</v>
      </c>
      <c r="B1858" s="24">
        <v>12</v>
      </c>
      <c r="C1858" s="24">
        <v>120</v>
      </c>
      <c r="E1858" s="4">
        <v>129180</v>
      </c>
      <c r="F1858" s="2" t="s">
        <v>2</v>
      </c>
      <c r="G1858" s="2" t="str">
        <f t="shared" ref="G1858:G1921" si="103">HYPERLINK(F1858&amp;E1858)</f>
        <v>https://www.oreht.ru/modules.php?name=orehtPriceLS&amp;op=Search&amp;page=1&amp;stext=129180</v>
      </c>
      <c r="I1858">
        <v>129180</v>
      </c>
      <c r="J1858" t="s">
        <v>2</v>
      </c>
      <c r="K1858" t="s">
        <v>5010</v>
      </c>
      <c r="L1858" t="s">
        <v>5011</v>
      </c>
      <c r="M1858" t="s">
        <v>5009</v>
      </c>
    </row>
    <row r="1859" spans="1:13" hidden="1" x14ac:dyDescent="0.25">
      <c r="A1859" s="24">
        <f t="shared" si="102"/>
        <v>20</v>
      </c>
      <c r="B1859" s="24">
        <v>12</v>
      </c>
      <c r="C1859" s="24">
        <v>120</v>
      </c>
      <c r="E1859" s="4">
        <v>177215</v>
      </c>
      <c r="F1859" s="2" t="s">
        <v>2</v>
      </c>
      <c r="G1859" s="2" t="str">
        <f t="shared" si="103"/>
        <v>https://www.oreht.ru/modules.php?name=orehtPriceLS&amp;op=Search&amp;page=1&amp;stext=177215</v>
      </c>
      <c r="I1859">
        <v>177215</v>
      </c>
      <c r="J1859" t="s">
        <v>2</v>
      </c>
      <c r="K1859" t="s">
        <v>5012</v>
      </c>
      <c r="L1859" t="s">
        <v>5013</v>
      </c>
      <c r="M1859" t="s">
        <v>5014</v>
      </c>
    </row>
    <row r="1860" spans="1:13" hidden="1" x14ac:dyDescent="0.25">
      <c r="A1860" s="24">
        <f t="shared" si="102"/>
        <v>20</v>
      </c>
      <c r="B1860" s="24">
        <v>12</v>
      </c>
      <c r="C1860" s="24">
        <v>225</v>
      </c>
      <c r="E1860" s="4">
        <v>194982</v>
      </c>
      <c r="F1860" s="2" t="s">
        <v>2</v>
      </c>
      <c r="G1860" s="2" t="str">
        <f t="shared" si="103"/>
        <v>https://www.oreht.ru/modules.php?name=orehtPriceLS&amp;op=Search&amp;page=1&amp;stext=194982</v>
      </c>
      <c r="I1860">
        <v>194982</v>
      </c>
      <c r="J1860" t="s">
        <v>2</v>
      </c>
      <c r="K1860" t="s">
        <v>5015</v>
      </c>
      <c r="L1860" t="s">
        <v>5016</v>
      </c>
      <c r="M1860" t="s">
        <v>5017</v>
      </c>
    </row>
    <row r="1861" spans="1:13" hidden="1" x14ac:dyDescent="0.25">
      <c r="A1861" s="24">
        <f t="shared" ref="A1861:A1924" si="104">IF(W1861*0.05&gt;=250,250,IF(W1861*0.05&gt;=20,IF(W1861*0.05&lt;20,20,W1861*0.05),20))</f>
        <v>20</v>
      </c>
      <c r="B1861" s="24">
        <v>12</v>
      </c>
      <c r="C1861" s="24">
        <v>225</v>
      </c>
      <c r="E1861" s="4">
        <v>311917</v>
      </c>
      <c r="F1861" s="2" t="s">
        <v>2</v>
      </c>
      <c r="G1861" s="2" t="str">
        <f t="shared" si="103"/>
        <v>https://www.oreht.ru/modules.php?name=orehtPriceLS&amp;op=Search&amp;page=1&amp;stext=311917</v>
      </c>
      <c r="I1861">
        <v>311917</v>
      </c>
      <c r="J1861" t="s">
        <v>2</v>
      </c>
      <c r="K1861" t="s">
        <v>5018</v>
      </c>
      <c r="L1861" t="s">
        <v>5019</v>
      </c>
      <c r="M1861" t="s">
        <v>4057</v>
      </c>
    </row>
    <row r="1862" spans="1:13" hidden="1" x14ac:dyDescent="0.25">
      <c r="A1862" s="24">
        <f t="shared" si="104"/>
        <v>20</v>
      </c>
      <c r="B1862" s="24">
        <v>12</v>
      </c>
      <c r="C1862" s="24">
        <v>225</v>
      </c>
      <c r="E1862" s="4">
        <v>311918</v>
      </c>
      <c r="F1862" s="2" t="s">
        <v>2</v>
      </c>
      <c r="G1862" s="2" t="str">
        <f t="shared" si="103"/>
        <v>https://www.oreht.ru/modules.php?name=orehtPriceLS&amp;op=Search&amp;page=1&amp;stext=311918</v>
      </c>
      <c r="I1862">
        <v>311918</v>
      </c>
      <c r="J1862" t="s">
        <v>2</v>
      </c>
      <c r="K1862" t="s">
        <v>5020</v>
      </c>
      <c r="L1862" t="s">
        <v>5021</v>
      </c>
      <c r="M1862" t="s">
        <v>4057</v>
      </c>
    </row>
    <row r="1863" spans="1:13" hidden="1" x14ac:dyDescent="0.25">
      <c r="A1863" s="24">
        <f t="shared" si="104"/>
        <v>20</v>
      </c>
      <c r="B1863" s="24">
        <v>12</v>
      </c>
      <c r="C1863" s="24">
        <v>47.5</v>
      </c>
      <c r="E1863" s="4">
        <v>385516</v>
      </c>
      <c r="F1863" s="2" t="s">
        <v>2</v>
      </c>
      <c r="G1863" s="2" t="str">
        <f t="shared" si="103"/>
        <v>https://www.oreht.ru/modules.php?name=orehtPriceLS&amp;op=Search&amp;page=1&amp;stext=385516</v>
      </c>
      <c r="I1863">
        <v>385516</v>
      </c>
      <c r="J1863" t="s">
        <v>2</v>
      </c>
      <c r="K1863" t="s">
        <v>5022</v>
      </c>
      <c r="L1863" t="s">
        <v>5023</v>
      </c>
      <c r="M1863" t="s">
        <v>5024</v>
      </c>
    </row>
    <row r="1864" spans="1:13" hidden="1" x14ac:dyDescent="0.25">
      <c r="A1864" s="24">
        <f t="shared" si="104"/>
        <v>20</v>
      </c>
      <c r="B1864" s="24">
        <v>12</v>
      </c>
      <c r="C1864" s="24">
        <v>47.5</v>
      </c>
      <c r="E1864" s="4">
        <v>385515</v>
      </c>
      <c r="F1864" s="2" t="s">
        <v>2</v>
      </c>
      <c r="G1864" s="2" t="str">
        <f t="shared" si="103"/>
        <v>https://www.oreht.ru/modules.php?name=orehtPriceLS&amp;op=Search&amp;page=1&amp;stext=385515</v>
      </c>
      <c r="I1864">
        <v>385515</v>
      </c>
      <c r="J1864" t="s">
        <v>2</v>
      </c>
      <c r="K1864" t="s">
        <v>5025</v>
      </c>
      <c r="L1864" t="s">
        <v>5026</v>
      </c>
      <c r="M1864" t="s">
        <v>5024</v>
      </c>
    </row>
    <row r="1865" spans="1:13" hidden="1" x14ac:dyDescent="0.25">
      <c r="A1865" s="24">
        <f t="shared" si="104"/>
        <v>20</v>
      </c>
      <c r="B1865" s="24">
        <v>12</v>
      </c>
      <c r="C1865" s="24">
        <v>48</v>
      </c>
      <c r="E1865" s="4">
        <v>227348</v>
      </c>
      <c r="F1865" s="2" t="s">
        <v>2</v>
      </c>
      <c r="G1865" s="2" t="str">
        <f t="shared" si="103"/>
        <v>https://www.oreht.ru/modules.php?name=orehtPriceLS&amp;op=Search&amp;page=1&amp;stext=227348</v>
      </c>
      <c r="I1865">
        <v>227348</v>
      </c>
      <c r="J1865" t="s">
        <v>2</v>
      </c>
      <c r="K1865" t="s">
        <v>5027</v>
      </c>
      <c r="L1865" t="s">
        <v>5028</v>
      </c>
      <c r="M1865" t="s">
        <v>4051</v>
      </c>
    </row>
    <row r="1866" spans="1:13" hidden="1" x14ac:dyDescent="0.25">
      <c r="A1866" s="24">
        <f t="shared" si="104"/>
        <v>20</v>
      </c>
      <c r="B1866" s="24">
        <v>12</v>
      </c>
      <c r="C1866" s="24">
        <v>525</v>
      </c>
      <c r="E1866" s="4">
        <v>188480</v>
      </c>
      <c r="F1866" s="2" t="s">
        <v>2</v>
      </c>
      <c r="G1866" s="2" t="str">
        <f t="shared" si="103"/>
        <v>https://www.oreht.ru/modules.php?name=orehtPriceLS&amp;op=Search&amp;page=1&amp;stext=188480</v>
      </c>
      <c r="I1866">
        <v>188480</v>
      </c>
      <c r="J1866" t="s">
        <v>2</v>
      </c>
      <c r="K1866" t="s">
        <v>5029</v>
      </c>
      <c r="L1866" t="s">
        <v>5030</v>
      </c>
      <c r="M1866" t="s">
        <v>3276</v>
      </c>
    </row>
    <row r="1867" spans="1:13" hidden="1" x14ac:dyDescent="0.25">
      <c r="A1867" s="24">
        <f t="shared" si="104"/>
        <v>20</v>
      </c>
      <c r="B1867" s="24">
        <v>12</v>
      </c>
      <c r="C1867" s="24">
        <v>400</v>
      </c>
      <c r="E1867" s="4">
        <v>93400</v>
      </c>
      <c r="F1867" s="2" t="s">
        <v>2</v>
      </c>
      <c r="G1867" s="2" t="str">
        <f t="shared" si="103"/>
        <v>https://www.oreht.ru/modules.php?name=orehtPriceLS&amp;op=Search&amp;page=1&amp;stext=93400</v>
      </c>
      <c r="I1867">
        <v>93400</v>
      </c>
      <c r="J1867" t="s">
        <v>2</v>
      </c>
      <c r="K1867" t="s">
        <v>5031</v>
      </c>
      <c r="L1867" t="s">
        <v>5032</v>
      </c>
      <c r="M1867" t="s">
        <v>1982</v>
      </c>
    </row>
    <row r="1868" spans="1:13" hidden="1" x14ac:dyDescent="0.25">
      <c r="A1868" s="24">
        <f t="shared" si="104"/>
        <v>20</v>
      </c>
      <c r="B1868" s="24">
        <v>12</v>
      </c>
      <c r="C1868" s="24">
        <v>100</v>
      </c>
      <c r="E1868" s="4">
        <v>298334</v>
      </c>
      <c r="F1868" s="2" t="s">
        <v>2</v>
      </c>
      <c r="G1868" s="2" t="str">
        <f t="shared" si="103"/>
        <v>https://www.oreht.ru/modules.php?name=orehtPriceLS&amp;op=Search&amp;page=1&amp;stext=298334</v>
      </c>
      <c r="I1868">
        <v>298334</v>
      </c>
      <c r="J1868" t="s">
        <v>2</v>
      </c>
      <c r="K1868" t="s">
        <v>5033</v>
      </c>
      <c r="L1868" t="s">
        <v>5034</v>
      </c>
      <c r="M1868" t="s">
        <v>5035</v>
      </c>
    </row>
    <row r="1869" spans="1:13" hidden="1" x14ac:dyDescent="0.25">
      <c r="A1869" s="24">
        <f t="shared" si="104"/>
        <v>20</v>
      </c>
      <c r="B1869" s="24">
        <v>12</v>
      </c>
      <c r="C1869" s="24">
        <v>79</v>
      </c>
      <c r="E1869" s="4">
        <v>390714</v>
      </c>
      <c r="F1869" s="2" t="s">
        <v>2</v>
      </c>
      <c r="G1869" s="2" t="str">
        <f t="shared" si="103"/>
        <v>https://www.oreht.ru/modules.php?name=orehtPriceLS&amp;op=Search&amp;page=1&amp;stext=390714</v>
      </c>
      <c r="I1869">
        <v>390714</v>
      </c>
      <c r="J1869" t="s">
        <v>2</v>
      </c>
      <c r="K1869" t="s">
        <v>5036</v>
      </c>
      <c r="L1869" t="s">
        <v>5037</v>
      </c>
      <c r="M1869" t="s">
        <v>4419</v>
      </c>
    </row>
    <row r="1870" spans="1:13" hidden="1" x14ac:dyDescent="0.25">
      <c r="A1870" s="24">
        <f t="shared" si="104"/>
        <v>20</v>
      </c>
      <c r="B1870" s="24">
        <v>12</v>
      </c>
      <c r="C1870" s="24">
        <v>100</v>
      </c>
      <c r="E1870" s="4">
        <v>390281</v>
      </c>
      <c r="F1870" s="2" t="s">
        <v>2</v>
      </c>
      <c r="G1870" s="2" t="str">
        <f t="shared" si="103"/>
        <v>https://www.oreht.ru/modules.php?name=orehtPriceLS&amp;op=Search&amp;page=1&amp;stext=390281</v>
      </c>
      <c r="I1870">
        <v>390281</v>
      </c>
      <c r="J1870" t="s">
        <v>2</v>
      </c>
      <c r="K1870" t="s">
        <v>5038</v>
      </c>
      <c r="L1870" t="s">
        <v>5039</v>
      </c>
      <c r="M1870" t="s">
        <v>4419</v>
      </c>
    </row>
    <row r="1871" spans="1:13" hidden="1" x14ac:dyDescent="0.25">
      <c r="A1871" s="24">
        <f t="shared" si="104"/>
        <v>20</v>
      </c>
      <c r="B1871" s="24">
        <v>12</v>
      </c>
      <c r="C1871" s="24">
        <v>79</v>
      </c>
      <c r="E1871" s="4">
        <v>390282</v>
      </c>
      <c r="F1871" s="2" t="s">
        <v>2</v>
      </c>
      <c r="G1871" s="2" t="str">
        <f t="shared" si="103"/>
        <v>https://www.oreht.ru/modules.php?name=orehtPriceLS&amp;op=Search&amp;page=1&amp;stext=390282</v>
      </c>
      <c r="I1871">
        <v>390282</v>
      </c>
      <c r="J1871" t="s">
        <v>2</v>
      </c>
      <c r="K1871" t="s">
        <v>5040</v>
      </c>
      <c r="L1871" t="s">
        <v>5041</v>
      </c>
      <c r="M1871" t="s">
        <v>4419</v>
      </c>
    </row>
    <row r="1872" spans="1:13" hidden="1" x14ac:dyDescent="0.25">
      <c r="A1872" s="24">
        <f t="shared" si="104"/>
        <v>20</v>
      </c>
      <c r="B1872" s="24">
        <v>12</v>
      </c>
      <c r="C1872" s="24">
        <v>120</v>
      </c>
      <c r="E1872" s="4">
        <v>187161</v>
      </c>
      <c r="F1872" s="2" t="s">
        <v>2</v>
      </c>
      <c r="G1872" s="2" t="str">
        <f t="shared" si="103"/>
        <v>https://www.oreht.ru/modules.php?name=orehtPriceLS&amp;op=Search&amp;page=1&amp;stext=187161</v>
      </c>
      <c r="I1872">
        <v>187161</v>
      </c>
      <c r="J1872" t="s">
        <v>2</v>
      </c>
      <c r="K1872" t="s">
        <v>5042</v>
      </c>
      <c r="L1872" t="s">
        <v>5043</v>
      </c>
      <c r="M1872" t="s">
        <v>4330</v>
      </c>
    </row>
    <row r="1873" spans="1:13" hidden="1" x14ac:dyDescent="0.25">
      <c r="A1873" s="24">
        <f t="shared" si="104"/>
        <v>20</v>
      </c>
      <c r="B1873" s="24">
        <v>12</v>
      </c>
      <c r="C1873" s="24">
        <v>120</v>
      </c>
      <c r="E1873" s="4">
        <v>160805</v>
      </c>
      <c r="F1873" s="2" t="s">
        <v>2</v>
      </c>
      <c r="G1873" s="2" t="str">
        <f t="shared" si="103"/>
        <v>https://www.oreht.ru/modules.php?name=orehtPriceLS&amp;op=Search&amp;page=1&amp;stext=160805</v>
      </c>
      <c r="I1873">
        <v>160805</v>
      </c>
      <c r="J1873" t="s">
        <v>2</v>
      </c>
      <c r="K1873" t="s">
        <v>5044</v>
      </c>
      <c r="L1873" t="s">
        <v>5045</v>
      </c>
      <c r="M1873" t="s">
        <v>4330</v>
      </c>
    </row>
    <row r="1874" spans="1:13" hidden="1" x14ac:dyDescent="0.25">
      <c r="A1874" s="24">
        <f t="shared" si="104"/>
        <v>20</v>
      </c>
      <c r="B1874" s="24">
        <v>12</v>
      </c>
      <c r="C1874" s="24">
        <v>100</v>
      </c>
      <c r="E1874" s="4">
        <v>420522</v>
      </c>
      <c r="F1874" s="2" t="s">
        <v>2</v>
      </c>
      <c r="G1874" s="2" t="str">
        <f t="shared" si="103"/>
        <v>https://www.oreht.ru/modules.php?name=orehtPriceLS&amp;op=Search&amp;page=1&amp;stext=420522</v>
      </c>
      <c r="I1874">
        <v>420522</v>
      </c>
      <c r="J1874" t="s">
        <v>2</v>
      </c>
      <c r="K1874" t="s">
        <v>5046</v>
      </c>
      <c r="L1874" t="s">
        <v>5047</v>
      </c>
      <c r="M1874" t="s">
        <v>908</v>
      </c>
    </row>
    <row r="1875" spans="1:13" hidden="1" x14ac:dyDescent="0.25">
      <c r="A1875" s="24">
        <f t="shared" si="104"/>
        <v>20</v>
      </c>
      <c r="B1875" s="24">
        <v>12</v>
      </c>
      <c r="C1875" s="24">
        <v>135</v>
      </c>
      <c r="E1875" s="4">
        <v>135998</v>
      </c>
      <c r="F1875" s="2" t="s">
        <v>2</v>
      </c>
      <c r="G1875" s="2" t="str">
        <f t="shared" si="103"/>
        <v>https://www.oreht.ru/modules.php?name=orehtPriceLS&amp;op=Search&amp;page=1&amp;stext=135998</v>
      </c>
      <c r="I1875">
        <v>135998</v>
      </c>
      <c r="J1875" t="s">
        <v>2</v>
      </c>
      <c r="K1875" t="s">
        <v>5048</v>
      </c>
      <c r="L1875" t="s">
        <v>5049</v>
      </c>
      <c r="M1875" t="s">
        <v>4304</v>
      </c>
    </row>
    <row r="1876" spans="1:13" hidden="1" x14ac:dyDescent="0.25">
      <c r="A1876" s="24">
        <f t="shared" si="104"/>
        <v>20</v>
      </c>
      <c r="B1876" s="24">
        <v>12</v>
      </c>
      <c r="C1876" s="24">
        <v>79</v>
      </c>
      <c r="E1876" s="4">
        <v>288188</v>
      </c>
      <c r="F1876" s="2" t="s">
        <v>2</v>
      </c>
      <c r="G1876" s="2" t="str">
        <f t="shared" si="103"/>
        <v>https://www.oreht.ru/modules.php?name=orehtPriceLS&amp;op=Search&amp;page=1&amp;stext=288188</v>
      </c>
      <c r="I1876">
        <v>288188</v>
      </c>
      <c r="J1876" t="s">
        <v>2</v>
      </c>
      <c r="K1876" t="s">
        <v>5050</v>
      </c>
      <c r="L1876" t="s">
        <v>5051</v>
      </c>
      <c r="M1876" t="s">
        <v>5052</v>
      </c>
    </row>
    <row r="1877" spans="1:13" hidden="1" x14ac:dyDescent="0.25">
      <c r="A1877" s="24">
        <f t="shared" si="104"/>
        <v>20</v>
      </c>
      <c r="B1877" s="24">
        <v>12</v>
      </c>
      <c r="C1877" s="24">
        <v>79</v>
      </c>
      <c r="E1877" s="4">
        <v>135999</v>
      </c>
      <c r="F1877" s="2" t="s">
        <v>2</v>
      </c>
      <c r="G1877" s="2" t="str">
        <f t="shared" si="103"/>
        <v>https://www.oreht.ru/modules.php?name=orehtPriceLS&amp;op=Search&amp;page=1&amp;stext=135999</v>
      </c>
      <c r="I1877">
        <v>135999</v>
      </c>
      <c r="J1877" t="s">
        <v>2</v>
      </c>
      <c r="K1877" t="s">
        <v>5053</v>
      </c>
      <c r="L1877" t="s">
        <v>5054</v>
      </c>
      <c r="M1877" t="s">
        <v>976</v>
      </c>
    </row>
    <row r="1878" spans="1:13" hidden="1" x14ac:dyDescent="0.25">
      <c r="A1878" s="24">
        <f t="shared" si="104"/>
        <v>20</v>
      </c>
      <c r="B1878" s="24">
        <v>12</v>
      </c>
      <c r="C1878" s="24">
        <v>49</v>
      </c>
      <c r="E1878" s="4">
        <v>93418</v>
      </c>
      <c r="F1878" s="2" t="s">
        <v>2</v>
      </c>
      <c r="G1878" s="2" t="str">
        <f t="shared" si="103"/>
        <v>https://www.oreht.ru/modules.php?name=orehtPriceLS&amp;op=Search&amp;page=1&amp;stext=93418</v>
      </c>
      <c r="I1878">
        <v>93418</v>
      </c>
      <c r="J1878" t="s">
        <v>2</v>
      </c>
      <c r="K1878" t="s">
        <v>5055</v>
      </c>
      <c r="L1878" t="s">
        <v>5056</v>
      </c>
      <c r="M1878" t="s">
        <v>5057</v>
      </c>
    </row>
    <row r="1879" spans="1:13" hidden="1" x14ac:dyDescent="0.25">
      <c r="A1879" s="24">
        <f t="shared" si="104"/>
        <v>20</v>
      </c>
      <c r="B1879" s="24">
        <v>12</v>
      </c>
      <c r="C1879" s="24">
        <v>40</v>
      </c>
      <c r="E1879" s="4">
        <v>93503</v>
      </c>
      <c r="F1879" s="2" t="s">
        <v>2</v>
      </c>
      <c r="G1879" s="2" t="str">
        <f t="shared" si="103"/>
        <v>https://www.oreht.ru/modules.php?name=orehtPriceLS&amp;op=Search&amp;page=1&amp;stext=93503</v>
      </c>
      <c r="I1879">
        <v>93503</v>
      </c>
      <c r="J1879" t="s">
        <v>2</v>
      </c>
      <c r="K1879" t="s">
        <v>5058</v>
      </c>
      <c r="L1879" t="s">
        <v>5059</v>
      </c>
      <c r="M1879" t="s">
        <v>4994</v>
      </c>
    </row>
    <row r="1880" spans="1:13" hidden="1" x14ac:dyDescent="0.25">
      <c r="A1880" s="24">
        <f t="shared" si="104"/>
        <v>20</v>
      </c>
      <c r="B1880" s="24">
        <v>10</v>
      </c>
      <c r="C1880" s="24">
        <v>100</v>
      </c>
      <c r="E1880" s="4">
        <v>246213</v>
      </c>
      <c r="F1880" s="2" t="s">
        <v>2</v>
      </c>
      <c r="G1880" s="2" t="str">
        <f t="shared" si="103"/>
        <v>https://www.oreht.ru/modules.php?name=orehtPriceLS&amp;op=Search&amp;page=1&amp;stext=246213</v>
      </c>
      <c r="I1880">
        <v>246213</v>
      </c>
      <c r="J1880" t="s">
        <v>2</v>
      </c>
      <c r="K1880" t="s">
        <v>5060</v>
      </c>
      <c r="L1880" t="s">
        <v>5061</v>
      </c>
      <c r="M1880" t="s">
        <v>3764</v>
      </c>
    </row>
    <row r="1881" spans="1:13" hidden="1" x14ac:dyDescent="0.25">
      <c r="A1881" s="24">
        <f t="shared" si="104"/>
        <v>20</v>
      </c>
      <c r="B1881" s="24">
        <v>12</v>
      </c>
      <c r="C1881" s="24">
        <v>49</v>
      </c>
      <c r="E1881" s="4">
        <v>250861</v>
      </c>
      <c r="F1881" s="2" t="s">
        <v>2</v>
      </c>
      <c r="G1881" s="2" t="str">
        <f t="shared" si="103"/>
        <v>https://www.oreht.ru/modules.php?name=orehtPriceLS&amp;op=Search&amp;page=1&amp;stext=250861</v>
      </c>
      <c r="I1881">
        <v>250861</v>
      </c>
      <c r="J1881" t="s">
        <v>2</v>
      </c>
      <c r="K1881" t="s">
        <v>5062</v>
      </c>
      <c r="L1881" t="s">
        <v>5063</v>
      </c>
      <c r="M1881" t="s">
        <v>4310</v>
      </c>
    </row>
    <row r="1882" spans="1:13" hidden="1" x14ac:dyDescent="0.25">
      <c r="A1882" s="24">
        <f t="shared" si="104"/>
        <v>20</v>
      </c>
      <c r="B1882" s="24">
        <v>12</v>
      </c>
      <c r="C1882" s="24">
        <v>55</v>
      </c>
      <c r="E1882" s="4">
        <v>419143</v>
      </c>
      <c r="F1882" s="2" t="s">
        <v>2</v>
      </c>
      <c r="G1882" s="2" t="str">
        <f t="shared" si="103"/>
        <v>https://www.oreht.ru/modules.php?name=orehtPriceLS&amp;op=Search&amp;page=1&amp;stext=419143</v>
      </c>
      <c r="I1882">
        <v>419143</v>
      </c>
      <c r="J1882" t="s">
        <v>2</v>
      </c>
      <c r="K1882" t="s">
        <v>5064</v>
      </c>
      <c r="L1882" t="s">
        <v>5065</v>
      </c>
      <c r="M1882" t="s">
        <v>4073</v>
      </c>
    </row>
    <row r="1883" spans="1:13" hidden="1" x14ac:dyDescent="0.25">
      <c r="A1883" s="24">
        <f t="shared" si="104"/>
        <v>20</v>
      </c>
      <c r="B1883" s="24">
        <v>12</v>
      </c>
      <c r="C1883" s="24">
        <v>41</v>
      </c>
      <c r="E1883" s="4">
        <v>250862</v>
      </c>
      <c r="F1883" s="2" t="s">
        <v>2</v>
      </c>
      <c r="G1883" s="2" t="str">
        <f t="shared" si="103"/>
        <v>https://www.oreht.ru/modules.php?name=orehtPriceLS&amp;op=Search&amp;page=1&amp;stext=250862</v>
      </c>
      <c r="I1883">
        <v>250862</v>
      </c>
      <c r="J1883" t="s">
        <v>2</v>
      </c>
      <c r="K1883" t="s">
        <v>5066</v>
      </c>
      <c r="L1883" t="s">
        <v>5067</v>
      </c>
      <c r="M1883" t="s">
        <v>4538</v>
      </c>
    </row>
    <row r="1884" spans="1:13" hidden="1" x14ac:dyDescent="0.25">
      <c r="A1884" s="24">
        <f t="shared" si="104"/>
        <v>20</v>
      </c>
      <c r="B1884" s="24">
        <v>12</v>
      </c>
      <c r="C1884" s="24">
        <v>43</v>
      </c>
      <c r="E1884" s="4">
        <v>215247</v>
      </c>
      <c r="F1884" s="2" t="s">
        <v>2</v>
      </c>
      <c r="G1884" s="2" t="str">
        <f t="shared" si="103"/>
        <v>https://www.oreht.ru/modules.php?name=orehtPriceLS&amp;op=Search&amp;page=1&amp;stext=215247</v>
      </c>
      <c r="I1884">
        <v>215247</v>
      </c>
      <c r="J1884" t="s">
        <v>2</v>
      </c>
      <c r="K1884" t="s">
        <v>5068</v>
      </c>
      <c r="L1884" t="s">
        <v>5069</v>
      </c>
      <c r="M1884" t="s">
        <v>5070</v>
      </c>
    </row>
    <row r="1885" spans="1:13" hidden="1" x14ac:dyDescent="0.25">
      <c r="A1885" s="24">
        <f t="shared" si="104"/>
        <v>20</v>
      </c>
      <c r="B1885" s="24">
        <v>7</v>
      </c>
      <c r="C1885" s="24">
        <v>40</v>
      </c>
      <c r="E1885" s="4">
        <v>400482</v>
      </c>
      <c r="F1885" s="2" t="s">
        <v>2</v>
      </c>
      <c r="G1885" s="2" t="str">
        <f t="shared" si="103"/>
        <v>https://www.oreht.ru/modules.php?name=orehtPriceLS&amp;op=Search&amp;page=1&amp;stext=400482</v>
      </c>
      <c r="I1885">
        <v>400482</v>
      </c>
      <c r="J1885" t="s">
        <v>2</v>
      </c>
      <c r="K1885" t="s">
        <v>5071</v>
      </c>
      <c r="L1885" t="s">
        <v>5072</v>
      </c>
      <c r="M1885" t="s">
        <v>4179</v>
      </c>
    </row>
    <row r="1886" spans="1:13" hidden="1" x14ac:dyDescent="0.25">
      <c r="A1886" s="24">
        <f t="shared" si="104"/>
        <v>20</v>
      </c>
      <c r="B1886" s="24">
        <v>12</v>
      </c>
      <c r="C1886" s="24">
        <v>45</v>
      </c>
      <c r="E1886" s="4">
        <v>423742</v>
      </c>
      <c r="F1886" s="2" t="s">
        <v>2</v>
      </c>
      <c r="G1886" s="2" t="str">
        <f t="shared" si="103"/>
        <v>https://www.oreht.ru/modules.php?name=orehtPriceLS&amp;op=Search&amp;page=1&amp;stext=423742</v>
      </c>
      <c r="I1886">
        <v>423742</v>
      </c>
      <c r="J1886" t="s">
        <v>2</v>
      </c>
      <c r="K1886" t="s">
        <v>5073</v>
      </c>
      <c r="L1886" t="s">
        <v>5074</v>
      </c>
      <c r="M1886" t="s">
        <v>4070</v>
      </c>
    </row>
    <row r="1887" spans="1:13" hidden="1" x14ac:dyDescent="0.25">
      <c r="A1887" s="24">
        <f t="shared" si="104"/>
        <v>20</v>
      </c>
      <c r="B1887" s="24">
        <v>12</v>
      </c>
      <c r="C1887" s="24">
        <v>43</v>
      </c>
      <c r="E1887" s="4">
        <v>260472</v>
      </c>
      <c r="F1887" s="2" t="s">
        <v>2</v>
      </c>
      <c r="G1887" s="2" t="str">
        <f t="shared" si="103"/>
        <v>https://www.oreht.ru/modules.php?name=orehtPriceLS&amp;op=Search&amp;page=1&amp;stext=260472</v>
      </c>
      <c r="I1887">
        <v>260472</v>
      </c>
      <c r="J1887" t="s">
        <v>2</v>
      </c>
      <c r="K1887" t="s">
        <v>5075</v>
      </c>
      <c r="L1887" t="s">
        <v>5076</v>
      </c>
      <c r="M1887" t="s">
        <v>4842</v>
      </c>
    </row>
    <row r="1888" spans="1:13" hidden="1" x14ac:dyDescent="0.25">
      <c r="A1888" s="24">
        <f t="shared" si="104"/>
        <v>20</v>
      </c>
      <c r="B1888" s="24">
        <v>12</v>
      </c>
      <c r="C1888" s="24">
        <v>45</v>
      </c>
      <c r="E1888" s="4">
        <v>92965</v>
      </c>
      <c r="F1888" s="2" t="s">
        <v>2</v>
      </c>
      <c r="G1888" s="2" t="str">
        <f t="shared" si="103"/>
        <v>https://www.oreht.ru/modules.php?name=orehtPriceLS&amp;op=Search&amp;page=1&amp;stext=92965</v>
      </c>
      <c r="I1888">
        <v>92965</v>
      </c>
      <c r="J1888" t="s">
        <v>2</v>
      </c>
      <c r="K1888" t="s">
        <v>5077</v>
      </c>
      <c r="L1888" t="s">
        <v>5078</v>
      </c>
      <c r="M1888" t="s">
        <v>4787</v>
      </c>
    </row>
    <row r="1889" spans="1:13" hidden="1" x14ac:dyDescent="0.25">
      <c r="A1889" s="24">
        <f t="shared" si="104"/>
        <v>20</v>
      </c>
      <c r="B1889" s="24">
        <v>12</v>
      </c>
      <c r="C1889" s="24">
        <v>45</v>
      </c>
      <c r="E1889" s="4">
        <v>93473</v>
      </c>
      <c r="F1889" s="2" t="s">
        <v>2</v>
      </c>
      <c r="G1889" s="2" t="str">
        <f t="shared" si="103"/>
        <v>https://www.oreht.ru/modules.php?name=orehtPriceLS&amp;op=Search&amp;page=1&amp;stext=93473</v>
      </c>
      <c r="I1889">
        <v>93473</v>
      </c>
      <c r="J1889" t="s">
        <v>2</v>
      </c>
      <c r="K1889" t="s">
        <v>5079</v>
      </c>
      <c r="L1889" t="s">
        <v>5080</v>
      </c>
      <c r="M1889" t="s">
        <v>4070</v>
      </c>
    </row>
    <row r="1890" spans="1:13" hidden="1" x14ac:dyDescent="0.25">
      <c r="A1890" s="24">
        <f t="shared" si="104"/>
        <v>20</v>
      </c>
      <c r="B1890" s="24">
        <v>10</v>
      </c>
      <c r="C1890" s="24">
        <v>43</v>
      </c>
      <c r="E1890" s="4">
        <v>93479</v>
      </c>
      <c r="F1890" s="2" t="s">
        <v>2</v>
      </c>
      <c r="G1890" s="2" t="str">
        <f t="shared" si="103"/>
        <v>https://www.oreht.ru/modules.php?name=orehtPriceLS&amp;op=Search&amp;page=1&amp;stext=93479</v>
      </c>
      <c r="I1890">
        <v>93479</v>
      </c>
      <c r="J1890" t="s">
        <v>2</v>
      </c>
      <c r="K1890" t="s">
        <v>5081</v>
      </c>
      <c r="L1890" t="s">
        <v>5082</v>
      </c>
      <c r="M1890" t="s">
        <v>804</v>
      </c>
    </row>
    <row r="1891" spans="1:13" hidden="1" x14ac:dyDescent="0.25">
      <c r="A1891" s="24">
        <f t="shared" si="104"/>
        <v>20</v>
      </c>
      <c r="B1891" s="24">
        <v>10</v>
      </c>
      <c r="C1891" s="24">
        <v>43</v>
      </c>
      <c r="E1891" s="4">
        <v>177243</v>
      </c>
      <c r="F1891" s="2" t="s">
        <v>2</v>
      </c>
      <c r="G1891" s="2" t="str">
        <f t="shared" si="103"/>
        <v>https://www.oreht.ru/modules.php?name=orehtPriceLS&amp;op=Search&amp;page=1&amp;stext=177243</v>
      </c>
      <c r="I1891">
        <v>177243</v>
      </c>
      <c r="J1891" t="s">
        <v>2</v>
      </c>
      <c r="K1891" t="s">
        <v>5083</v>
      </c>
      <c r="L1891" t="s">
        <v>5084</v>
      </c>
      <c r="M1891" t="s">
        <v>862</v>
      </c>
    </row>
    <row r="1892" spans="1:13" hidden="1" x14ac:dyDescent="0.25">
      <c r="A1892" s="24">
        <f t="shared" si="104"/>
        <v>20</v>
      </c>
      <c r="B1892" s="24">
        <v>10</v>
      </c>
      <c r="C1892" s="24">
        <v>42</v>
      </c>
      <c r="E1892" s="4">
        <v>93480</v>
      </c>
      <c r="F1892" s="2" t="s">
        <v>2</v>
      </c>
      <c r="G1892" s="2" t="str">
        <f t="shared" si="103"/>
        <v>https://www.oreht.ru/modules.php?name=orehtPriceLS&amp;op=Search&amp;page=1&amp;stext=93480</v>
      </c>
      <c r="I1892">
        <v>93480</v>
      </c>
      <c r="J1892" t="s">
        <v>2</v>
      </c>
      <c r="K1892" t="s">
        <v>5085</v>
      </c>
      <c r="L1892" t="s">
        <v>5086</v>
      </c>
      <c r="M1892" t="s">
        <v>740</v>
      </c>
    </row>
    <row r="1893" spans="1:13" hidden="1" x14ac:dyDescent="0.25">
      <c r="A1893" s="24">
        <f t="shared" si="104"/>
        <v>20</v>
      </c>
      <c r="B1893" s="24">
        <v>12</v>
      </c>
      <c r="C1893" s="24">
        <v>45</v>
      </c>
      <c r="E1893" s="4">
        <v>216398</v>
      </c>
      <c r="F1893" s="2" t="s">
        <v>2</v>
      </c>
      <c r="G1893" s="2" t="str">
        <f t="shared" si="103"/>
        <v>https://www.oreht.ru/modules.php?name=orehtPriceLS&amp;op=Search&amp;page=1&amp;stext=216398</v>
      </c>
      <c r="I1893">
        <v>216398</v>
      </c>
      <c r="J1893" t="s">
        <v>2</v>
      </c>
      <c r="K1893" t="s">
        <v>5087</v>
      </c>
      <c r="L1893" t="s">
        <v>5088</v>
      </c>
      <c r="M1893" t="s">
        <v>3490</v>
      </c>
    </row>
    <row r="1894" spans="1:13" hidden="1" x14ac:dyDescent="0.25">
      <c r="A1894" s="24">
        <f t="shared" si="104"/>
        <v>20</v>
      </c>
      <c r="B1894" s="24">
        <v>12</v>
      </c>
      <c r="C1894" s="24">
        <v>42</v>
      </c>
      <c r="E1894" s="4">
        <v>347700</v>
      </c>
      <c r="F1894" s="2" t="s">
        <v>2</v>
      </c>
      <c r="G1894" s="2" t="str">
        <f t="shared" si="103"/>
        <v>https://www.oreht.ru/modules.php?name=orehtPriceLS&amp;op=Search&amp;page=1&amp;stext=347700</v>
      </c>
      <c r="I1894">
        <v>347700</v>
      </c>
      <c r="J1894" t="s">
        <v>2</v>
      </c>
      <c r="K1894" t="s">
        <v>5089</v>
      </c>
      <c r="L1894" t="s">
        <v>5090</v>
      </c>
      <c r="M1894" t="s">
        <v>5091</v>
      </c>
    </row>
    <row r="1895" spans="1:13" hidden="1" x14ac:dyDescent="0.25">
      <c r="A1895" s="24">
        <f t="shared" si="104"/>
        <v>20</v>
      </c>
      <c r="B1895" s="24">
        <v>12</v>
      </c>
      <c r="C1895" s="24">
        <v>45</v>
      </c>
      <c r="E1895" s="4">
        <v>347702</v>
      </c>
      <c r="F1895" s="2" t="s">
        <v>2</v>
      </c>
      <c r="G1895" s="2" t="str">
        <f t="shared" si="103"/>
        <v>https://www.oreht.ru/modules.php?name=orehtPriceLS&amp;op=Search&amp;page=1&amp;stext=347702</v>
      </c>
      <c r="I1895">
        <v>347702</v>
      </c>
      <c r="J1895" t="s">
        <v>2</v>
      </c>
      <c r="K1895" t="s">
        <v>5092</v>
      </c>
      <c r="L1895" t="s">
        <v>5093</v>
      </c>
      <c r="M1895" t="s">
        <v>3893</v>
      </c>
    </row>
    <row r="1896" spans="1:13" hidden="1" x14ac:dyDescent="0.25">
      <c r="A1896" s="24">
        <f t="shared" si="104"/>
        <v>20</v>
      </c>
      <c r="B1896" s="24">
        <v>12</v>
      </c>
      <c r="C1896" s="24">
        <v>43</v>
      </c>
      <c r="E1896" s="4">
        <v>274335</v>
      </c>
      <c r="F1896" s="2" t="s">
        <v>2</v>
      </c>
      <c r="G1896" s="2" t="str">
        <f t="shared" si="103"/>
        <v>https://www.oreht.ru/modules.php?name=orehtPriceLS&amp;op=Search&amp;page=1&amp;stext=274335</v>
      </c>
      <c r="I1896">
        <v>274335</v>
      </c>
      <c r="J1896" t="s">
        <v>2</v>
      </c>
      <c r="K1896" t="s">
        <v>5094</v>
      </c>
      <c r="L1896" t="s">
        <v>5095</v>
      </c>
      <c r="M1896" t="s">
        <v>5096</v>
      </c>
    </row>
    <row r="1897" spans="1:13" hidden="1" x14ac:dyDescent="0.25">
      <c r="A1897" s="24">
        <f t="shared" si="104"/>
        <v>20</v>
      </c>
      <c r="B1897" s="24">
        <v>12</v>
      </c>
      <c r="C1897" s="24">
        <v>43</v>
      </c>
      <c r="E1897" s="4">
        <v>273463</v>
      </c>
      <c r="F1897" s="2" t="s">
        <v>2</v>
      </c>
      <c r="G1897" s="2" t="str">
        <f t="shared" si="103"/>
        <v>https://www.oreht.ru/modules.php?name=orehtPriceLS&amp;op=Search&amp;page=1&amp;stext=273463</v>
      </c>
      <c r="I1897">
        <v>273463</v>
      </c>
      <c r="J1897" t="s">
        <v>2</v>
      </c>
      <c r="K1897" t="s">
        <v>5097</v>
      </c>
      <c r="L1897" t="s">
        <v>5098</v>
      </c>
      <c r="M1897" t="s">
        <v>1027</v>
      </c>
    </row>
    <row r="1898" spans="1:13" hidden="1" x14ac:dyDescent="0.25">
      <c r="A1898" s="24">
        <f t="shared" si="104"/>
        <v>20</v>
      </c>
      <c r="B1898" s="24">
        <v>12</v>
      </c>
      <c r="C1898" s="24">
        <v>43</v>
      </c>
      <c r="E1898" s="4">
        <v>245324</v>
      </c>
      <c r="F1898" s="2" t="s">
        <v>2</v>
      </c>
      <c r="G1898" s="2" t="str">
        <f t="shared" si="103"/>
        <v>https://www.oreht.ru/modules.php?name=orehtPriceLS&amp;op=Search&amp;page=1&amp;stext=245324</v>
      </c>
      <c r="I1898">
        <v>245324</v>
      </c>
      <c r="J1898" t="s">
        <v>2</v>
      </c>
      <c r="K1898" t="s">
        <v>5099</v>
      </c>
      <c r="L1898" t="s">
        <v>5100</v>
      </c>
      <c r="M1898" t="s">
        <v>809</v>
      </c>
    </row>
    <row r="1899" spans="1:13" hidden="1" x14ac:dyDescent="0.25">
      <c r="A1899" s="24">
        <f t="shared" si="104"/>
        <v>20</v>
      </c>
      <c r="B1899" s="24">
        <v>12</v>
      </c>
      <c r="C1899" s="24">
        <v>41</v>
      </c>
      <c r="E1899" s="4">
        <v>442947</v>
      </c>
      <c r="F1899" s="2" t="s">
        <v>2</v>
      </c>
      <c r="G1899" s="2" t="str">
        <f t="shared" si="103"/>
        <v>https://www.oreht.ru/modules.php?name=orehtPriceLS&amp;op=Search&amp;page=1&amp;stext=442947</v>
      </c>
      <c r="I1899">
        <v>442947</v>
      </c>
      <c r="J1899" t="s">
        <v>2</v>
      </c>
      <c r="K1899" t="s">
        <v>5101</v>
      </c>
      <c r="L1899" t="s">
        <v>5102</v>
      </c>
      <c r="M1899" t="s">
        <v>5103</v>
      </c>
    </row>
    <row r="1900" spans="1:13" hidden="1" x14ac:dyDescent="0.25">
      <c r="A1900" s="24">
        <f t="shared" si="104"/>
        <v>20</v>
      </c>
      <c r="B1900" s="24">
        <v>12</v>
      </c>
      <c r="C1900" s="24">
        <v>42</v>
      </c>
      <c r="E1900" s="4">
        <v>93504</v>
      </c>
      <c r="F1900" s="2" t="s">
        <v>2</v>
      </c>
      <c r="G1900" s="2" t="str">
        <f t="shared" si="103"/>
        <v>https://www.oreht.ru/modules.php?name=orehtPriceLS&amp;op=Search&amp;page=1&amp;stext=93504</v>
      </c>
      <c r="I1900">
        <v>93504</v>
      </c>
      <c r="J1900" t="s">
        <v>2</v>
      </c>
      <c r="K1900" t="s">
        <v>5104</v>
      </c>
      <c r="L1900" t="s">
        <v>5105</v>
      </c>
      <c r="M1900" t="s">
        <v>5106</v>
      </c>
    </row>
    <row r="1901" spans="1:13" hidden="1" x14ac:dyDescent="0.25">
      <c r="A1901" s="24">
        <f t="shared" si="104"/>
        <v>20</v>
      </c>
      <c r="B1901" s="24">
        <v>12</v>
      </c>
      <c r="C1901" s="24">
        <v>41</v>
      </c>
      <c r="E1901" s="4">
        <v>279336</v>
      </c>
      <c r="F1901" s="2" t="s">
        <v>2</v>
      </c>
      <c r="G1901" s="2" t="str">
        <f t="shared" si="103"/>
        <v>https://www.oreht.ru/modules.php?name=orehtPriceLS&amp;op=Search&amp;page=1&amp;stext=279336</v>
      </c>
      <c r="I1901">
        <v>279336</v>
      </c>
      <c r="J1901" t="s">
        <v>2</v>
      </c>
      <c r="K1901" t="s">
        <v>5107</v>
      </c>
      <c r="L1901" t="s">
        <v>5108</v>
      </c>
      <c r="M1901" t="s">
        <v>4395</v>
      </c>
    </row>
    <row r="1902" spans="1:13" hidden="1" x14ac:dyDescent="0.25">
      <c r="A1902" s="24">
        <f t="shared" si="104"/>
        <v>20</v>
      </c>
      <c r="B1902" s="24">
        <v>12</v>
      </c>
      <c r="C1902" s="24">
        <v>61</v>
      </c>
      <c r="E1902" s="4">
        <v>353978</v>
      </c>
      <c r="F1902" s="2" t="s">
        <v>2</v>
      </c>
      <c r="G1902" s="2" t="str">
        <f t="shared" si="103"/>
        <v>https://www.oreht.ru/modules.php?name=orehtPriceLS&amp;op=Search&amp;page=1&amp;stext=353978</v>
      </c>
      <c r="I1902">
        <v>353978</v>
      </c>
      <c r="J1902" t="s">
        <v>2</v>
      </c>
      <c r="K1902" t="s">
        <v>5109</v>
      </c>
      <c r="L1902" t="s">
        <v>5110</v>
      </c>
      <c r="M1902" t="s">
        <v>5103</v>
      </c>
    </row>
    <row r="1903" spans="1:13" hidden="1" x14ac:dyDescent="0.25">
      <c r="A1903" s="24">
        <f t="shared" si="104"/>
        <v>20</v>
      </c>
      <c r="B1903" s="24">
        <v>12</v>
      </c>
      <c r="C1903" s="24">
        <v>61</v>
      </c>
      <c r="E1903" s="4">
        <v>270645</v>
      </c>
      <c r="F1903" s="2" t="s">
        <v>2</v>
      </c>
      <c r="G1903" s="2" t="str">
        <f t="shared" si="103"/>
        <v>https://www.oreht.ru/modules.php?name=orehtPriceLS&amp;op=Search&amp;page=1&amp;stext=270645</v>
      </c>
      <c r="I1903">
        <v>270645</v>
      </c>
      <c r="J1903" t="s">
        <v>2</v>
      </c>
      <c r="K1903" t="s">
        <v>5111</v>
      </c>
      <c r="L1903" t="s">
        <v>5112</v>
      </c>
      <c r="M1903" t="s">
        <v>5103</v>
      </c>
    </row>
    <row r="1904" spans="1:13" hidden="1" x14ac:dyDescent="0.25">
      <c r="A1904" s="24">
        <f t="shared" si="104"/>
        <v>20</v>
      </c>
      <c r="B1904" s="24">
        <v>12</v>
      </c>
      <c r="C1904" s="24">
        <v>45</v>
      </c>
      <c r="E1904" s="4">
        <v>93529</v>
      </c>
      <c r="F1904" s="2" t="s">
        <v>2</v>
      </c>
      <c r="G1904" s="2" t="str">
        <f t="shared" si="103"/>
        <v>https://www.oreht.ru/modules.php?name=orehtPriceLS&amp;op=Search&amp;page=1&amp;stext=93529</v>
      </c>
      <c r="I1904">
        <v>93529</v>
      </c>
      <c r="J1904" t="s">
        <v>2</v>
      </c>
      <c r="K1904" t="s">
        <v>5113</v>
      </c>
      <c r="L1904" t="s">
        <v>5114</v>
      </c>
      <c r="M1904" t="s">
        <v>5115</v>
      </c>
    </row>
    <row r="1905" spans="1:13" hidden="1" x14ac:dyDescent="0.25">
      <c r="A1905" s="24">
        <f t="shared" si="104"/>
        <v>20</v>
      </c>
      <c r="B1905" s="24">
        <v>12</v>
      </c>
      <c r="C1905" s="24">
        <v>120</v>
      </c>
      <c r="E1905" s="4">
        <v>256302</v>
      </c>
      <c r="F1905" s="2" t="s">
        <v>2</v>
      </c>
      <c r="G1905" s="2" t="str">
        <f t="shared" si="103"/>
        <v>https://www.oreht.ru/modules.php?name=orehtPriceLS&amp;op=Search&amp;page=1&amp;stext=256302</v>
      </c>
      <c r="I1905">
        <v>256302</v>
      </c>
      <c r="J1905" t="s">
        <v>2</v>
      </c>
      <c r="K1905" t="s">
        <v>5116</v>
      </c>
      <c r="L1905" t="s">
        <v>5117</v>
      </c>
      <c r="M1905" t="s">
        <v>4745</v>
      </c>
    </row>
    <row r="1906" spans="1:13" hidden="1" x14ac:dyDescent="0.25">
      <c r="A1906" s="24">
        <f t="shared" si="104"/>
        <v>20</v>
      </c>
      <c r="B1906" s="24">
        <v>12</v>
      </c>
      <c r="C1906" s="24">
        <v>120</v>
      </c>
      <c r="E1906" s="4">
        <v>256303</v>
      </c>
      <c r="F1906" s="2" t="s">
        <v>2</v>
      </c>
      <c r="G1906" s="2" t="str">
        <f t="shared" si="103"/>
        <v>https://www.oreht.ru/modules.php?name=orehtPriceLS&amp;op=Search&amp;page=1&amp;stext=256303</v>
      </c>
      <c r="I1906">
        <v>256303</v>
      </c>
      <c r="J1906" t="s">
        <v>2</v>
      </c>
      <c r="K1906" t="s">
        <v>5118</v>
      </c>
      <c r="L1906" t="s">
        <v>5119</v>
      </c>
      <c r="M1906" t="s">
        <v>5120</v>
      </c>
    </row>
    <row r="1907" spans="1:13" hidden="1" x14ac:dyDescent="0.25">
      <c r="A1907" s="24">
        <f t="shared" si="104"/>
        <v>20</v>
      </c>
      <c r="B1907" s="24">
        <v>12</v>
      </c>
      <c r="C1907" s="24">
        <v>100</v>
      </c>
      <c r="E1907" s="4">
        <v>93534</v>
      </c>
      <c r="F1907" s="2" t="s">
        <v>2</v>
      </c>
      <c r="G1907" s="2" t="str">
        <f t="shared" si="103"/>
        <v>https://www.oreht.ru/modules.php?name=orehtPriceLS&amp;op=Search&amp;page=1&amp;stext=93534</v>
      </c>
      <c r="I1907">
        <v>93534</v>
      </c>
      <c r="J1907" t="s">
        <v>2</v>
      </c>
      <c r="K1907" t="s">
        <v>5121</v>
      </c>
      <c r="L1907" t="s">
        <v>5122</v>
      </c>
      <c r="M1907" t="s">
        <v>4595</v>
      </c>
    </row>
    <row r="1908" spans="1:13" hidden="1" x14ac:dyDescent="0.25">
      <c r="A1908" s="24">
        <f t="shared" si="104"/>
        <v>20</v>
      </c>
      <c r="B1908" s="24">
        <v>12</v>
      </c>
      <c r="C1908" s="24">
        <v>225</v>
      </c>
      <c r="E1908" s="4">
        <v>93535</v>
      </c>
      <c r="F1908" s="2" t="s">
        <v>2</v>
      </c>
      <c r="G1908" s="2" t="str">
        <f t="shared" si="103"/>
        <v>https://www.oreht.ru/modules.php?name=orehtPriceLS&amp;op=Search&amp;page=1&amp;stext=93535</v>
      </c>
      <c r="I1908">
        <v>93535</v>
      </c>
      <c r="J1908" t="s">
        <v>2</v>
      </c>
      <c r="K1908" t="s">
        <v>5123</v>
      </c>
      <c r="L1908" t="s">
        <v>5124</v>
      </c>
      <c r="M1908" t="s">
        <v>5125</v>
      </c>
    </row>
    <row r="1909" spans="1:13" hidden="1" x14ac:dyDescent="0.25">
      <c r="A1909" s="24">
        <f t="shared" si="104"/>
        <v>20</v>
      </c>
      <c r="B1909" s="24">
        <v>12</v>
      </c>
      <c r="C1909" s="24">
        <v>79</v>
      </c>
      <c r="E1909" s="4">
        <v>93536</v>
      </c>
      <c r="F1909" s="2" t="s">
        <v>2</v>
      </c>
      <c r="G1909" s="2" t="str">
        <f t="shared" si="103"/>
        <v>https://www.oreht.ru/modules.php?name=orehtPriceLS&amp;op=Search&amp;page=1&amp;stext=93536</v>
      </c>
      <c r="I1909">
        <v>93536</v>
      </c>
      <c r="J1909" t="s">
        <v>2</v>
      </c>
      <c r="K1909" t="s">
        <v>5126</v>
      </c>
      <c r="L1909" t="s">
        <v>5127</v>
      </c>
      <c r="M1909" t="s">
        <v>3414</v>
      </c>
    </row>
    <row r="1910" spans="1:13" hidden="1" x14ac:dyDescent="0.25">
      <c r="A1910" s="24">
        <f t="shared" si="104"/>
        <v>20</v>
      </c>
      <c r="B1910" s="24">
        <v>12</v>
      </c>
      <c r="C1910" s="24">
        <v>49</v>
      </c>
      <c r="E1910" s="4">
        <v>402016</v>
      </c>
      <c r="F1910" s="2" t="s">
        <v>2</v>
      </c>
      <c r="G1910" s="2" t="str">
        <f t="shared" si="103"/>
        <v>https://www.oreht.ru/modules.php?name=orehtPriceLS&amp;op=Search&amp;page=1&amp;stext=402016</v>
      </c>
      <c r="I1910">
        <v>402016</v>
      </c>
      <c r="J1910" t="s">
        <v>2</v>
      </c>
      <c r="K1910" t="s">
        <v>5128</v>
      </c>
      <c r="L1910" t="s">
        <v>5129</v>
      </c>
      <c r="M1910" t="s">
        <v>5130</v>
      </c>
    </row>
    <row r="1911" spans="1:13" hidden="1" x14ac:dyDescent="0.25">
      <c r="A1911" s="24">
        <f t="shared" si="104"/>
        <v>20</v>
      </c>
      <c r="B1911" s="24">
        <v>8</v>
      </c>
      <c r="C1911" s="24">
        <v>290</v>
      </c>
      <c r="E1911" s="4">
        <v>93408</v>
      </c>
      <c r="F1911" s="2" t="s">
        <v>2</v>
      </c>
      <c r="G1911" s="2" t="str">
        <f t="shared" si="103"/>
        <v>https://www.oreht.ru/modules.php?name=orehtPriceLS&amp;op=Search&amp;page=1&amp;stext=93408</v>
      </c>
      <c r="I1911">
        <v>93408</v>
      </c>
      <c r="J1911" t="s">
        <v>2</v>
      </c>
      <c r="K1911" t="s">
        <v>5131</v>
      </c>
      <c r="L1911" t="s">
        <v>5132</v>
      </c>
      <c r="M1911" t="s">
        <v>3993</v>
      </c>
    </row>
    <row r="1912" spans="1:13" hidden="1" x14ac:dyDescent="0.25">
      <c r="A1912" s="24">
        <f t="shared" si="104"/>
        <v>20</v>
      </c>
      <c r="B1912" s="24">
        <v>7</v>
      </c>
      <c r="C1912" s="24">
        <v>44.5</v>
      </c>
      <c r="E1912" s="4">
        <v>385610</v>
      </c>
      <c r="F1912" s="2" t="s">
        <v>2</v>
      </c>
      <c r="G1912" s="2" t="str">
        <f t="shared" si="103"/>
        <v>https://www.oreht.ru/modules.php?name=orehtPriceLS&amp;op=Search&amp;page=1&amp;stext=385610</v>
      </c>
      <c r="I1912">
        <v>385610</v>
      </c>
      <c r="J1912" t="s">
        <v>2</v>
      </c>
      <c r="K1912" t="s">
        <v>5133</v>
      </c>
      <c r="L1912" t="s">
        <v>5134</v>
      </c>
      <c r="M1912" t="s">
        <v>5135</v>
      </c>
    </row>
    <row r="1913" spans="1:13" hidden="1" x14ac:dyDescent="0.25">
      <c r="A1913" s="24">
        <f t="shared" si="104"/>
        <v>20</v>
      </c>
      <c r="B1913" s="24">
        <v>12</v>
      </c>
      <c r="C1913" s="24">
        <v>135</v>
      </c>
      <c r="E1913" s="4">
        <v>93544</v>
      </c>
      <c r="F1913" s="2" t="s">
        <v>2</v>
      </c>
      <c r="G1913" s="2" t="str">
        <f t="shared" si="103"/>
        <v>https://www.oreht.ru/modules.php?name=orehtPriceLS&amp;op=Search&amp;page=1&amp;stext=93544</v>
      </c>
      <c r="I1913">
        <v>93544</v>
      </c>
      <c r="J1913" t="s">
        <v>2</v>
      </c>
      <c r="K1913" t="s">
        <v>5136</v>
      </c>
      <c r="L1913" t="s">
        <v>5137</v>
      </c>
      <c r="M1913" t="s">
        <v>5138</v>
      </c>
    </row>
    <row r="1914" spans="1:13" hidden="1" x14ac:dyDescent="0.25">
      <c r="A1914" s="24">
        <f t="shared" si="104"/>
        <v>20</v>
      </c>
      <c r="B1914" s="24">
        <v>10</v>
      </c>
      <c r="C1914" s="24">
        <v>120</v>
      </c>
      <c r="E1914" s="4">
        <v>93545</v>
      </c>
      <c r="F1914" s="2" t="s">
        <v>2</v>
      </c>
      <c r="G1914" s="2" t="str">
        <f t="shared" si="103"/>
        <v>https://www.oreht.ru/modules.php?name=orehtPriceLS&amp;op=Search&amp;page=1&amp;stext=93545</v>
      </c>
      <c r="I1914">
        <v>93545</v>
      </c>
      <c r="J1914" t="s">
        <v>2</v>
      </c>
      <c r="K1914" t="s">
        <v>5139</v>
      </c>
      <c r="L1914" t="s">
        <v>5140</v>
      </c>
      <c r="M1914" t="s">
        <v>5091</v>
      </c>
    </row>
    <row r="1915" spans="1:13" hidden="1" x14ac:dyDescent="0.25">
      <c r="A1915" s="24">
        <f t="shared" si="104"/>
        <v>20</v>
      </c>
      <c r="B1915" s="24">
        <v>12</v>
      </c>
      <c r="C1915" s="24">
        <v>225</v>
      </c>
      <c r="E1915" s="4">
        <v>420536</v>
      </c>
      <c r="F1915" s="2" t="s">
        <v>2</v>
      </c>
      <c r="G1915" s="2" t="str">
        <f t="shared" si="103"/>
        <v>https://www.oreht.ru/modules.php?name=orehtPriceLS&amp;op=Search&amp;page=1&amp;stext=420536</v>
      </c>
      <c r="I1915">
        <v>420536</v>
      </c>
      <c r="J1915" t="s">
        <v>2</v>
      </c>
      <c r="K1915" t="s">
        <v>5141</v>
      </c>
      <c r="L1915" t="s">
        <v>5142</v>
      </c>
      <c r="M1915" t="s">
        <v>3325</v>
      </c>
    </row>
    <row r="1916" spans="1:13" hidden="1" x14ac:dyDescent="0.25">
      <c r="A1916" s="24">
        <f t="shared" si="104"/>
        <v>20</v>
      </c>
      <c r="B1916" s="24">
        <v>10</v>
      </c>
      <c r="C1916" s="24">
        <v>120</v>
      </c>
      <c r="E1916" s="4">
        <v>410157</v>
      </c>
      <c r="F1916" s="2" t="s">
        <v>2</v>
      </c>
      <c r="G1916" s="2" t="str">
        <f t="shared" si="103"/>
        <v>https://www.oreht.ru/modules.php?name=orehtPriceLS&amp;op=Search&amp;page=1&amp;stext=410157</v>
      </c>
      <c r="I1916">
        <v>410157</v>
      </c>
      <c r="J1916" t="s">
        <v>2</v>
      </c>
      <c r="K1916" t="s">
        <v>5143</v>
      </c>
      <c r="L1916" t="s">
        <v>5144</v>
      </c>
      <c r="M1916" t="s">
        <v>5145</v>
      </c>
    </row>
    <row r="1917" spans="1:13" hidden="1" x14ac:dyDescent="0.25">
      <c r="A1917" s="24">
        <f t="shared" si="104"/>
        <v>20</v>
      </c>
      <c r="B1917" s="24">
        <v>10</v>
      </c>
      <c r="C1917" s="24">
        <v>210</v>
      </c>
      <c r="E1917" s="4">
        <v>93315</v>
      </c>
      <c r="F1917" s="2" t="s">
        <v>2</v>
      </c>
      <c r="G1917" s="2" t="str">
        <f t="shared" si="103"/>
        <v>https://www.oreht.ru/modules.php?name=orehtPriceLS&amp;op=Search&amp;page=1&amp;stext=93315</v>
      </c>
      <c r="I1917">
        <v>93315</v>
      </c>
      <c r="J1917" t="s">
        <v>2</v>
      </c>
      <c r="K1917" t="s">
        <v>5146</v>
      </c>
      <c r="L1917" t="s">
        <v>5147</v>
      </c>
      <c r="M1917" t="s">
        <v>5148</v>
      </c>
    </row>
    <row r="1918" spans="1:13" hidden="1" x14ac:dyDescent="0.25">
      <c r="A1918" s="24">
        <f t="shared" si="104"/>
        <v>20</v>
      </c>
      <c r="B1918" s="24">
        <v>10</v>
      </c>
      <c r="C1918" s="24">
        <v>55</v>
      </c>
      <c r="E1918" s="4">
        <v>93555</v>
      </c>
      <c r="F1918" s="2" t="s">
        <v>2</v>
      </c>
      <c r="G1918" s="2" t="str">
        <f t="shared" si="103"/>
        <v>https://www.oreht.ru/modules.php?name=orehtPriceLS&amp;op=Search&amp;page=1&amp;stext=93555</v>
      </c>
      <c r="I1918">
        <v>93555</v>
      </c>
      <c r="J1918" t="s">
        <v>2</v>
      </c>
      <c r="K1918" t="s">
        <v>5149</v>
      </c>
      <c r="L1918" t="s">
        <v>5150</v>
      </c>
      <c r="M1918" t="s">
        <v>3559</v>
      </c>
    </row>
    <row r="1919" spans="1:13" hidden="1" x14ac:dyDescent="0.25">
      <c r="A1919" s="24">
        <f t="shared" si="104"/>
        <v>20</v>
      </c>
      <c r="B1919" s="24">
        <v>10</v>
      </c>
      <c r="C1919" s="24">
        <v>120</v>
      </c>
      <c r="E1919" s="4">
        <v>93557</v>
      </c>
      <c r="F1919" s="2" t="s">
        <v>2</v>
      </c>
      <c r="G1919" s="2" t="str">
        <f t="shared" si="103"/>
        <v>https://www.oreht.ru/modules.php?name=orehtPriceLS&amp;op=Search&amp;page=1&amp;stext=93557</v>
      </c>
      <c r="I1919">
        <v>93557</v>
      </c>
      <c r="J1919" t="s">
        <v>2</v>
      </c>
      <c r="K1919" t="s">
        <v>5151</v>
      </c>
      <c r="L1919" t="s">
        <v>5152</v>
      </c>
      <c r="M1919" t="s">
        <v>3559</v>
      </c>
    </row>
    <row r="1920" spans="1:13" hidden="1" x14ac:dyDescent="0.25">
      <c r="A1920" s="24">
        <f t="shared" si="104"/>
        <v>20</v>
      </c>
      <c r="B1920" s="24">
        <v>10</v>
      </c>
      <c r="C1920" s="24">
        <v>100</v>
      </c>
      <c r="E1920" s="4">
        <v>93559</v>
      </c>
      <c r="F1920" s="2" t="s">
        <v>2</v>
      </c>
      <c r="G1920" s="2" t="str">
        <f t="shared" si="103"/>
        <v>https://www.oreht.ru/modules.php?name=orehtPriceLS&amp;op=Search&amp;page=1&amp;stext=93559</v>
      </c>
      <c r="I1920">
        <v>93559</v>
      </c>
      <c r="J1920" t="s">
        <v>2</v>
      </c>
      <c r="K1920" t="s">
        <v>5153</v>
      </c>
      <c r="L1920" t="s">
        <v>5154</v>
      </c>
      <c r="M1920" t="s">
        <v>1108</v>
      </c>
    </row>
    <row r="1921" spans="1:13" hidden="1" x14ac:dyDescent="0.25">
      <c r="A1921" s="24">
        <f t="shared" si="104"/>
        <v>20</v>
      </c>
      <c r="B1921" s="24">
        <v>10</v>
      </c>
      <c r="C1921" s="24">
        <v>79</v>
      </c>
      <c r="E1921" s="4">
        <v>256306</v>
      </c>
      <c r="F1921" s="2" t="s">
        <v>2</v>
      </c>
      <c r="G1921" s="2" t="str">
        <f t="shared" si="103"/>
        <v>https://www.oreht.ru/modules.php?name=orehtPriceLS&amp;op=Search&amp;page=1&amp;stext=256306</v>
      </c>
      <c r="I1921">
        <v>256306</v>
      </c>
      <c r="J1921" t="s">
        <v>2</v>
      </c>
      <c r="K1921" t="s">
        <v>5155</v>
      </c>
      <c r="L1921" t="s">
        <v>5156</v>
      </c>
      <c r="M1921" t="s">
        <v>4085</v>
      </c>
    </row>
    <row r="1922" spans="1:13" hidden="1" x14ac:dyDescent="0.25">
      <c r="A1922" s="24">
        <f t="shared" si="104"/>
        <v>20</v>
      </c>
      <c r="B1922" s="24">
        <v>12</v>
      </c>
      <c r="C1922" s="24">
        <v>41</v>
      </c>
      <c r="E1922" s="4">
        <v>93579</v>
      </c>
      <c r="F1922" s="2" t="s">
        <v>2</v>
      </c>
      <c r="G1922" s="2" t="str">
        <f t="shared" ref="G1922:G1985" si="105">HYPERLINK(F1922&amp;E1922)</f>
        <v>https://www.oreht.ru/modules.php?name=orehtPriceLS&amp;op=Search&amp;page=1&amp;stext=93579</v>
      </c>
      <c r="I1922">
        <v>93579</v>
      </c>
      <c r="J1922" t="s">
        <v>2</v>
      </c>
      <c r="K1922" t="s">
        <v>5157</v>
      </c>
      <c r="L1922" t="s">
        <v>5158</v>
      </c>
      <c r="M1922" t="s">
        <v>5159</v>
      </c>
    </row>
    <row r="1923" spans="1:13" hidden="1" x14ac:dyDescent="0.25">
      <c r="A1923" s="24">
        <f t="shared" si="104"/>
        <v>20</v>
      </c>
      <c r="B1923" s="24">
        <v>12</v>
      </c>
      <c r="C1923" s="24">
        <v>61</v>
      </c>
      <c r="E1923" s="4">
        <v>279342</v>
      </c>
      <c r="F1923" s="2" t="s">
        <v>2</v>
      </c>
      <c r="G1923" s="2" t="str">
        <f t="shared" si="105"/>
        <v>https://www.oreht.ru/modules.php?name=orehtPriceLS&amp;op=Search&amp;page=1&amp;stext=279342</v>
      </c>
      <c r="I1923">
        <v>279342</v>
      </c>
      <c r="J1923" t="s">
        <v>2</v>
      </c>
      <c r="K1923" t="s">
        <v>5160</v>
      </c>
      <c r="L1923" t="s">
        <v>5161</v>
      </c>
      <c r="M1923" t="s">
        <v>5162</v>
      </c>
    </row>
    <row r="1924" spans="1:13" hidden="1" x14ac:dyDescent="0.25">
      <c r="A1924" s="24">
        <f t="shared" si="104"/>
        <v>20</v>
      </c>
      <c r="B1924" s="24">
        <v>7</v>
      </c>
      <c r="C1924" s="24">
        <v>350</v>
      </c>
      <c r="E1924" s="4">
        <v>370768</v>
      </c>
      <c r="F1924" s="2" t="s">
        <v>2</v>
      </c>
      <c r="G1924" s="2" t="str">
        <f t="shared" si="105"/>
        <v>https://www.oreht.ru/modules.php?name=orehtPriceLS&amp;op=Search&amp;page=1&amp;stext=370768</v>
      </c>
      <c r="I1924">
        <v>370768</v>
      </c>
      <c r="J1924" t="s">
        <v>2</v>
      </c>
      <c r="K1924" t="s">
        <v>5163</v>
      </c>
      <c r="L1924" t="s">
        <v>5164</v>
      </c>
      <c r="M1924" t="s">
        <v>4946</v>
      </c>
    </row>
    <row r="1925" spans="1:13" hidden="1" x14ac:dyDescent="0.25">
      <c r="A1925" s="24">
        <f t="shared" ref="A1925:A1988" si="106">IF(W1925*0.05&gt;=250,250,IF(W1925*0.05&gt;=20,IF(W1925*0.05&lt;20,20,W1925*0.05),20))</f>
        <v>20</v>
      </c>
      <c r="B1925" s="24">
        <v>7</v>
      </c>
      <c r="C1925" s="24">
        <v>400</v>
      </c>
      <c r="E1925" s="4">
        <v>268152</v>
      </c>
      <c r="F1925" s="2" t="s">
        <v>2</v>
      </c>
      <c r="G1925" s="2" t="str">
        <f t="shared" si="105"/>
        <v>https://www.oreht.ru/modules.php?name=orehtPriceLS&amp;op=Search&amp;page=1&amp;stext=268152</v>
      </c>
      <c r="I1925">
        <v>268152</v>
      </c>
      <c r="J1925" t="s">
        <v>2</v>
      </c>
      <c r="K1925" t="s">
        <v>5165</v>
      </c>
      <c r="L1925" t="s">
        <v>5166</v>
      </c>
      <c r="M1925" t="s">
        <v>4564</v>
      </c>
    </row>
    <row r="1926" spans="1:13" hidden="1" x14ac:dyDescent="0.25">
      <c r="A1926" s="24">
        <f t="shared" si="106"/>
        <v>20</v>
      </c>
      <c r="B1926" s="24">
        <v>12</v>
      </c>
      <c r="C1926" s="24">
        <v>61</v>
      </c>
      <c r="E1926" s="4">
        <v>217227</v>
      </c>
      <c r="F1926" s="2" t="s">
        <v>2</v>
      </c>
      <c r="G1926" s="2" t="str">
        <f t="shared" si="105"/>
        <v>https://www.oreht.ru/modules.php?name=orehtPriceLS&amp;op=Search&amp;page=1&amp;stext=217227</v>
      </c>
      <c r="I1926">
        <v>217227</v>
      </c>
      <c r="J1926" t="s">
        <v>2</v>
      </c>
      <c r="K1926" t="s">
        <v>5167</v>
      </c>
      <c r="L1926" t="s">
        <v>5168</v>
      </c>
      <c r="M1926" t="s">
        <v>706</v>
      </c>
    </row>
    <row r="1927" spans="1:13" hidden="1" x14ac:dyDescent="0.25">
      <c r="A1927" s="24">
        <f t="shared" si="106"/>
        <v>20</v>
      </c>
      <c r="B1927" s="24">
        <v>12</v>
      </c>
      <c r="C1927" s="24">
        <v>265</v>
      </c>
      <c r="E1927" s="4">
        <v>459244</v>
      </c>
      <c r="F1927" s="2" t="s">
        <v>2</v>
      </c>
      <c r="G1927" s="2" t="str">
        <f t="shared" si="105"/>
        <v>https://www.oreht.ru/modules.php?name=orehtPriceLS&amp;op=Search&amp;page=1&amp;stext=459244</v>
      </c>
      <c r="I1927">
        <v>459244</v>
      </c>
      <c r="J1927" t="s">
        <v>2</v>
      </c>
      <c r="K1927" t="s">
        <v>5169</v>
      </c>
      <c r="L1927" t="s">
        <v>5170</v>
      </c>
      <c r="M1927" t="s">
        <v>1305</v>
      </c>
    </row>
    <row r="1928" spans="1:13" hidden="1" x14ac:dyDescent="0.25">
      <c r="A1928" s="24">
        <f t="shared" si="106"/>
        <v>20</v>
      </c>
      <c r="B1928" s="24">
        <v>10</v>
      </c>
      <c r="C1928" s="24">
        <v>40</v>
      </c>
      <c r="E1928" s="4">
        <v>368598</v>
      </c>
      <c r="F1928" s="2" t="s">
        <v>2</v>
      </c>
      <c r="G1928" s="2" t="str">
        <f t="shared" si="105"/>
        <v>https://www.oreht.ru/modules.php?name=orehtPriceLS&amp;op=Search&amp;page=1&amp;stext=368598</v>
      </c>
      <c r="I1928">
        <v>368598</v>
      </c>
      <c r="J1928" t="s">
        <v>2</v>
      </c>
      <c r="K1928" t="s">
        <v>5171</v>
      </c>
      <c r="L1928" t="s">
        <v>5172</v>
      </c>
      <c r="M1928" t="s">
        <v>5173</v>
      </c>
    </row>
    <row r="1929" spans="1:13" hidden="1" x14ac:dyDescent="0.25">
      <c r="A1929" s="24">
        <f t="shared" si="106"/>
        <v>20</v>
      </c>
      <c r="B1929" s="24">
        <v>12</v>
      </c>
      <c r="C1929" s="24">
        <v>45</v>
      </c>
      <c r="E1929" s="4">
        <v>243953</v>
      </c>
      <c r="F1929" s="2" t="s">
        <v>2</v>
      </c>
      <c r="G1929" s="2" t="str">
        <f t="shared" si="105"/>
        <v>https://www.oreht.ru/modules.php?name=orehtPriceLS&amp;op=Search&amp;page=1&amp;stext=243953</v>
      </c>
      <c r="I1929">
        <v>243953</v>
      </c>
      <c r="J1929" t="s">
        <v>2</v>
      </c>
      <c r="K1929" t="s">
        <v>5174</v>
      </c>
      <c r="L1929" t="s">
        <v>5175</v>
      </c>
      <c r="M1929" t="s">
        <v>3566</v>
      </c>
    </row>
    <row r="1930" spans="1:13" hidden="1" x14ac:dyDescent="0.25">
      <c r="A1930" s="24">
        <f t="shared" si="106"/>
        <v>20</v>
      </c>
      <c r="B1930" s="24">
        <v>12</v>
      </c>
      <c r="C1930" s="24">
        <v>45</v>
      </c>
      <c r="E1930" s="4">
        <v>197542</v>
      </c>
      <c r="F1930" s="2" t="s">
        <v>2</v>
      </c>
      <c r="G1930" s="2" t="str">
        <f t="shared" si="105"/>
        <v>https://www.oreht.ru/modules.php?name=orehtPriceLS&amp;op=Search&amp;page=1&amp;stext=197542</v>
      </c>
      <c r="I1930">
        <v>197542</v>
      </c>
      <c r="J1930" t="s">
        <v>2</v>
      </c>
      <c r="K1930" t="s">
        <v>5176</v>
      </c>
      <c r="L1930" t="s">
        <v>5177</v>
      </c>
      <c r="M1930" t="s">
        <v>908</v>
      </c>
    </row>
    <row r="1931" spans="1:13" hidden="1" x14ac:dyDescent="0.25">
      <c r="A1931" s="24">
        <f t="shared" si="106"/>
        <v>20</v>
      </c>
      <c r="B1931" s="24">
        <v>12</v>
      </c>
      <c r="C1931" s="24">
        <v>40</v>
      </c>
      <c r="E1931" s="4">
        <v>323778</v>
      </c>
      <c r="F1931" s="2" t="s">
        <v>2</v>
      </c>
      <c r="G1931" s="2" t="str">
        <f t="shared" si="105"/>
        <v>https://www.oreht.ru/modules.php?name=orehtPriceLS&amp;op=Search&amp;page=1&amp;stext=323778</v>
      </c>
      <c r="I1931">
        <v>323778</v>
      </c>
      <c r="J1931" t="s">
        <v>2</v>
      </c>
      <c r="K1931" t="s">
        <v>5178</v>
      </c>
      <c r="L1931" t="s">
        <v>5179</v>
      </c>
      <c r="M1931" t="s">
        <v>4467</v>
      </c>
    </row>
    <row r="1932" spans="1:13" hidden="1" x14ac:dyDescent="0.25">
      <c r="A1932" s="24">
        <f t="shared" si="106"/>
        <v>20</v>
      </c>
      <c r="B1932" s="24">
        <v>10</v>
      </c>
      <c r="C1932" s="24">
        <v>59.85</v>
      </c>
      <c r="E1932" s="4">
        <v>409571</v>
      </c>
      <c r="F1932" s="2" t="s">
        <v>2</v>
      </c>
      <c r="G1932" s="2" t="str">
        <f t="shared" si="105"/>
        <v>https://www.oreht.ru/modules.php?name=orehtPriceLS&amp;op=Search&amp;page=1&amp;stext=409571</v>
      </c>
      <c r="I1932">
        <v>409571</v>
      </c>
      <c r="J1932" t="s">
        <v>2</v>
      </c>
      <c r="K1932" t="s">
        <v>5180</v>
      </c>
      <c r="L1932" t="s">
        <v>5181</v>
      </c>
      <c r="M1932" t="s">
        <v>5182</v>
      </c>
    </row>
    <row r="1933" spans="1:13" hidden="1" x14ac:dyDescent="0.25">
      <c r="A1933" s="24">
        <f t="shared" si="106"/>
        <v>20</v>
      </c>
      <c r="B1933" s="24">
        <v>9</v>
      </c>
      <c r="C1933" s="24">
        <v>62.15</v>
      </c>
      <c r="E1933" s="4">
        <v>372138</v>
      </c>
      <c r="F1933" s="2" t="s">
        <v>2</v>
      </c>
      <c r="G1933" s="2" t="str">
        <f t="shared" si="105"/>
        <v>https://www.oreht.ru/modules.php?name=orehtPriceLS&amp;op=Search&amp;page=1&amp;stext=372138</v>
      </c>
      <c r="I1933">
        <v>372138</v>
      </c>
      <c r="J1933" t="s">
        <v>2</v>
      </c>
      <c r="K1933" t="s">
        <v>5183</v>
      </c>
      <c r="L1933" t="s">
        <v>5184</v>
      </c>
      <c r="M1933" t="s">
        <v>5185</v>
      </c>
    </row>
    <row r="1934" spans="1:13" hidden="1" x14ac:dyDescent="0.25">
      <c r="A1934" s="24">
        <f t="shared" si="106"/>
        <v>20</v>
      </c>
      <c r="B1934" s="24">
        <v>9</v>
      </c>
      <c r="C1934" s="24">
        <v>72.72</v>
      </c>
      <c r="E1934" s="4">
        <v>309878</v>
      </c>
      <c r="F1934" s="2" t="s">
        <v>2</v>
      </c>
      <c r="G1934" s="2" t="str">
        <f t="shared" si="105"/>
        <v>https://www.oreht.ru/modules.php?name=orehtPriceLS&amp;op=Search&amp;page=1&amp;stext=309878</v>
      </c>
      <c r="I1934">
        <v>309878</v>
      </c>
      <c r="J1934" t="s">
        <v>2</v>
      </c>
      <c r="K1934" t="s">
        <v>5186</v>
      </c>
      <c r="L1934" t="s">
        <v>5187</v>
      </c>
      <c r="M1934" t="s">
        <v>5188</v>
      </c>
    </row>
    <row r="1935" spans="1:13" hidden="1" x14ac:dyDescent="0.25">
      <c r="A1935" s="24">
        <f t="shared" si="106"/>
        <v>20</v>
      </c>
      <c r="B1935" s="24">
        <v>8</v>
      </c>
      <c r="C1935" s="24">
        <v>58</v>
      </c>
      <c r="E1935" s="4">
        <v>278826</v>
      </c>
      <c r="F1935" s="2" t="s">
        <v>2</v>
      </c>
      <c r="G1935" s="2" t="str">
        <f t="shared" si="105"/>
        <v>https://www.oreht.ru/modules.php?name=orehtPriceLS&amp;op=Search&amp;page=1&amp;stext=278826</v>
      </c>
      <c r="I1935">
        <v>278826</v>
      </c>
      <c r="J1935" t="s">
        <v>2</v>
      </c>
      <c r="K1935" t="s">
        <v>5189</v>
      </c>
      <c r="L1935" t="s">
        <v>5190</v>
      </c>
      <c r="M1935" t="s">
        <v>5191</v>
      </c>
    </row>
    <row r="1936" spans="1:13" hidden="1" x14ac:dyDescent="0.25">
      <c r="A1936" s="24">
        <f t="shared" si="106"/>
        <v>20</v>
      </c>
      <c r="B1936" s="24">
        <v>9</v>
      </c>
      <c r="C1936" s="24">
        <v>71.16</v>
      </c>
      <c r="E1936" s="4">
        <v>323170</v>
      </c>
      <c r="F1936" s="2" t="s">
        <v>2</v>
      </c>
      <c r="G1936" s="2" t="str">
        <f t="shared" si="105"/>
        <v>https://www.oreht.ru/modules.php?name=orehtPriceLS&amp;op=Search&amp;page=1&amp;stext=323170</v>
      </c>
      <c r="I1936">
        <v>323170</v>
      </c>
      <c r="J1936" t="s">
        <v>2</v>
      </c>
      <c r="K1936" t="s">
        <v>5192</v>
      </c>
      <c r="L1936" t="s">
        <v>5193</v>
      </c>
      <c r="M1936" t="s">
        <v>5191</v>
      </c>
    </row>
    <row r="1937" spans="1:13" hidden="1" x14ac:dyDescent="0.25">
      <c r="A1937" s="24">
        <f t="shared" si="106"/>
        <v>20</v>
      </c>
      <c r="B1937" s="24">
        <v>9</v>
      </c>
      <c r="C1937" s="24">
        <v>59.7</v>
      </c>
      <c r="E1937" s="4">
        <v>235850</v>
      </c>
      <c r="F1937" s="2" t="s">
        <v>2</v>
      </c>
      <c r="G1937" s="2" t="str">
        <f t="shared" si="105"/>
        <v>https://www.oreht.ru/modules.php?name=orehtPriceLS&amp;op=Search&amp;page=1&amp;stext=235850</v>
      </c>
      <c r="I1937">
        <v>235850</v>
      </c>
      <c r="J1937" t="s">
        <v>2</v>
      </c>
      <c r="K1937" t="s">
        <v>5194</v>
      </c>
      <c r="L1937" t="s">
        <v>5195</v>
      </c>
      <c r="M1937" t="s">
        <v>5188</v>
      </c>
    </row>
    <row r="1938" spans="1:13" hidden="1" x14ac:dyDescent="0.25">
      <c r="A1938" s="24">
        <f t="shared" si="106"/>
        <v>20</v>
      </c>
      <c r="B1938" s="24">
        <v>9</v>
      </c>
      <c r="C1938" s="24">
        <v>60.25</v>
      </c>
      <c r="E1938" s="4">
        <v>389919</v>
      </c>
      <c r="F1938" s="2" t="s">
        <v>2</v>
      </c>
      <c r="G1938" s="2" t="str">
        <f t="shared" si="105"/>
        <v>https://www.oreht.ru/modules.php?name=orehtPriceLS&amp;op=Search&amp;page=1&amp;stext=389919</v>
      </c>
      <c r="I1938">
        <v>389919</v>
      </c>
      <c r="J1938" t="s">
        <v>2</v>
      </c>
      <c r="K1938" t="s">
        <v>5196</v>
      </c>
      <c r="L1938" t="s">
        <v>5197</v>
      </c>
      <c r="M1938" t="s">
        <v>5198</v>
      </c>
    </row>
    <row r="1939" spans="1:13" hidden="1" x14ac:dyDescent="0.25">
      <c r="A1939" s="24">
        <f t="shared" si="106"/>
        <v>20</v>
      </c>
      <c r="B1939" s="24">
        <v>9</v>
      </c>
      <c r="C1939" s="24">
        <v>60.6</v>
      </c>
      <c r="E1939" s="4">
        <v>429885</v>
      </c>
      <c r="F1939" s="2" t="s">
        <v>2</v>
      </c>
      <c r="G1939" s="2" t="str">
        <f t="shared" si="105"/>
        <v>https://www.oreht.ru/modules.php?name=orehtPriceLS&amp;op=Search&amp;page=1&amp;stext=429885</v>
      </c>
      <c r="I1939">
        <v>429885</v>
      </c>
      <c r="J1939" t="s">
        <v>2</v>
      </c>
      <c r="K1939" t="s">
        <v>5199</v>
      </c>
      <c r="L1939" t="s">
        <v>5200</v>
      </c>
      <c r="M1939" t="s">
        <v>1553</v>
      </c>
    </row>
    <row r="1940" spans="1:13" hidden="1" x14ac:dyDescent="0.25">
      <c r="A1940" s="24">
        <f t="shared" si="106"/>
        <v>20</v>
      </c>
      <c r="B1940" s="24">
        <v>9</v>
      </c>
      <c r="C1940" s="24">
        <v>72.36</v>
      </c>
      <c r="E1940" s="4">
        <v>261626</v>
      </c>
      <c r="F1940" s="2" t="s">
        <v>2</v>
      </c>
      <c r="G1940" s="2" t="str">
        <f t="shared" si="105"/>
        <v>https://www.oreht.ru/modules.php?name=orehtPriceLS&amp;op=Search&amp;page=1&amp;stext=261626</v>
      </c>
      <c r="I1940">
        <v>261626</v>
      </c>
      <c r="J1940" t="s">
        <v>2</v>
      </c>
      <c r="K1940" t="s">
        <v>5201</v>
      </c>
      <c r="L1940" t="s">
        <v>5202</v>
      </c>
      <c r="M1940" t="s">
        <v>5203</v>
      </c>
    </row>
    <row r="1941" spans="1:13" hidden="1" x14ac:dyDescent="0.25">
      <c r="A1941" s="24">
        <f t="shared" si="106"/>
        <v>20</v>
      </c>
      <c r="B1941" s="24">
        <v>9</v>
      </c>
      <c r="C1941" s="24">
        <v>72.540000000000006</v>
      </c>
      <c r="E1941" s="4">
        <v>379557</v>
      </c>
      <c r="F1941" s="2" t="s">
        <v>2</v>
      </c>
      <c r="G1941" s="2" t="str">
        <f t="shared" si="105"/>
        <v>https://www.oreht.ru/modules.php?name=orehtPriceLS&amp;op=Search&amp;page=1&amp;stext=379557</v>
      </c>
      <c r="I1941">
        <v>379557</v>
      </c>
      <c r="J1941" t="s">
        <v>2</v>
      </c>
      <c r="K1941" t="s">
        <v>5204</v>
      </c>
      <c r="L1941" t="s">
        <v>5205</v>
      </c>
      <c r="M1941" t="s">
        <v>5203</v>
      </c>
    </row>
    <row r="1942" spans="1:13" hidden="1" x14ac:dyDescent="0.25">
      <c r="A1942" s="24">
        <f t="shared" si="106"/>
        <v>20</v>
      </c>
      <c r="B1942" s="24">
        <v>9</v>
      </c>
      <c r="C1942" s="24">
        <v>72.36</v>
      </c>
      <c r="E1942" s="4">
        <v>382672</v>
      </c>
      <c r="F1942" s="2" t="s">
        <v>2</v>
      </c>
      <c r="G1942" s="2" t="str">
        <f t="shared" si="105"/>
        <v>https://www.oreht.ru/modules.php?name=orehtPriceLS&amp;op=Search&amp;page=1&amp;stext=382672</v>
      </c>
      <c r="I1942">
        <v>382672</v>
      </c>
      <c r="J1942" t="s">
        <v>2</v>
      </c>
      <c r="K1942" t="s">
        <v>5206</v>
      </c>
      <c r="L1942" t="s">
        <v>5207</v>
      </c>
      <c r="M1942" t="s">
        <v>5203</v>
      </c>
    </row>
    <row r="1943" spans="1:13" hidden="1" x14ac:dyDescent="0.25">
      <c r="A1943" s="24">
        <f t="shared" si="106"/>
        <v>20</v>
      </c>
      <c r="B1943" s="24">
        <v>9</v>
      </c>
      <c r="C1943" s="24">
        <v>60.7</v>
      </c>
      <c r="E1943" s="4">
        <v>168658</v>
      </c>
      <c r="F1943" s="2" t="s">
        <v>2</v>
      </c>
      <c r="G1943" s="2" t="str">
        <f t="shared" si="105"/>
        <v>https://www.oreht.ru/modules.php?name=orehtPriceLS&amp;op=Search&amp;page=1&amp;stext=168658</v>
      </c>
      <c r="I1943">
        <v>168658</v>
      </c>
      <c r="J1943" t="s">
        <v>2</v>
      </c>
      <c r="K1943" t="s">
        <v>5208</v>
      </c>
      <c r="L1943" t="s">
        <v>5209</v>
      </c>
      <c r="M1943" t="s">
        <v>5203</v>
      </c>
    </row>
    <row r="1944" spans="1:13" hidden="1" x14ac:dyDescent="0.25">
      <c r="A1944" s="24">
        <f t="shared" si="106"/>
        <v>20</v>
      </c>
      <c r="B1944" s="24">
        <v>9</v>
      </c>
      <c r="C1944" s="24">
        <v>74.099999999999994</v>
      </c>
      <c r="E1944" s="4">
        <v>321282</v>
      </c>
      <c r="F1944" s="2" t="s">
        <v>2</v>
      </c>
      <c r="G1944" s="2" t="str">
        <f t="shared" si="105"/>
        <v>https://www.oreht.ru/modules.php?name=orehtPriceLS&amp;op=Search&amp;page=1&amp;stext=321282</v>
      </c>
      <c r="I1944">
        <v>321282</v>
      </c>
      <c r="J1944" t="s">
        <v>2</v>
      </c>
      <c r="K1944" t="s">
        <v>5210</v>
      </c>
      <c r="L1944" t="s">
        <v>5211</v>
      </c>
      <c r="M1944" t="s">
        <v>5203</v>
      </c>
    </row>
    <row r="1945" spans="1:13" hidden="1" x14ac:dyDescent="0.25">
      <c r="A1945" s="24">
        <f t="shared" si="106"/>
        <v>20</v>
      </c>
      <c r="B1945" s="24">
        <v>15</v>
      </c>
      <c r="C1945" s="24">
        <v>78.180000000000007</v>
      </c>
      <c r="E1945" s="4">
        <v>461244</v>
      </c>
      <c r="F1945" s="2" t="s">
        <v>2</v>
      </c>
      <c r="G1945" s="2" t="str">
        <f t="shared" si="105"/>
        <v>https://www.oreht.ru/modules.php?name=orehtPriceLS&amp;op=Search&amp;page=1&amp;stext=461244</v>
      </c>
      <c r="I1945">
        <v>461244</v>
      </c>
      <c r="J1945" t="s">
        <v>2</v>
      </c>
      <c r="K1945" t="s">
        <v>5212</v>
      </c>
      <c r="L1945" t="s">
        <v>5213</v>
      </c>
      <c r="M1945" t="s">
        <v>5214</v>
      </c>
    </row>
    <row r="1946" spans="1:13" hidden="1" x14ac:dyDescent="0.25">
      <c r="A1946" s="24">
        <f t="shared" si="106"/>
        <v>20</v>
      </c>
      <c r="B1946" s="24">
        <v>9</v>
      </c>
      <c r="C1946" s="24">
        <v>78.06</v>
      </c>
      <c r="E1946" s="4">
        <v>328500</v>
      </c>
      <c r="F1946" s="2" t="s">
        <v>2</v>
      </c>
      <c r="G1946" s="2" t="str">
        <f t="shared" si="105"/>
        <v>https://www.oreht.ru/modules.php?name=orehtPriceLS&amp;op=Search&amp;page=1&amp;stext=328500</v>
      </c>
      <c r="I1946">
        <v>328500</v>
      </c>
      <c r="J1946" t="s">
        <v>2</v>
      </c>
      <c r="K1946" t="s">
        <v>5215</v>
      </c>
      <c r="L1946" t="s">
        <v>5216</v>
      </c>
      <c r="M1946" t="s">
        <v>5217</v>
      </c>
    </row>
    <row r="1947" spans="1:13" hidden="1" x14ac:dyDescent="0.25">
      <c r="A1947" s="24">
        <f t="shared" si="106"/>
        <v>20</v>
      </c>
      <c r="B1947" s="24">
        <v>9</v>
      </c>
      <c r="C1947" s="24">
        <v>74.58</v>
      </c>
      <c r="E1947" s="4">
        <v>464239</v>
      </c>
      <c r="F1947" s="2" t="s">
        <v>2</v>
      </c>
      <c r="G1947" s="2" t="str">
        <f t="shared" si="105"/>
        <v>https://www.oreht.ru/modules.php?name=orehtPriceLS&amp;op=Search&amp;page=1&amp;stext=464239</v>
      </c>
      <c r="I1947">
        <v>464239</v>
      </c>
      <c r="J1947" t="s">
        <v>2</v>
      </c>
      <c r="K1947" t="s">
        <v>5218</v>
      </c>
      <c r="L1947" t="s">
        <v>5219</v>
      </c>
      <c r="M1947" t="s">
        <v>5217</v>
      </c>
    </row>
    <row r="1948" spans="1:13" hidden="1" x14ac:dyDescent="0.25">
      <c r="A1948" s="24">
        <f t="shared" si="106"/>
        <v>20</v>
      </c>
      <c r="B1948" s="24">
        <v>9</v>
      </c>
      <c r="C1948" s="24">
        <v>61.35</v>
      </c>
      <c r="E1948" s="4">
        <v>375718</v>
      </c>
      <c r="F1948" s="2" t="s">
        <v>2</v>
      </c>
      <c r="G1948" s="2" t="str">
        <f t="shared" si="105"/>
        <v>https://www.oreht.ru/modules.php?name=orehtPriceLS&amp;op=Search&amp;page=1&amp;stext=375718</v>
      </c>
      <c r="I1948">
        <v>375718</v>
      </c>
      <c r="J1948" t="s">
        <v>2</v>
      </c>
      <c r="K1948" t="s">
        <v>5220</v>
      </c>
      <c r="L1948" t="s">
        <v>5221</v>
      </c>
      <c r="M1948" t="s">
        <v>5222</v>
      </c>
    </row>
    <row r="1949" spans="1:13" hidden="1" x14ac:dyDescent="0.25">
      <c r="A1949" s="24">
        <f t="shared" si="106"/>
        <v>20</v>
      </c>
      <c r="B1949" s="24">
        <v>9</v>
      </c>
      <c r="C1949" s="24">
        <v>61.35</v>
      </c>
      <c r="E1949" s="4">
        <v>381452</v>
      </c>
      <c r="F1949" s="2" t="s">
        <v>2</v>
      </c>
      <c r="G1949" s="2" t="str">
        <f t="shared" si="105"/>
        <v>https://www.oreht.ru/modules.php?name=orehtPriceLS&amp;op=Search&amp;page=1&amp;stext=381452</v>
      </c>
      <c r="I1949">
        <v>381452</v>
      </c>
      <c r="J1949" t="s">
        <v>2</v>
      </c>
      <c r="K1949" t="s">
        <v>5223</v>
      </c>
      <c r="L1949" t="s">
        <v>5224</v>
      </c>
      <c r="M1949" t="s">
        <v>5222</v>
      </c>
    </row>
    <row r="1950" spans="1:13" hidden="1" x14ac:dyDescent="0.25">
      <c r="A1950" s="24">
        <f t="shared" si="106"/>
        <v>20</v>
      </c>
      <c r="B1950" s="24">
        <v>9</v>
      </c>
      <c r="C1950" s="24">
        <v>73.38</v>
      </c>
      <c r="E1950" s="4">
        <v>445594</v>
      </c>
      <c r="F1950" s="2" t="s">
        <v>2</v>
      </c>
      <c r="G1950" s="2" t="str">
        <f t="shared" si="105"/>
        <v>https://www.oreht.ru/modules.php?name=orehtPriceLS&amp;op=Search&amp;page=1&amp;stext=445594</v>
      </c>
      <c r="I1950">
        <v>445594</v>
      </c>
      <c r="J1950" t="s">
        <v>2</v>
      </c>
      <c r="K1950" t="s">
        <v>5225</v>
      </c>
      <c r="L1950" t="s">
        <v>5226</v>
      </c>
      <c r="M1950" t="s">
        <v>5227</v>
      </c>
    </row>
    <row r="1951" spans="1:13" hidden="1" x14ac:dyDescent="0.25">
      <c r="A1951" s="24">
        <f t="shared" si="106"/>
        <v>20</v>
      </c>
      <c r="B1951" s="24">
        <v>15</v>
      </c>
      <c r="C1951" s="24">
        <v>65.3</v>
      </c>
      <c r="E1951" s="4">
        <v>443562</v>
      </c>
      <c r="F1951" s="2" t="s">
        <v>2</v>
      </c>
      <c r="G1951" s="2" t="str">
        <f t="shared" si="105"/>
        <v>https://www.oreht.ru/modules.php?name=orehtPriceLS&amp;op=Search&amp;page=1&amp;stext=443562</v>
      </c>
      <c r="I1951">
        <v>443562</v>
      </c>
      <c r="J1951" t="s">
        <v>2</v>
      </c>
      <c r="K1951" t="s">
        <v>5228</v>
      </c>
      <c r="L1951" t="s">
        <v>5229</v>
      </c>
      <c r="M1951" t="s">
        <v>5230</v>
      </c>
    </row>
    <row r="1952" spans="1:13" hidden="1" x14ac:dyDescent="0.25">
      <c r="A1952" s="24">
        <f t="shared" si="106"/>
        <v>20</v>
      </c>
      <c r="B1952" s="24">
        <v>9</v>
      </c>
      <c r="C1952" s="24">
        <v>73.62</v>
      </c>
      <c r="E1952" s="4">
        <v>90997</v>
      </c>
      <c r="F1952" s="2" t="s">
        <v>2</v>
      </c>
      <c r="G1952" s="2" t="str">
        <f t="shared" si="105"/>
        <v>https://www.oreht.ru/modules.php?name=orehtPriceLS&amp;op=Search&amp;page=1&amp;stext=90997</v>
      </c>
      <c r="I1952">
        <v>90997</v>
      </c>
      <c r="J1952" t="s">
        <v>2</v>
      </c>
      <c r="K1952" t="s">
        <v>5231</v>
      </c>
      <c r="L1952" t="s">
        <v>5232</v>
      </c>
      <c r="M1952" t="s">
        <v>5230</v>
      </c>
    </row>
    <row r="1953" spans="1:13" x14ac:dyDescent="0.25">
      <c r="A1953" s="24">
        <f t="shared" si="106"/>
        <v>20</v>
      </c>
      <c r="B1953" s="24">
        <v>9</v>
      </c>
      <c r="C1953" s="24">
        <v>60.4</v>
      </c>
      <c r="E1953" s="4">
        <v>184099</v>
      </c>
      <c r="F1953" s="2" t="s">
        <v>2</v>
      </c>
      <c r="G1953" s="2" t="str">
        <f t="shared" si="105"/>
        <v>https://www.oreht.ru/modules.php?name=orehtPriceLS&amp;op=Search&amp;page=1&amp;stext=184099</v>
      </c>
      <c r="I1953">
        <v>184099</v>
      </c>
      <c r="J1953" t="s">
        <v>2</v>
      </c>
      <c r="K1953" t="s">
        <v>5233</v>
      </c>
      <c r="L1953" t="s">
        <v>5234</v>
      </c>
      <c r="M1953" t="s">
        <v>649</v>
      </c>
    </row>
    <row r="1954" spans="1:13" hidden="1" x14ac:dyDescent="0.25">
      <c r="A1954" s="24">
        <f t="shared" si="106"/>
        <v>20</v>
      </c>
      <c r="B1954" s="24">
        <v>9</v>
      </c>
      <c r="C1954" s="24">
        <v>61.7</v>
      </c>
      <c r="E1954" s="4">
        <v>205928</v>
      </c>
      <c r="F1954" s="2" t="s">
        <v>2</v>
      </c>
      <c r="G1954" s="2" t="str">
        <f t="shared" si="105"/>
        <v>https://www.oreht.ru/modules.php?name=orehtPriceLS&amp;op=Search&amp;page=1&amp;stext=205928</v>
      </c>
      <c r="I1954">
        <v>205928</v>
      </c>
      <c r="J1954" t="s">
        <v>2</v>
      </c>
      <c r="K1954" t="s">
        <v>5235</v>
      </c>
      <c r="L1954" t="s">
        <v>5236</v>
      </c>
      <c r="M1954" t="s">
        <v>5230</v>
      </c>
    </row>
    <row r="1955" spans="1:13" hidden="1" x14ac:dyDescent="0.25">
      <c r="A1955" s="24">
        <f t="shared" si="106"/>
        <v>20</v>
      </c>
      <c r="B1955" s="24">
        <v>8</v>
      </c>
      <c r="C1955" s="24">
        <v>64.150000000000006</v>
      </c>
      <c r="E1955" s="4">
        <v>411559</v>
      </c>
      <c r="F1955" s="2" t="s">
        <v>2</v>
      </c>
      <c r="G1955" s="2" t="str">
        <f t="shared" si="105"/>
        <v>https://www.oreht.ru/modules.php?name=orehtPriceLS&amp;op=Search&amp;page=1&amp;stext=411559</v>
      </c>
      <c r="I1955">
        <v>411559</v>
      </c>
      <c r="J1955" t="s">
        <v>2</v>
      </c>
      <c r="K1955" t="s">
        <v>5237</v>
      </c>
      <c r="L1955" t="s">
        <v>5238</v>
      </c>
      <c r="M1955" t="s">
        <v>5230</v>
      </c>
    </row>
    <row r="1956" spans="1:13" hidden="1" x14ac:dyDescent="0.25">
      <c r="A1956" s="24">
        <f t="shared" si="106"/>
        <v>20</v>
      </c>
      <c r="B1956" s="24">
        <v>9</v>
      </c>
      <c r="C1956" s="24">
        <v>75.42</v>
      </c>
      <c r="E1956" s="4">
        <v>260580</v>
      </c>
      <c r="F1956" s="2" t="s">
        <v>2</v>
      </c>
      <c r="G1956" s="2" t="str">
        <f t="shared" si="105"/>
        <v>https://www.oreht.ru/modules.php?name=orehtPriceLS&amp;op=Search&amp;page=1&amp;stext=260580</v>
      </c>
      <c r="I1956">
        <v>260580</v>
      </c>
      <c r="J1956" t="s">
        <v>2</v>
      </c>
      <c r="K1956" t="s">
        <v>5239</v>
      </c>
      <c r="L1956" t="s">
        <v>5240</v>
      </c>
      <c r="M1956" t="s">
        <v>5241</v>
      </c>
    </row>
    <row r="1957" spans="1:13" x14ac:dyDescent="0.25">
      <c r="A1957" s="24">
        <f t="shared" si="106"/>
        <v>20</v>
      </c>
      <c r="B1957" s="24">
        <v>9</v>
      </c>
      <c r="C1957" s="24">
        <v>62.05</v>
      </c>
      <c r="E1957" s="4">
        <v>449264</v>
      </c>
      <c r="F1957" s="2" t="s">
        <v>2</v>
      </c>
      <c r="G1957" s="2" t="str">
        <f t="shared" si="105"/>
        <v>https://www.oreht.ru/modules.php?name=orehtPriceLS&amp;op=Search&amp;page=1&amp;stext=449264</v>
      </c>
      <c r="I1957">
        <v>449264</v>
      </c>
      <c r="J1957" t="s">
        <v>2</v>
      </c>
      <c r="K1957" t="s">
        <v>5242</v>
      </c>
      <c r="L1957" t="s">
        <v>5243</v>
      </c>
      <c r="M1957" t="s">
        <v>649</v>
      </c>
    </row>
    <row r="1958" spans="1:13" hidden="1" x14ac:dyDescent="0.25">
      <c r="A1958" s="24">
        <f t="shared" si="106"/>
        <v>20</v>
      </c>
      <c r="B1958" s="24">
        <v>15</v>
      </c>
      <c r="C1958" s="24">
        <v>79.739999999999995</v>
      </c>
      <c r="E1958" s="4">
        <v>124938</v>
      </c>
      <c r="F1958" s="2" t="s">
        <v>2</v>
      </c>
      <c r="G1958" s="2" t="str">
        <f t="shared" si="105"/>
        <v>https://www.oreht.ru/modules.php?name=orehtPriceLS&amp;op=Search&amp;page=1&amp;stext=124938</v>
      </c>
      <c r="I1958">
        <v>124938</v>
      </c>
      <c r="J1958" t="s">
        <v>2</v>
      </c>
      <c r="K1958" t="s">
        <v>5244</v>
      </c>
      <c r="L1958" t="s">
        <v>5245</v>
      </c>
      <c r="M1958" t="s">
        <v>5246</v>
      </c>
    </row>
    <row r="1959" spans="1:13" hidden="1" x14ac:dyDescent="0.25">
      <c r="A1959" s="24">
        <f t="shared" si="106"/>
        <v>20</v>
      </c>
      <c r="B1959" s="24">
        <v>9</v>
      </c>
      <c r="C1959" s="24">
        <v>62.15</v>
      </c>
      <c r="E1959" s="4">
        <v>452681</v>
      </c>
      <c r="F1959" s="2" t="s">
        <v>2</v>
      </c>
      <c r="G1959" s="2" t="str">
        <f t="shared" si="105"/>
        <v>https://www.oreht.ru/modules.php?name=orehtPriceLS&amp;op=Search&amp;page=1&amp;stext=452681</v>
      </c>
      <c r="I1959">
        <v>452681</v>
      </c>
      <c r="J1959" t="s">
        <v>2</v>
      </c>
      <c r="K1959" t="s">
        <v>5247</v>
      </c>
      <c r="L1959" t="s">
        <v>5248</v>
      </c>
      <c r="M1959" t="s">
        <v>5246</v>
      </c>
    </row>
    <row r="1960" spans="1:13" hidden="1" x14ac:dyDescent="0.25">
      <c r="A1960" s="24">
        <f t="shared" si="106"/>
        <v>20</v>
      </c>
      <c r="B1960" s="24">
        <v>9</v>
      </c>
      <c r="C1960" s="24">
        <v>73.739999999999995</v>
      </c>
      <c r="E1960" s="4">
        <v>335694</v>
      </c>
      <c r="F1960" s="2" t="s">
        <v>2</v>
      </c>
      <c r="G1960" s="2" t="str">
        <f t="shared" si="105"/>
        <v>https://www.oreht.ru/modules.php?name=orehtPriceLS&amp;op=Search&amp;page=1&amp;stext=335694</v>
      </c>
      <c r="I1960">
        <v>335694</v>
      </c>
      <c r="J1960" t="s">
        <v>2</v>
      </c>
      <c r="K1960" t="s">
        <v>5249</v>
      </c>
      <c r="L1960" t="s">
        <v>5250</v>
      </c>
      <c r="M1960" t="s">
        <v>5246</v>
      </c>
    </row>
    <row r="1961" spans="1:13" hidden="1" x14ac:dyDescent="0.25">
      <c r="A1961" s="24">
        <f t="shared" si="106"/>
        <v>20</v>
      </c>
      <c r="B1961" s="24">
        <v>9</v>
      </c>
      <c r="C1961" s="24">
        <v>75.3</v>
      </c>
      <c r="E1961" s="4">
        <v>432319</v>
      </c>
      <c r="F1961" s="2" t="s">
        <v>2</v>
      </c>
      <c r="G1961" s="2" t="str">
        <f t="shared" si="105"/>
        <v>https://www.oreht.ru/modules.php?name=orehtPriceLS&amp;op=Search&amp;page=1&amp;stext=432319</v>
      </c>
      <c r="I1961">
        <v>432319</v>
      </c>
      <c r="J1961" t="s">
        <v>2</v>
      </c>
      <c r="K1961" t="s">
        <v>5251</v>
      </c>
      <c r="L1961" t="s">
        <v>5252</v>
      </c>
      <c r="M1961" t="s">
        <v>5246</v>
      </c>
    </row>
    <row r="1962" spans="1:13" hidden="1" x14ac:dyDescent="0.25">
      <c r="A1962" s="24">
        <f t="shared" si="106"/>
        <v>20</v>
      </c>
      <c r="B1962" s="24">
        <v>9</v>
      </c>
      <c r="C1962" s="24">
        <v>62.3</v>
      </c>
      <c r="E1962" s="4">
        <v>195194</v>
      </c>
      <c r="F1962" s="2" t="s">
        <v>2</v>
      </c>
      <c r="G1962" s="2" t="str">
        <f t="shared" si="105"/>
        <v>https://www.oreht.ru/modules.php?name=orehtPriceLS&amp;op=Search&amp;page=1&amp;stext=195194</v>
      </c>
      <c r="I1962">
        <v>195194</v>
      </c>
      <c r="J1962" t="s">
        <v>2</v>
      </c>
      <c r="K1962" t="s">
        <v>5253</v>
      </c>
      <c r="L1962" t="s">
        <v>5254</v>
      </c>
      <c r="M1962" t="s">
        <v>3301</v>
      </c>
    </row>
    <row r="1963" spans="1:13" hidden="1" x14ac:dyDescent="0.25">
      <c r="A1963" s="24">
        <f t="shared" si="106"/>
        <v>20</v>
      </c>
      <c r="B1963" s="24">
        <v>9</v>
      </c>
      <c r="C1963" s="24">
        <v>62.75</v>
      </c>
      <c r="E1963" s="4">
        <v>461816</v>
      </c>
      <c r="F1963" s="2" t="s">
        <v>2</v>
      </c>
      <c r="G1963" s="2" t="str">
        <f t="shared" si="105"/>
        <v>https://www.oreht.ru/modules.php?name=orehtPriceLS&amp;op=Search&amp;page=1&amp;stext=461816</v>
      </c>
      <c r="I1963">
        <v>461816</v>
      </c>
      <c r="J1963" t="s">
        <v>2</v>
      </c>
      <c r="K1963" t="s">
        <v>5255</v>
      </c>
      <c r="L1963" t="s">
        <v>5256</v>
      </c>
      <c r="M1963" t="s">
        <v>5257</v>
      </c>
    </row>
    <row r="1964" spans="1:13" hidden="1" x14ac:dyDescent="0.25">
      <c r="A1964" s="24">
        <f t="shared" si="106"/>
        <v>20</v>
      </c>
      <c r="B1964" s="24">
        <v>15</v>
      </c>
      <c r="C1964" s="24">
        <v>80.88</v>
      </c>
      <c r="E1964" s="4">
        <v>360112</v>
      </c>
      <c r="F1964" s="2" t="s">
        <v>2</v>
      </c>
      <c r="G1964" s="2" t="str">
        <f t="shared" si="105"/>
        <v>https://www.oreht.ru/modules.php?name=orehtPriceLS&amp;op=Search&amp;page=1&amp;stext=360112</v>
      </c>
      <c r="I1964">
        <v>360112</v>
      </c>
      <c r="J1964" t="s">
        <v>2</v>
      </c>
      <c r="K1964" t="s">
        <v>5258</v>
      </c>
      <c r="L1964" t="s">
        <v>5259</v>
      </c>
      <c r="M1964" t="s">
        <v>5260</v>
      </c>
    </row>
    <row r="1965" spans="1:13" hidden="1" x14ac:dyDescent="0.25">
      <c r="A1965" s="24">
        <f t="shared" si="106"/>
        <v>20</v>
      </c>
      <c r="B1965" s="24">
        <v>9</v>
      </c>
      <c r="C1965" s="24">
        <v>62.85</v>
      </c>
      <c r="E1965" s="4">
        <v>218812</v>
      </c>
      <c r="F1965" s="2" t="s">
        <v>2</v>
      </c>
      <c r="G1965" s="2" t="str">
        <f t="shared" si="105"/>
        <v>https://www.oreht.ru/modules.php?name=orehtPriceLS&amp;op=Search&amp;page=1&amp;stext=218812</v>
      </c>
      <c r="I1965">
        <v>218812</v>
      </c>
      <c r="J1965" t="s">
        <v>2</v>
      </c>
      <c r="K1965" t="s">
        <v>5261</v>
      </c>
      <c r="L1965" t="s">
        <v>5262</v>
      </c>
      <c r="M1965" t="s">
        <v>5263</v>
      </c>
    </row>
    <row r="1966" spans="1:13" x14ac:dyDescent="0.25">
      <c r="A1966" s="24">
        <f t="shared" si="106"/>
        <v>20</v>
      </c>
      <c r="B1966" s="24">
        <v>9</v>
      </c>
      <c r="C1966" s="24">
        <v>76.44</v>
      </c>
      <c r="E1966" s="4">
        <v>351748</v>
      </c>
      <c r="F1966" s="2" t="s">
        <v>2</v>
      </c>
      <c r="G1966" s="2" t="str">
        <f t="shared" si="105"/>
        <v>https://www.oreht.ru/modules.php?name=orehtPriceLS&amp;op=Search&amp;page=1&amp;stext=351748</v>
      </c>
      <c r="I1966">
        <v>351748</v>
      </c>
      <c r="J1966" t="s">
        <v>2</v>
      </c>
      <c r="K1966" t="s">
        <v>5264</v>
      </c>
      <c r="L1966" t="s">
        <v>5265</v>
      </c>
      <c r="M1966" t="s">
        <v>649</v>
      </c>
    </row>
    <row r="1967" spans="1:13" hidden="1" x14ac:dyDescent="0.25">
      <c r="A1967" s="24">
        <f t="shared" si="106"/>
        <v>20</v>
      </c>
      <c r="B1967" s="24">
        <v>9</v>
      </c>
      <c r="C1967" s="24">
        <v>79</v>
      </c>
      <c r="E1967" s="4">
        <v>404485</v>
      </c>
      <c r="F1967" s="2" t="s">
        <v>2</v>
      </c>
      <c r="G1967" s="2" t="str">
        <f t="shared" si="105"/>
        <v>https://www.oreht.ru/modules.php?name=orehtPriceLS&amp;op=Search&amp;page=1&amp;stext=404485</v>
      </c>
      <c r="I1967">
        <v>404485</v>
      </c>
      <c r="J1967" t="s">
        <v>2</v>
      </c>
      <c r="K1967" t="s">
        <v>5266</v>
      </c>
      <c r="L1967" t="s">
        <v>5267</v>
      </c>
      <c r="M1967" t="s">
        <v>5268</v>
      </c>
    </row>
    <row r="1968" spans="1:13" hidden="1" x14ac:dyDescent="0.25">
      <c r="A1968" s="24">
        <f t="shared" si="106"/>
        <v>20</v>
      </c>
      <c r="B1968" s="24">
        <v>10</v>
      </c>
      <c r="C1968" s="24">
        <v>62.6</v>
      </c>
      <c r="E1968" s="4">
        <v>423343</v>
      </c>
      <c r="F1968" s="2" t="s">
        <v>2</v>
      </c>
      <c r="G1968" s="2" t="str">
        <f t="shared" si="105"/>
        <v>https://www.oreht.ru/modules.php?name=orehtPriceLS&amp;op=Search&amp;page=1&amp;stext=423343</v>
      </c>
      <c r="I1968">
        <v>423343</v>
      </c>
      <c r="J1968" t="s">
        <v>2</v>
      </c>
      <c r="K1968" t="s">
        <v>5269</v>
      </c>
      <c r="L1968" t="s">
        <v>5270</v>
      </c>
      <c r="M1968" t="s">
        <v>5271</v>
      </c>
    </row>
    <row r="1969" spans="1:13" hidden="1" x14ac:dyDescent="0.25">
      <c r="A1969" s="24">
        <f t="shared" si="106"/>
        <v>20</v>
      </c>
      <c r="B1969" s="24">
        <v>9</v>
      </c>
      <c r="C1969" s="24">
        <v>63.3</v>
      </c>
      <c r="E1969" s="4">
        <v>370357</v>
      </c>
      <c r="F1969" s="2" t="s">
        <v>2</v>
      </c>
      <c r="G1969" s="2" t="str">
        <f t="shared" si="105"/>
        <v>https://www.oreht.ru/modules.php?name=orehtPriceLS&amp;op=Search&amp;page=1&amp;stext=370357</v>
      </c>
      <c r="I1969">
        <v>370357</v>
      </c>
      <c r="J1969" t="s">
        <v>2</v>
      </c>
      <c r="K1969" t="s">
        <v>5272</v>
      </c>
      <c r="L1969" t="s">
        <v>5273</v>
      </c>
      <c r="M1969" t="s">
        <v>5274</v>
      </c>
    </row>
    <row r="1970" spans="1:13" hidden="1" x14ac:dyDescent="0.25">
      <c r="A1970" s="24">
        <f t="shared" si="106"/>
        <v>20</v>
      </c>
      <c r="B1970" s="24">
        <v>15</v>
      </c>
      <c r="C1970" s="24">
        <v>81.36</v>
      </c>
      <c r="E1970" s="4">
        <v>360111</v>
      </c>
      <c r="F1970" s="2" t="s">
        <v>2</v>
      </c>
      <c r="G1970" s="2" t="str">
        <f t="shared" si="105"/>
        <v>https://www.oreht.ru/modules.php?name=orehtPriceLS&amp;op=Search&amp;page=1&amp;stext=360111</v>
      </c>
      <c r="I1970">
        <v>360111</v>
      </c>
      <c r="J1970" t="s">
        <v>2</v>
      </c>
      <c r="K1970" t="s">
        <v>5275</v>
      </c>
      <c r="L1970" t="s">
        <v>5276</v>
      </c>
      <c r="M1970" t="s">
        <v>5277</v>
      </c>
    </row>
    <row r="1971" spans="1:13" hidden="1" x14ac:dyDescent="0.25">
      <c r="A1971" s="24">
        <f t="shared" si="106"/>
        <v>20</v>
      </c>
      <c r="B1971" s="24">
        <v>9</v>
      </c>
      <c r="C1971" s="24">
        <v>73.98</v>
      </c>
      <c r="E1971" s="4">
        <v>444467</v>
      </c>
      <c r="F1971" s="2" t="s">
        <v>2</v>
      </c>
      <c r="G1971" s="2" t="str">
        <f t="shared" si="105"/>
        <v>https://www.oreht.ru/modules.php?name=orehtPriceLS&amp;op=Search&amp;page=1&amp;stext=444467</v>
      </c>
      <c r="I1971">
        <v>444467</v>
      </c>
      <c r="J1971" t="s">
        <v>2</v>
      </c>
      <c r="K1971" t="s">
        <v>5278</v>
      </c>
      <c r="L1971" t="s">
        <v>5279</v>
      </c>
      <c r="M1971" t="s">
        <v>5280</v>
      </c>
    </row>
    <row r="1972" spans="1:13" hidden="1" x14ac:dyDescent="0.25">
      <c r="A1972" s="24">
        <f t="shared" si="106"/>
        <v>20</v>
      </c>
      <c r="B1972" s="24">
        <v>9</v>
      </c>
      <c r="C1972" s="24">
        <v>100</v>
      </c>
      <c r="E1972" s="4">
        <v>409558</v>
      </c>
      <c r="F1972" s="2" t="s">
        <v>2</v>
      </c>
      <c r="G1972" s="2" t="str">
        <f t="shared" si="105"/>
        <v>https://www.oreht.ru/modules.php?name=orehtPriceLS&amp;op=Search&amp;page=1&amp;stext=409558</v>
      </c>
      <c r="I1972">
        <v>409558</v>
      </c>
      <c r="J1972" t="s">
        <v>2</v>
      </c>
      <c r="K1972" t="s">
        <v>5281</v>
      </c>
      <c r="L1972" t="s">
        <v>5282</v>
      </c>
      <c r="M1972" t="s">
        <v>5277</v>
      </c>
    </row>
    <row r="1973" spans="1:13" hidden="1" x14ac:dyDescent="0.25">
      <c r="A1973" s="24">
        <f t="shared" si="106"/>
        <v>20</v>
      </c>
      <c r="B1973" s="24">
        <v>9</v>
      </c>
      <c r="C1973" s="24">
        <v>63.4</v>
      </c>
      <c r="E1973" s="4">
        <v>286252</v>
      </c>
      <c r="F1973" s="2" t="s">
        <v>2</v>
      </c>
      <c r="G1973" s="2" t="str">
        <f t="shared" si="105"/>
        <v>https://www.oreht.ru/modules.php?name=orehtPriceLS&amp;op=Search&amp;page=1&amp;stext=286252</v>
      </c>
      <c r="I1973">
        <v>286252</v>
      </c>
      <c r="J1973" t="s">
        <v>2</v>
      </c>
      <c r="K1973" t="s">
        <v>5283</v>
      </c>
      <c r="L1973" t="s">
        <v>5284</v>
      </c>
      <c r="M1973" t="s">
        <v>5277</v>
      </c>
    </row>
    <row r="1974" spans="1:13" hidden="1" x14ac:dyDescent="0.25">
      <c r="A1974" s="24">
        <f t="shared" si="106"/>
        <v>20</v>
      </c>
      <c r="B1974" s="24">
        <v>9</v>
      </c>
      <c r="C1974" s="24">
        <v>63.4</v>
      </c>
      <c r="E1974" s="4">
        <v>241165</v>
      </c>
      <c r="F1974" s="2" t="s">
        <v>2</v>
      </c>
      <c r="G1974" s="2" t="str">
        <f t="shared" si="105"/>
        <v>https://www.oreht.ru/modules.php?name=orehtPriceLS&amp;op=Search&amp;page=1&amp;stext=241165</v>
      </c>
      <c r="I1974">
        <v>241165</v>
      </c>
      <c r="J1974" t="s">
        <v>2</v>
      </c>
      <c r="K1974" t="s">
        <v>5285</v>
      </c>
      <c r="L1974" t="s">
        <v>5286</v>
      </c>
      <c r="M1974" t="s">
        <v>5277</v>
      </c>
    </row>
    <row r="1975" spans="1:13" hidden="1" x14ac:dyDescent="0.25">
      <c r="A1975" s="24">
        <f t="shared" si="106"/>
        <v>20</v>
      </c>
      <c r="B1975" s="24">
        <v>15</v>
      </c>
      <c r="C1975" s="24">
        <v>81.540000000000006</v>
      </c>
      <c r="E1975" s="4">
        <v>360090</v>
      </c>
      <c r="F1975" s="2" t="s">
        <v>2</v>
      </c>
      <c r="G1975" s="2" t="str">
        <f t="shared" si="105"/>
        <v>https://www.oreht.ru/modules.php?name=orehtPriceLS&amp;op=Search&amp;page=1&amp;stext=360090</v>
      </c>
      <c r="I1975">
        <v>360090</v>
      </c>
      <c r="J1975" t="s">
        <v>2</v>
      </c>
      <c r="K1975" t="s">
        <v>5287</v>
      </c>
      <c r="L1975" t="s">
        <v>5288</v>
      </c>
      <c r="M1975" t="s">
        <v>5289</v>
      </c>
    </row>
    <row r="1976" spans="1:13" hidden="1" x14ac:dyDescent="0.25">
      <c r="A1976" s="24">
        <f t="shared" si="106"/>
        <v>20</v>
      </c>
      <c r="B1976" s="24">
        <v>9</v>
      </c>
      <c r="C1976" s="24">
        <v>75.72</v>
      </c>
      <c r="E1976" s="4">
        <v>415517</v>
      </c>
      <c r="F1976" s="2" t="s">
        <v>2</v>
      </c>
      <c r="G1976" s="2" t="str">
        <f t="shared" si="105"/>
        <v>https://www.oreht.ru/modules.php?name=orehtPriceLS&amp;op=Search&amp;page=1&amp;stext=415517</v>
      </c>
      <c r="I1976">
        <v>415517</v>
      </c>
      <c r="J1976" t="s">
        <v>2</v>
      </c>
      <c r="K1976" t="s">
        <v>5290</v>
      </c>
      <c r="L1976" t="s">
        <v>5291</v>
      </c>
      <c r="M1976" t="s">
        <v>5292</v>
      </c>
    </row>
    <row r="1977" spans="1:13" hidden="1" x14ac:dyDescent="0.25">
      <c r="A1977" s="24">
        <f t="shared" si="106"/>
        <v>20</v>
      </c>
      <c r="B1977" s="24">
        <v>9</v>
      </c>
      <c r="C1977" s="24">
        <v>63.85</v>
      </c>
      <c r="E1977" s="4">
        <v>398402</v>
      </c>
      <c r="F1977" s="2" t="s">
        <v>2</v>
      </c>
      <c r="G1977" s="2" t="str">
        <f t="shared" si="105"/>
        <v>https://www.oreht.ru/modules.php?name=orehtPriceLS&amp;op=Search&amp;page=1&amp;stext=398402</v>
      </c>
      <c r="I1977">
        <v>398402</v>
      </c>
      <c r="J1977" t="s">
        <v>2</v>
      </c>
      <c r="K1977" t="s">
        <v>5293</v>
      </c>
      <c r="L1977" t="s">
        <v>5294</v>
      </c>
      <c r="M1977" t="s">
        <v>5295</v>
      </c>
    </row>
    <row r="1978" spans="1:13" hidden="1" x14ac:dyDescent="0.25">
      <c r="A1978" s="24">
        <f t="shared" si="106"/>
        <v>20</v>
      </c>
      <c r="B1978" s="24">
        <v>9</v>
      </c>
      <c r="C1978" s="24">
        <v>100</v>
      </c>
      <c r="E1978" s="4">
        <v>339477</v>
      </c>
      <c r="F1978" s="2" t="s">
        <v>2</v>
      </c>
      <c r="G1978" s="2" t="str">
        <f t="shared" si="105"/>
        <v>https://www.oreht.ru/modules.php?name=orehtPriceLS&amp;op=Search&amp;page=1&amp;stext=339477</v>
      </c>
      <c r="I1978">
        <v>339477</v>
      </c>
      <c r="J1978" t="s">
        <v>2</v>
      </c>
      <c r="K1978" t="s">
        <v>5296</v>
      </c>
      <c r="L1978" t="s">
        <v>5297</v>
      </c>
      <c r="M1978" t="s">
        <v>5298</v>
      </c>
    </row>
    <row r="1979" spans="1:13" hidden="1" x14ac:dyDescent="0.25">
      <c r="A1979" s="24">
        <f t="shared" si="106"/>
        <v>20</v>
      </c>
      <c r="B1979" s="24">
        <v>9</v>
      </c>
      <c r="C1979" s="24">
        <v>78.36</v>
      </c>
      <c r="E1979" s="4">
        <v>365618</v>
      </c>
      <c r="F1979" s="2" t="s">
        <v>2</v>
      </c>
      <c r="G1979" s="2" t="str">
        <f t="shared" si="105"/>
        <v>https://www.oreht.ru/modules.php?name=orehtPriceLS&amp;op=Search&amp;page=1&amp;stext=365618</v>
      </c>
      <c r="I1979">
        <v>365618</v>
      </c>
      <c r="J1979" t="s">
        <v>2</v>
      </c>
      <c r="K1979" t="s">
        <v>5299</v>
      </c>
      <c r="L1979" t="s">
        <v>5300</v>
      </c>
      <c r="M1979" t="s">
        <v>5298</v>
      </c>
    </row>
    <row r="1980" spans="1:13" hidden="1" x14ac:dyDescent="0.25">
      <c r="A1980" s="24">
        <f t="shared" si="106"/>
        <v>20</v>
      </c>
      <c r="B1980" s="24">
        <v>9</v>
      </c>
      <c r="C1980" s="24">
        <v>76.260000000000005</v>
      </c>
      <c r="E1980" s="4">
        <v>412208</v>
      </c>
      <c r="F1980" s="2" t="s">
        <v>2</v>
      </c>
      <c r="G1980" s="2" t="str">
        <f t="shared" si="105"/>
        <v>https://www.oreht.ru/modules.php?name=orehtPriceLS&amp;op=Search&amp;page=1&amp;stext=412208</v>
      </c>
      <c r="I1980">
        <v>412208</v>
      </c>
      <c r="J1980" t="s">
        <v>2</v>
      </c>
      <c r="K1980" t="s">
        <v>5301</v>
      </c>
      <c r="L1980" t="s">
        <v>5302</v>
      </c>
      <c r="M1980" t="s">
        <v>5298</v>
      </c>
    </row>
    <row r="1981" spans="1:13" hidden="1" x14ac:dyDescent="0.25">
      <c r="A1981" s="24">
        <f t="shared" si="106"/>
        <v>20</v>
      </c>
      <c r="B1981" s="24">
        <v>9</v>
      </c>
      <c r="C1981" s="24">
        <v>64.3</v>
      </c>
      <c r="E1981" s="4">
        <v>403213</v>
      </c>
      <c r="F1981" s="2" t="s">
        <v>2</v>
      </c>
      <c r="G1981" s="2" t="str">
        <f t="shared" si="105"/>
        <v>https://www.oreht.ru/modules.php?name=orehtPriceLS&amp;op=Search&amp;page=1&amp;stext=403213</v>
      </c>
      <c r="I1981">
        <v>403213</v>
      </c>
      <c r="J1981" t="s">
        <v>2</v>
      </c>
      <c r="K1981" t="s">
        <v>5303</v>
      </c>
      <c r="L1981" t="s">
        <v>5304</v>
      </c>
      <c r="M1981" t="s">
        <v>5305</v>
      </c>
    </row>
    <row r="1982" spans="1:13" hidden="1" x14ac:dyDescent="0.25">
      <c r="A1982" s="24">
        <f t="shared" si="106"/>
        <v>20</v>
      </c>
      <c r="B1982" s="24">
        <v>15</v>
      </c>
      <c r="C1982" s="24">
        <v>82.92</v>
      </c>
      <c r="E1982" s="4">
        <v>393394</v>
      </c>
      <c r="F1982" s="2" t="s">
        <v>2</v>
      </c>
      <c r="G1982" s="2" t="str">
        <f t="shared" si="105"/>
        <v>https://www.oreht.ru/modules.php?name=orehtPriceLS&amp;op=Search&amp;page=1&amp;stext=393394</v>
      </c>
      <c r="I1982">
        <v>393394</v>
      </c>
      <c r="J1982" t="s">
        <v>2</v>
      </c>
      <c r="K1982" t="s">
        <v>5306</v>
      </c>
      <c r="L1982" t="s">
        <v>5307</v>
      </c>
      <c r="M1982" t="s">
        <v>5308</v>
      </c>
    </row>
    <row r="1983" spans="1:13" hidden="1" x14ac:dyDescent="0.25">
      <c r="A1983" s="24">
        <f t="shared" si="106"/>
        <v>20</v>
      </c>
      <c r="B1983" s="24">
        <v>5</v>
      </c>
      <c r="C1983" s="24">
        <v>73.680000000000007</v>
      </c>
      <c r="E1983" s="4">
        <v>275719</v>
      </c>
      <c r="F1983" s="2" t="s">
        <v>2</v>
      </c>
      <c r="G1983" s="2" t="str">
        <f t="shared" si="105"/>
        <v>https://www.oreht.ru/modules.php?name=orehtPriceLS&amp;op=Search&amp;page=1&amp;stext=275719</v>
      </c>
      <c r="I1983">
        <v>275719</v>
      </c>
      <c r="J1983" t="s">
        <v>2</v>
      </c>
      <c r="K1983" t="s">
        <v>5309</v>
      </c>
      <c r="L1983" t="s">
        <v>5310</v>
      </c>
      <c r="M1983" t="s">
        <v>2220</v>
      </c>
    </row>
    <row r="1984" spans="1:13" x14ac:dyDescent="0.25">
      <c r="A1984" s="24">
        <f t="shared" si="106"/>
        <v>20</v>
      </c>
      <c r="B1984" s="24">
        <v>9</v>
      </c>
      <c r="C1984" s="24">
        <v>78.900000000000006</v>
      </c>
      <c r="E1984" s="4">
        <v>372381</v>
      </c>
      <c r="F1984" s="2" t="s">
        <v>2</v>
      </c>
      <c r="G1984" s="2" t="str">
        <f t="shared" si="105"/>
        <v>https://www.oreht.ru/modules.php?name=orehtPriceLS&amp;op=Search&amp;page=1&amp;stext=372381</v>
      </c>
      <c r="I1984">
        <v>372381</v>
      </c>
      <c r="J1984" t="s">
        <v>2</v>
      </c>
      <c r="K1984" t="s">
        <v>5311</v>
      </c>
      <c r="L1984" t="s">
        <v>5312</v>
      </c>
      <c r="M1984" t="s">
        <v>649</v>
      </c>
    </row>
    <row r="1985" spans="1:13" hidden="1" x14ac:dyDescent="0.25">
      <c r="A1985" s="24">
        <f t="shared" si="106"/>
        <v>20</v>
      </c>
      <c r="B1985" s="24">
        <v>9</v>
      </c>
      <c r="C1985" s="24">
        <v>64.8</v>
      </c>
      <c r="E1985" s="4">
        <v>142601</v>
      </c>
      <c r="F1985" s="2" t="s">
        <v>2</v>
      </c>
      <c r="G1985" s="2" t="str">
        <f t="shared" si="105"/>
        <v>https://www.oreht.ru/modules.php?name=orehtPriceLS&amp;op=Search&amp;page=1&amp;stext=142601</v>
      </c>
      <c r="I1985">
        <v>142601</v>
      </c>
      <c r="J1985" t="s">
        <v>2</v>
      </c>
      <c r="K1985" t="s">
        <v>5313</v>
      </c>
      <c r="L1985" t="s">
        <v>5314</v>
      </c>
      <c r="M1985" t="s">
        <v>5315</v>
      </c>
    </row>
    <row r="1986" spans="1:13" hidden="1" x14ac:dyDescent="0.25">
      <c r="A1986" s="24">
        <f t="shared" si="106"/>
        <v>20</v>
      </c>
      <c r="B1986" s="24">
        <v>9</v>
      </c>
      <c r="C1986" s="24">
        <v>77.34</v>
      </c>
      <c r="E1986" s="4">
        <v>420021</v>
      </c>
      <c r="F1986" s="2" t="s">
        <v>2</v>
      </c>
      <c r="G1986" s="2" t="str">
        <f t="shared" ref="G1986:G2049" si="107">HYPERLINK(F1986&amp;E1986)</f>
        <v>https://www.oreht.ru/modules.php?name=orehtPriceLS&amp;op=Search&amp;page=1&amp;stext=420021</v>
      </c>
      <c r="I1986">
        <v>420021</v>
      </c>
      <c r="J1986" t="s">
        <v>2</v>
      </c>
      <c r="K1986" t="s">
        <v>5316</v>
      </c>
      <c r="L1986" t="s">
        <v>5317</v>
      </c>
      <c r="M1986" t="s">
        <v>5318</v>
      </c>
    </row>
    <row r="1987" spans="1:13" hidden="1" x14ac:dyDescent="0.25">
      <c r="A1987" s="24">
        <f t="shared" si="106"/>
        <v>20</v>
      </c>
      <c r="B1987" s="24">
        <v>15</v>
      </c>
      <c r="C1987" s="24">
        <v>83.58</v>
      </c>
      <c r="E1987" s="4">
        <v>367094</v>
      </c>
      <c r="F1987" s="2" t="s">
        <v>2</v>
      </c>
      <c r="G1987" s="2" t="str">
        <f t="shared" si="107"/>
        <v>https://www.oreht.ru/modules.php?name=orehtPriceLS&amp;op=Search&amp;page=1&amp;stext=367094</v>
      </c>
      <c r="I1987">
        <v>367094</v>
      </c>
      <c r="J1987" t="s">
        <v>2</v>
      </c>
      <c r="K1987" t="s">
        <v>5319</v>
      </c>
      <c r="L1987" t="s">
        <v>5320</v>
      </c>
      <c r="M1987" t="s">
        <v>5321</v>
      </c>
    </row>
    <row r="1988" spans="1:13" hidden="1" x14ac:dyDescent="0.25">
      <c r="A1988" s="24">
        <f t="shared" si="106"/>
        <v>20</v>
      </c>
      <c r="B1988" s="24">
        <v>9</v>
      </c>
      <c r="C1988" s="24">
        <v>77.88</v>
      </c>
      <c r="E1988" s="4">
        <v>405634</v>
      </c>
      <c r="F1988" s="2" t="s">
        <v>2</v>
      </c>
      <c r="G1988" s="2" t="str">
        <f t="shared" si="107"/>
        <v>https://www.oreht.ru/modules.php?name=orehtPriceLS&amp;op=Search&amp;page=1&amp;stext=405634</v>
      </c>
      <c r="I1988">
        <v>405634</v>
      </c>
      <c r="J1988" t="s">
        <v>2</v>
      </c>
      <c r="K1988" t="s">
        <v>5322</v>
      </c>
      <c r="L1988" t="s">
        <v>5323</v>
      </c>
      <c r="M1988" t="s">
        <v>5321</v>
      </c>
    </row>
    <row r="1989" spans="1:13" hidden="1" x14ac:dyDescent="0.25">
      <c r="A1989" s="24">
        <f t="shared" ref="A1989:A2052" si="108">IF(W1989*0.05&gt;=250,250,IF(W1989*0.05&gt;=20,IF(W1989*0.05&lt;20,20,W1989*0.05),20))</f>
        <v>20</v>
      </c>
      <c r="B1989" s="24">
        <v>15</v>
      </c>
      <c r="C1989" s="24">
        <v>370</v>
      </c>
      <c r="E1989" s="4">
        <v>271255</v>
      </c>
      <c r="F1989" s="2" t="s">
        <v>2</v>
      </c>
      <c r="G1989" s="2" t="str">
        <f t="shared" si="107"/>
        <v>https://www.oreht.ru/modules.php?name=orehtPriceLS&amp;op=Search&amp;page=1&amp;stext=271255</v>
      </c>
      <c r="I1989">
        <v>271255</v>
      </c>
      <c r="J1989" t="s">
        <v>2</v>
      </c>
      <c r="K1989" t="s">
        <v>5324</v>
      </c>
      <c r="L1989" t="s">
        <v>5325</v>
      </c>
      <c r="M1989" t="s">
        <v>5326</v>
      </c>
    </row>
    <row r="1990" spans="1:13" x14ac:dyDescent="0.25">
      <c r="A1990" s="24">
        <f t="shared" si="108"/>
        <v>20</v>
      </c>
      <c r="B1990" s="24">
        <v>15</v>
      </c>
      <c r="C1990" s="24">
        <v>83.64</v>
      </c>
      <c r="E1990" s="4">
        <v>360120</v>
      </c>
      <c r="F1990" s="2" t="s">
        <v>2</v>
      </c>
      <c r="G1990" s="2" t="str">
        <f t="shared" si="107"/>
        <v>https://www.oreht.ru/modules.php?name=orehtPriceLS&amp;op=Search&amp;page=1&amp;stext=360120</v>
      </c>
      <c r="I1990">
        <v>360120</v>
      </c>
      <c r="J1990" t="s">
        <v>2</v>
      </c>
      <c r="K1990" t="s">
        <v>5327</v>
      </c>
      <c r="L1990" t="s">
        <v>5328</v>
      </c>
      <c r="M1990" t="s">
        <v>649</v>
      </c>
    </row>
    <row r="1991" spans="1:13" hidden="1" x14ac:dyDescent="0.25">
      <c r="A1991" s="24">
        <f t="shared" si="108"/>
        <v>20</v>
      </c>
      <c r="B1991" s="24">
        <v>9</v>
      </c>
      <c r="C1991" s="24">
        <v>80.28</v>
      </c>
      <c r="E1991" s="4">
        <v>450282</v>
      </c>
      <c r="F1991" s="2" t="s">
        <v>2</v>
      </c>
      <c r="G1991" s="2" t="str">
        <f t="shared" si="107"/>
        <v>https://www.oreht.ru/modules.php?name=orehtPriceLS&amp;op=Search&amp;page=1&amp;stext=450282</v>
      </c>
      <c r="I1991">
        <v>450282</v>
      </c>
      <c r="J1991" t="s">
        <v>2</v>
      </c>
      <c r="K1991" t="s">
        <v>5329</v>
      </c>
      <c r="L1991" t="s">
        <v>5330</v>
      </c>
      <c r="M1991" t="s">
        <v>5326</v>
      </c>
    </row>
    <row r="1992" spans="1:13" x14ac:dyDescent="0.25">
      <c r="A1992" s="24">
        <f t="shared" si="108"/>
        <v>20</v>
      </c>
      <c r="B1992" s="24">
        <v>7</v>
      </c>
      <c r="C1992" s="24">
        <v>61.9</v>
      </c>
      <c r="E1992" s="4">
        <v>387238</v>
      </c>
      <c r="F1992" s="2" t="s">
        <v>2</v>
      </c>
      <c r="G1992" s="2" t="str">
        <f t="shared" si="107"/>
        <v>https://www.oreht.ru/modules.php?name=orehtPriceLS&amp;op=Search&amp;page=1&amp;stext=387238</v>
      </c>
      <c r="I1992">
        <v>387238</v>
      </c>
      <c r="J1992" t="s">
        <v>2</v>
      </c>
      <c r="K1992" t="s">
        <v>5331</v>
      </c>
      <c r="L1992" t="s">
        <v>5332</v>
      </c>
      <c r="M1992" t="s">
        <v>649</v>
      </c>
    </row>
    <row r="1993" spans="1:13" hidden="1" x14ac:dyDescent="0.25">
      <c r="A1993" s="24">
        <f t="shared" si="108"/>
        <v>20</v>
      </c>
      <c r="B1993" s="24">
        <v>15</v>
      </c>
      <c r="C1993" s="24">
        <v>69.05</v>
      </c>
      <c r="E1993" s="4">
        <v>313400</v>
      </c>
      <c r="F1993" s="2" t="s">
        <v>2</v>
      </c>
      <c r="G1993" s="2" t="str">
        <f t="shared" si="107"/>
        <v>https://www.oreht.ru/modules.php?name=orehtPriceLS&amp;op=Search&amp;page=1&amp;stext=313400</v>
      </c>
      <c r="I1993">
        <v>313400</v>
      </c>
      <c r="J1993" t="s">
        <v>2</v>
      </c>
      <c r="K1993" t="s">
        <v>5333</v>
      </c>
      <c r="L1993" t="s">
        <v>5334</v>
      </c>
      <c r="M1993" t="s">
        <v>5326</v>
      </c>
    </row>
    <row r="1994" spans="1:13" hidden="1" x14ac:dyDescent="0.25">
      <c r="A1994" s="24">
        <f t="shared" si="108"/>
        <v>20</v>
      </c>
      <c r="B1994" s="24">
        <v>9</v>
      </c>
      <c r="C1994" s="24">
        <v>66.2</v>
      </c>
      <c r="E1994" s="4">
        <v>449268</v>
      </c>
      <c r="F1994" s="2" t="s">
        <v>2</v>
      </c>
      <c r="G1994" s="2" t="str">
        <f t="shared" si="107"/>
        <v>https://www.oreht.ru/modules.php?name=orehtPriceLS&amp;op=Search&amp;page=1&amp;stext=449268</v>
      </c>
      <c r="I1994">
        <v>449268</v>
      </c>
      <c r="J1994" t="s">
        <v>2</v>
      </c>
      <c r="K1994" t="s">
        <v>5335</v>
      </c>
      <c r="L1994" t="s">
        <v>5336</v>
      </c>
      <c r="M1994" t="s">
        <v>2267</v>
      </c>
    </row>
    <row r="1995" spans="1:13" hidden="1" x14ac:dyDescent="0.25">
      <c r="A1995" s="24">
        <f t="shared" si="108"/>
        <v>20</v>
      </c>
      <c r="B1995" s="24">
        <v>9</v>
      </c>
      <c r="C1995" s="24">
        <v>66.3</v>
      </c>
      <c r="E1995" s="4">
        <v>312675</v>
      </c>
      <c r="F1995" s="2" t="s">
        <v>2</v>
      </c>
      <c r="G1995" s="2" t="str">
        <f t="shared" si="107"/>
        <v>https://www.oreht.ru/modules.php?name=orehtPriceLS&amp;op=Search&amp;page=1&amp;stext=312675</v>
      </c>
      <c r="I1995">
        <v>312675</v>
      </c>
      <c r="J1995" t="s">
        <v>2</v>
      </c>
      <c r="K1995" t="s">
        <v>5337</v>
      </c>
      <c r="L1995" t="s">
        <v>5338</v>
      </c>
      <c r="M1995" t="s">
        <v>5339</v>
      </c>
    </row>
    <row r="1996" spans="1:13" hidden="1" x14ac:dyDescent="0.25">
      <c r="A1996" s="24">
        <f t="shared" si="108"/>
        <v>20</v>
      </c>
      <c r="B1996" s="24">
        <v>9</v>
      </c>
      <c r="C1996" s="24">
        <v>66.5</v>
      </c>
      <c r="E1996" s="4">
        <v>313236</v>
      </c>
      <c r="F1996" s="2" t="s">
        <v>2</v>
      </c>
      <c r="G1996" s="2" t="str">
        <f t="shared" si="107"/>
        <v>https://www.oreht.ru/modules.php?name=orehtPriceLS&amp;op=Search&amp;page=1&amp;stext=313236</v>
      </c>
      <c r="I1996">
        <v>313236</v>
      </c>
      <c r="J1996" t="s">
        <v>2</v>
      </c>
      <c r="K1996" t="s">
        <v>5340</v>
      </c>
      <c r="L1996" t="s">
        <v>5341</v>
      </c>
      <c r="M1996" t="s">
        <v>5342</v>
      </c>
    </row>
    <row r="1997" spans="1:13" hidden="1" x14ac:dyDescent="0.25">
      <c r="A1997" s="24">
        <f t="shared" si="108"/>
        <v>20</v>
      </c>
      <c r="B1997" s="24">
        <v>9</v>
      </c>
      <c r="C1997" s="24">
        <v>80.94</v>
      </c>
      <c r="E1997" s="4">
        <v>463576</v>
      </c>
      <c r="F1997" s="2" t="s">
        <v>2</v>
      </c>
      <c r="G1997" s="2" t="str">
        <f t="shared" si="107"/>
        <v>https://www.oreht.ru/modules.php?name=orehtPriceLS&amp;op=Search&amp;page=1&amp;stext=463576</v>
      </c>
      <c r="I1997">
        <v>463576</v>
      </c>
      <c r="J1997" t="s">
        <v>2</v>
      </c>
      <c r="K1997" t="s">
        <v>5343</v>
      </c>
      <c r="L1997" t="s">
        <v>5344</v>
      </c>
      <c r="M1997" t="s">
        <v>5342</v>
      </c>
    </row>
    <row r="1998" spans="1:13" hidden="1" x14ac:dyDescent="0.25">
      <c r="A1998" s="24">
        <f t="shared" si="108"/>
        <v>20</v>
      </c>
      <c r="B1998" s="24">
        <v>15</v>
      </c>
      <c r="C1998" s="24">
        <v>85.5</v>
      </c>
      <c r="E1998" s="4">
        <v>443563</v>
      </c>
      <c r="F1998" s="2" t="s">
        <v>2</v>
      </c>
      <c r="G1998" s="2" t="str">
        <f t="shared" si="107"/>
        <v>https://www.oreht.ru/modules.php?name=orehtPriceLS&amp;op=Search&amp;page=1&amp;stext=443563</v>
      </c>
      <c r="I1998">
        <v>443563</v>
      </c>
      <c r="J1998" t="s">
        <v>2</v>
      </c>
      <c r="K1998" t="s">
        <v>5345</v>
      </c>
      <c r="L1998" t="s">
        <v>5346</v>
      </c>
      <c r="M1998" t="s">
        <v>5347</v>
      </c>
    </row>
    <row r="1999" spans="1:13" hidden="1" x14ac:dyDescent="0.25">
      <c r="A1999" s="24">
        <f t="shared" si="108"/>
        <v>20</v>
      </c>
      <c r="B1999" s="24">
        <v>9</v>
      </c>
      <c r="C1999" s="24">
        <v>81.3</v>
      </c>
      <c r="E1999" s="4">
        <v>460457</v>
      </c>
      <c r="F1999" s="2" t="s">
        <v>2</v>
      </c>
      <c r="G1999" s="2" t="str">
        <f t="shared" si="107"/>
        <v>https://www.oreht.ru/modules.php?name=orehtPriceLS&amp;op=Search&amp;page=1&amp;stext=460457</v>
      </c>
      <c r="I1999">
        <v>460457</v>
      </c>
      <c r="J1999" t="s">
        <v>2</v>
      </c>
      <c r="K1999" t="s">
        <v>5348</v>
      </c>
      <c r="L1999" t="s">
        <v>5349</v>
      </c>
      <c r="M1999" t="s">
        <v>5347</v>
      </c>
    </row>
    <row r="2000" spans="1:13" hidden="1" x14ac:dyDescent="0.25">
      <c r="A2000" s="24">
        <f t="shared" si="108"/>
        <v>20</v>
      </c>
      <c r="B2000" s="24">
        <v>9</v>
      </c>
      <c r="C2000" s="24">
        <v>66.7</v>
      </c>
      <c r="E2000" s="4">
        <v>365439</v>
      </c>
      <c r="F2000" s="2" t="s">
        <v>2</v>
      </c>
      <c r="G2000" s="2" t="str">
        <f t="shared" si="107"/>
        <v>https://www.oreht.ru/modules.php?name=orehtPriceLS&amp;op=Search&amp;page=1&amp;stext=365439</v>
      </c>
      <c r="I2000">
        <v>365439</v>
      </c>
      <c r="J2000" t="s">
        <v>2</v>
      </c>
      <c r="K2000" t="s">
        <v>5350</v>
      </c>
      <c r="L2000" t="s">
        <v>5351</v>
      </c>
      <c r="M2000" t="s">
        <v>5352</v>
      </c>
    </row>
    <row r="2001" spans="1:13" hidden="1" x14ac:dyDescent="0.25">
      <c r="A2001" s="24">
        <f t="shared" si="108"/>
        <v>20</v>
      </c>
      <c r="B2001" s="24">
        <v>15</v>
      </c>
      <c r="C2001" s="24">
        <v>85.68</v>
      </c>
      <c r="E2001" s="4">
        <v>343282</v>
      </c>
      <c r="F2001" s="2" t="s">
        <v>2</v>
      </c>
      <c r="G2001" s="2" t="str">
        <f t="shared" si="107"/>
        <v>https://www.oreht.ru/modules.php?name=orehtPriceLS&amp;op=Search&amp;page=1&amp;stext=343282</v>
      </c>
      <c r="I2001">
        <v>343282</v>
      </c>
      <c r="J2001" t="s">
        <v>2</v>
      </c>
      <c r="K2001" t="s">
        <v>5353</v>
      </c>
      <c r="L2001" t="s">
        <v>5354</v>
      </c>
      <c r="M2001" t="s">
        <v>5355</v>
      </c>
    </row>
    <row r="2002" spans="1:13" hidden="1" x14ac:dyDescent="0.25">
      <c r="A2002" s="24">
        <f t="shared" si="108"/>
        <v>20</v>
      </c>
      <c r="B2002" s="24">
        <v>15</v>
      </c>
      <c r="C2002" s="24">
        <v>70.75</v>
      </c>
      <c r="E2002" s="4">
        <v>343290</v>
      </c>
      <c r="F2002" s="2" t="s">
        <v>2</v>
      </c>
      <c r="G2002" s="2" t="str">
        <f t="shared" si="107"/>
        <v>https://www.oreht.ru/modules.php?name=orehtPriceLS&amp;op=Search&amp;page=1&amp;stext=343290</v>
      </c>
      <c r="I2002">
        <v>343290</v>
      </c>
      <c r="J2002" t="s">
        <v>2</v>
      </c>
      <c r="K2002" t="s">
        <v>5356</v>
      </c>
      <c r="L2002" t="s">
        <v>5357</v>
      </c>
      <c r="M2002" t="s">
        <v>5355</v>
      </c>
    </row>
    <row r="2003" spans="1:13" hidden="1" x14ac:dyDescent="0.25">
      <c r="A2003" s="24">
        <f t="shared" si="108"/>
        <v>20</v>
      </c>
      <c r="B2003" s="24">
        <v>9</v>
      </c>
      <c r="C2003" s="24">
        <v>67.099999999999994</v>
      </c>
      <c r="E2003" s="4">
        <v>457111</v>
      </c>
      <c r="F2003" s="2" t="s">
        <v>2</v>
      </c>
      <c r="G2003" s="2" t="str">
        <f t="shared" si="107"/>
        <v>https://www.oreht.ru/modules.php?name=orehtPriceLS&amp;op=Search&amp;page=1&amp;stext=457111</v>
      </c>
      <c r="I2003">
        <v>457111</v>
      </c>
      <c r="J2003" t="s">
        <v>2</v>
      </c>
      <c r="K2003" t="s">
        <v>5358</v>
      </c>
      <c r="L2003" t="s">
        <v>5359</v>
      </c>
      <c r="M2003" t="s">
        <v>5360</v>
      </c>
    </row>
    <row r="2004" spans="1:13" hidden="1" x14ac:dyDescent="0.25">
      <c r="A2004" s="24">
        <f t="shared" si="108"/>
        <v>20</v>
      </c>
      <c r="B2004" s="24">
        <v>9</v>
      </c>
      <c r="C2004" s="24">
        <v>67.2</v>
      </c>
      <c r="E2004" s="4">
        <v>352433</v>
      </c>
      <c r="F2004" s="2" t="s">
        <v>2</v>
      </c>
      <c r="G2004" s="2" t="str">
        <f t="shared" si="107"/>
        <v>https://www.oreht.ru/modules.php?name=orehtPriceLS&amp;op=Search&amp;page=1&amp;stext=352433</v>
      </c>
      <c r="I2004">
        <v>352433</v>
      </c>
      <c r="J2004" t="s">
        <v>2</v>
      </c>
      <c r="K2004" t="s">
        <v>5361</v>
      </c>
      <c r="L2004" t="s">
        <v>5362</v>
      </c>
      <c r="M2004" t="s">
        <v>5363</v>
      </c>
    </row>
    <row r="2005" spans="1:13" x14ac:dyDescent="0.25">
      <c r="A2005" s="24">
        <f t="shared" si="108"/>
        <v>20</v>
      </c>
      <c r="B2005" s="24">
        <v>7</v>
      </c>
      <c r="C2005" s="24">
        <v>64.45</v>
      </c>
      <c r="E2005" s="4">
        <v>237195</v>
      </c>
      <c r="F2005" s="2" t="s">
        <v>2</v>
      </c>
      <c r="G2005" s="2" t="str">
        <f t="shared" si="107"/>
        <v>https://www.oreht.ru/modules.php?name=orehtPriceLS&amp;op=Search&amp;page=1&amp;stext=237195</v>
      </c>
      <c r="I2005">
        <v>237195</v>
      </c>
      <c r="J2005" t="s">
        <v>2</v>
      </c>
      <c r="K2005" t="s">
        <v>5364</v>
      </c>
      <c r="L2005" t="s">
        <v>5365</v>
      </c>
      <c r="M2005" t="s">
        <v>649</v>
      </c>
    </row>
    <row r="2006" spans="1:13" hidden="1" x14ac:dyDescent="0.25">
      <c r="A2006" s="24">
        <f t="shared" si="108"/>
        <v>20</v>
      </c>
      <c r="B2006" s="24">
        <v>9</v>
      </c>
      <c r="C2006" s="24">
        <v>80.52</v>
      </c>
      <c r="E2006" s="4">
        <v>206912</v>
      </c>
      <c r="F2006" s="2" t="s">
        <v>2</v>
      </c>
      <c r="G2006" s="2" t="str">
        <f t="shared" si="107"/>
        <v>https://www.oreht.ru/modules.php?name=orehtPriceLS&amp;op=Search&amp;page=1&amp;stext=206912</v>
      </c>
      <c r="I2006">
        <v>206912</v>
      </c>
      <c r="J2006" t="s">
        <v>2</v>
      </c>
      <c r="K2006" t="s">
        <v>5366</v>
      </c>
      <c r="L2006" t="s">
        <v>5367</v>
      </c>
      <c r="M2006" t="s">
        <v>5368</v>
      </c>
    </row>
    <row r="2007" spans="1:13" hidden="1" x14ac:dyDescent="0.25">
      <c r="A2007" s="24">
        <f t="shared" si="108"/>
        <v>20</v>
      </c>
      <c r="B2007" s="24">
        <v>9</v>
      </c>
      <c r="C2007" s="24">
        <v>83.16</v>
      </c>
      <c r="E2007" s="4">
        <v>187939</v>
      </c>
      <c r="F2007" s="2" t="s">
        <v>2</v>
      </c>
      <c r="G2007" s="2" t="str">
        <f t="shared" si="107"/>
        <v>https://www.oreht.ru/modules.php?name=orehtPriceLS&amp;op=Search&amp;page=1&amp;stext=187939</v>
      </c>
      <c r="I2007">
        <v>187939</v>
      </c>
      <c r="J2007" t="s">
        <v>2</v>
      </c>
      <c r="K2007" t="s">
        <v>5369</v>
      </c>
      <c r="L2007" t="s">
        <v>5370</v>
      </c>
      <c r="M2007" t="s">
        <v>5371</v>
      </c>
    </row>
    <row r="2008" spans="1:13" hidden="1" x14ac:dyDescent="0.25">
      <c r="A2008" s="24">
        <f t="shared" si="108"/>
        <v>20</v>
      </c>
      <c r="B2008" s="24">
        <v>15</v>
      </c>
      <c r="C2008" s="24">
        <v>89.04</v>
      </c>
      <c r="E2008" s="4">
        <v>276592</v>
      </c>
      <c r="F2008" s="2" t="s">
        <v>2</v>
      </c>
      <c r="G2008" s="2" t="str">
        <f t="shared" si="107"/>
        <v>https://www.oreht.ru/modules.php?name=orehtPriceLS&amp;op=Search&amp;page=1&amp;stext=276592</v>
      </c>
      <c r="I2008">
        <v>276592</v>
      </c>
      <c r="J2008" t="s">
        <v>2</v>
      </c>
      <c r="K2008" t="s">
        <v>5372</v>
      </c>
      <c r="L2008" t="s">
        <v>5373</v>
      </c>
      <c r="M2008" t="s">
        <v>5374</v>
      </c>
    </row>
    <row r="2009" spans="1:13" hidden="1" x14ac:dyDescent="0.25">
      <c r="A2009" s="24">
        <f t="shared" si="108"/>
        <v>20</v>
      </c>
      <c r="B2009" s="24">
        <v>9</v>
      </c>
      <c r="C2009" s="24">
        <v>84.12</v>
      </c>
      <c r="E2009" s="4">
        <v>402034</v>
      </c>
      <c r="F2009" s="2" t="s">
        <v>2</v>
      </c>
      <c r="G2009" s="2" t="str">
        <f t="shared" si="107"/>
        <v>https://www.oreht.ru/modules.php?name=orehtPriceLS&amp;op=Search&amp;page=1&amp;stext=402034</v>
      </c>
      <c r="I2009">
        <v>402034</v>
      </c>
      <c r="J2009" t="s">
        <v>2</v>
      </c>
      <c r="K2009" t="s">
        <v>5375</v>
      </c>
      <c r="L2009" t="s">
        <v>5376</v>
      </c>
      <c r="M2009" t="s">
        <v>5374</v>
      </c>
    </row>
    <row r="2010" spans="1:13" hidden="1" x14ac:dyDescent="0.25">
      <c r="A2010" s="24">
        <f t="shared" si="108"/>
        <v>20</v>
      </c>
      <c r="B2010" s="24">
        <v>15</v>
      </c>
      <c r="C2010" s="24">
        <v>100</v>
      </c>
      <c r="E2010" s="4">
        <v>124958</v>
      </c>
      <c r="F2010" s="2" t="s">
        <v>2</v>
      </c>
      <c r="G2010" s="2" t="str">
        <f t="shared" si="107"/>
        <v>https://www.oreht.ru/modules.php?name=orehtPriceLS&amp;op=Search&amp;page=1&amp;stext=124958</v>
      </c>
      <c r="I2010">
        <v>124958</v>
      </c>
      <c r="J2010" t="s">
        <v>2</v>
      </c>
      <c r="K2010" t="s">
        <v>5377</v>
      </c>
      <c r="L2010" t="s">
        <v>5378</v>
      </c>
      <c r="M2010" t="s">
        <v>5379</v>
      </c>
    </row>
    <row r="2011" spans="1:13" hidden="1" x14ac:dyDescent="0.25">
      <c r="A2011" s="24">
        <f t="shared" si="108"/>
        <v>20</v>
      </c>
      <c r="B2011" s="24">
        <v>9</v>
      </c>
      <c r="C2011" s="24">
        <v>69.400000000000006</v>
      </c>
      <c r="E2011" s="4">
        <v>358888</v>
      </c>
      <c r="F2011" s="2" t="s">
        <v>2</v>
      </c>
      <c r="G2011" s="2" t="str">
        <f t="shared" si="107"/>
        <v>https://www.oreht.ru/modules.php?name=orehtPriceLS&amp;op=Search&amp;page=1&amp;stext=358888</v>
      </c>
      <c r="I2011">
        <v>358888</v>
      </c>
      <c r="J2011" t="s">
        <v>2</v>
      </c>
      <c r="K2011" t="s">
        <v>5380</v>
      </c>
      <c r="L2011" t="s">
        <v>5381</v>
      </c>
      <c r="M2011" t="s">
        <v>5382</v>
      </c>
    </row>
    <row r="2012" spans="1:13" hidden="1" x14ac:dyDescent="0.25">
      <c r="A2012" s="24">
        <f t="shared" si="108"/>
        <v>20</v>
      </c>
      <c r="B2012" s="24">
        <v>9</v>
      </c>
      <c r="C2012" s="24">
        <v>69.599999999999994</v>
      </c>
      <c r="E2012" s="4">
        <v>372256</v>
      </c>
      <c r="F2012" s="2" t="s">
        <v>2</v>
      </c>
      <c r="G2012" s="2" t="str">
        <f t="shared" si="107"/>
        <v>https://www.oreht.ru/modules.php?name=orehtPriceLS&amp;op=Search&amp;page=1&amp;stext=372256</v>
      </c>
      <c r="I2012">
        <v>372256</v>
      </c>
      <c r="J2012" t="s">
        <v>2</v>
      </c>
      <c r="K2012" t="s">
        <v>5383</v>
      </c>
      <c r="L2012" t="s">
        <v>5384</v>
      </c>
      <c r="M2012" t="s">
        <v>5385</v>
      </c>
    </row>
    <row r="2013" spans="1:13" hidden="1" x14ac:dyDescent="0.25">
      <c r="A2013" s="24">
        <f t="shared" si="108"/>
        <v>20</v>
      </c>
      <c r="B2013" s="24">
        <v>9</v>
      </c>
      <c r="C2013" s="24">
        <v>69.7</v>
      </c>
      <c r="E2013" s="4">
        <v>435293</v>
      </c>
      <c r="F2013" s="2" t="s">
        <v>2</v>
      </c>
      <c r="G2013" s="2" t="str">
        <f t="shared" si="107"/>
        <v>https://www.oreht.ru/modules.php?name=orehtPriceLS&amp;op=Search&amp;page=1&amp;stext=435293</v>
      </c>
      <c r="I2013">
        <v>435293</v>
      </c>
      <c r="J2013" t="s">
        <v>2</v>
      </c>
      <c r="K2013" t="s">
        <v>5386</v>
      </c>
      <c r="L2013" t="s">
        <v>5387</v>
      </c>
      <c r="M2013" t="s">
        <v>5388</v>
      </c>
    </row>
    <row r="2014" spans="1:13" hidden="1" x14ac:dyDescent="0.25">
      <c r="A2014" s="24">
        <f t="shared" si="108"/>
        <v>20</v>
      </c>
      <c r="B2014" s="24">
        <v>9</v>
      </c>
      <c r="C2014" s="24">
        <v>72.75</v>
      </c>
      <c r="E2014" s="4">
        <v>375864</v>
      </c>
      <c r="F2014" s="2" t="s">
        <v>2</v>
      </c>
      <c r="G2014" s="2" t="str">
        <f t="shared" si="107"/>
        <v>https://www.oreht.ru/modules.php?name=orehtPriceLS&amp;op=Search&amp;page=1&amp;stext=375864</v>
      </c>
      <c r="I2014">
        <v>375864</v>
      </c>
      <c r="J2014" t="s">
        <v>2</v>
      </c>
      <c r="K2014" t="s">
        <v>5389</v>
      </c>
      <c r="L2014" t="s">
        <v>5390</v>
      </c>
      <c r="M2014" t="s">
        <v>5391</v>
      </c>
    </row>
    <row r="2015" spans="1:13" hidden="1" x14ac:dyDescent="0.25">
      <c r="A2015" s="24">
        <f t="shared" si="108"/>
        <v>20</v>
      </c>
      <c r="B2015" s="24">
        <v>9</v>
      </c>
      <c r="C2015" s="24">
        <v>85.02</v>
      </c>
      <c r="E2015" s="4">
        <v>449493</v>
      </c>
      <c r="F2015" s="2" t="s">
        <v>2</v>
      </c>
      <c r="G2015" s="2" t="str">
        <f t="shared" si="107"/>
        <v>https://www.oreht.ru/modules.php?name=orehtPriceLS&amp;op=Search&amp;page=1&amp;stext=449493</v>
      </c>
      <c r="I2015">
        <v>449493</v>
      </c>
      <c r="J2015" t="s">
        <v>2</v>
      </c>
      <c r="K2015" t="s">
        <v>5392</v>
      </c>
      <c r="L2015" t="s">
        <v>5393</v>
      </c>
      <c r="M2015" t="s">
        <v>5394</v>
      </c>
    </row>
    <row r="2016" spans="1:13" hidden="1" x14ac:dyDescent="0.25">
      <c r="A2016" s="24">
        <f t="shared" si="108"/>
        <v>20</v>
      </c>
      <c r="B2016" s="24">
        <v>15</v>
      </c>
      <c r="C2016" s="24">
        <v>74.3</v>
      </c>
      <c r="E2016" s="4">
        <v>384396</v>
      </c>
      <c r="F2016" s="2" t="s">
        <v>2</v>
      </c>
      <c r="G2016" s="2" t="str">
        <f t="shared" si="107"/>
        <v>https://www.oreht.ru/modules.php?name=orehtPriceLS&amp;op=Search&amp;page=1&amp;stext=384396</v>
      </c>
      <c r="I2016">
        <v>384396</v>
      </c>
      <c r="J2016" t="s">
        <v>2</v>
      </c>
      <c r="K2016" t="s">
        <v>5395</v>
      </c>
      <c r="L2016" t="s">
        <v>5396</v>
      </c>
      <c r="M2016" t="s">
        <v>5397</v>
      </c>
    </row>
    <row r="2017" spans="1:13" hidden="1" x14ac:dyDescent="0.25">
      <c r="A2017" s="24">
        <f t="shared" si="108"/>
        <v>20</v>
      </c>
      <c r="B2017" s="24">
        <v>9</v>
      </c>
      <c r="C2017" s="24">
        <v>83.28</v>
      </c>
      <c r="E2017" s="4">
        <v>444741</v>
      </c>
      <c r="F2017" s="2" t="s">
        <v>2</v>
      </c>
      <c r="G2017" s="2" t="str">
        <f t="shared" si="107"/>
        <v>https://www.oreht.ru/modules.php?name=orehtPriceLS&amp;op=Search&amp;page=1&amp;stext=444741</v>
      </c>
      <c r="I2017">
        <v>444741</v>
      </c>
      <c r="J2017" t="s">
        <v>2</v>
      </c>
      <c r="K2017" t="s">
        <v>5398</v>
      </c>
      <c r="L2017" t="s">
        <v>5399</v>
      </c>
      <c r="M2017" t="s">
        <v>5400</v>
      </c>
    </row>
    <row r="2018" spans="1:13" hidden="1" x14ac:dyDescent="0.25">
      <c r="A2018" s="24">
        <f t="shared" si="108"/>
        <v>20</v>
      </c>
      <c r="B2018" s="24">
        <v>8</v>
      </c>
      <c r="C2018" s="24">
        <v>68.2</v>
      </c>
      <c r="E2018" s="4">
        <v>367532</v>
      </c>
      <c r="F2018" s="2" t="s">
        <v>2</v>
      </c>
      <c r="G2018" s="2" t="str">
        <f t="shared" si="107"/>
        <v>https://www.oreht.ru/modules.php?name=orehtPriceLS&amp;op=Search&amp;page=1&amp;stext=367532</v>
      </c>
      <c r="I2018">
        <v>367532</v>
      </c>
      <c r="J2018" t="s">
        <v>2</v>
      </c>
      <c r="K2018" t="s">
        <v>5401</v>
      </c>
      <c r="L2018" t="s">
        <v>5402</v>
      </c>
      <c r="M2018" t="s">
        <v>5403</v>
      </c>
    </row>
    <row r="2019" spans="1:13" hidden="1" x14ac:dyDescent="0.25">
      <c r="A2019" s="24">
        <f t="shared" si="108"/>
        <v>20</v>
      </c>
      <c r="B2019" s="24">
        <v>15</v>
      </c>
      <c r="C2019" s="24">
        <v>74.8</v>
      </c>
      <c r="E2019" s="4">
        <v>276595</v>
      </c>
      <c r="F2019" s="2" t="s">
        <v>2</v>
      </c>
      <c r="G2019" s="2" t="str">
        <f t="shared" si="107"/>
        <v>https://www.oreht.ru/modules.php?name=orehtPriceLS&amp;op=Search&amp;page=1&amp;stext=276595</v>
      </c>
      <c r="I2019">
        <v>276595</v>
      </c>
      <c r="J2019" t="s">
        <v>2</v>
      </c>
      <c r="K2019" t="s">
        <v>5404</v>
      </c>
      <c r="L2019" t="s">
        <v>5405</v>
      </c>
      <c r="M2019" t="s">
        <v>5406</v>
      </c>
    </row>
    <row r="2020" spans="1:13" hidden="1" x14ac:dyDescent="0.25">
      <c r="A2020" s="24">
        <f t="shared" si="108"/>
        <v>20</v>
      </c>
      <c r="B2020" s="24">
        <v>9</v>
      </c>
      <c r="C2020" s="24">
        <v>86.22</v>
      </c>
      <c r="E2020" s="4">
        <v>308570</v>
      </c>
      <c r="F2020" s="2" t="s">
        <v>2</v>
      </c>
      <c r="G2020" s="2" t="str">
        <f t="shared" si="107"/>
        <v>https://www.oreht.ru/modules.php?name=orehtPriceLS&amp;op=Search&amp;page=1&amp;stext=308570</v>
      </c>
      <c r="I2020">
        <v>308570</v>
      </c>
      <c r="J2020" t="s">
        <v>2</v>
      </c>
      <c r="K2020" t="s">
        <v>5407</v>
      </c>
      <c r="L2020" t="s">
        <v>5408</v>
      </c>
      <c r="M2020" t="s">
        <v>5406</v>
      </c>
    </row>
    <row r="2021" spans="1:13" hidden="1" x14ac:dyDescent="0.25">
      <c r="A2021" s="24">
        <f t="shared" si="108"/>
        <v>20</v>
      </c>
      <c r="B2021" s="24">
        <v>9</v>
      </c>
      <c r="C2021" s="24">
        <v>72.75</v>
      </c>
      <c r="E2021" s="4">
        <v>372613</v>
      </c>
      <c r="F2021" s="2" t="s">
        <v>2</v>
      </c>
      <c r="G2021" s="2" t="str">
        <f t="shared" si="107"/>
        <v>https://www.oreht.ru/modules.php?name=orehtPriceLS&amp;op=Search&amp;page=1&amp;stext=372613</v>
      </c>
      <c r="I2021">
        <v>372613</v>
      </c>
      <c r="J2021" t="s">
        <v>2</v>
      </c>
      <c r="K2021" t="s">
        <v>5409</v>
      </c>
      <c r="L2021" t="s">
        <v>5410</v>
      </c>
      <c r="M2021" t="s">
        <v>5391</v>
      </c>
    </row>
    <row r="2022" spans="1:13" hidden="1" x14ac:dyDescent="0.25">
      <c r="A2022" s="24">
        <f t="shared" si="108"/>
        <v>20</v>
      </c>
      <c r="B2022" s="24">
        <v>9</v>
      </c>
      <c r="C2022" s="24">
        <v>70.8</v>
      </c>
      <c r="E2022" s="4">
        <v>330058</v>
      </c>
      <c r="F2022" s="2" t="s">
        <v>2</v>
      </c>
      <c r="G2022" s="2" t="str">
        <f t="shared" si="107"/>
        <v>https://www.oreht.ru/modules.php?name=orehtPriceLS&amp;op=Search&amp;page=1&amp;stext=330058</v>
      </c>
      <c r="I2022">
        <v>330058</v>
      </c>
      <c r="J2022" t="s">
        <v>2</v>
      </c>
      <c r="K2022" t="s">
        <v>5411</v>
      </c>
      <c r="L2022" t="s">
        <v>5412</v>
      </c>
      <c r="M2022" t="s">
        <v>2217</v>
      </c>
    </row>
    <row r="2023" spans="1:13" x14ac:dyDescent="0.25">
      <c r="A2023" s="24">
        <f t="shared" si="108"/>
        <v>20</v>
      </c>
      <c r="B2023" s="24">
        <v>9</v>
      </c>
      <c r="C2023" s="24">
        <v>84.54</v>
      </c>
      <c r="E2023" s="4">
        <v>91059</v>
      </c>
      <c r="F2023" s="2" t="s">
        <v>2</v>
      </c>
      <c r="G2023" s="2" t="str">
        <f t="shared" si="107"/>
        <v>https://www.oreht.ru/modules.php?name=orehtPriceLS&amp;op=Search&amp;page=1&amp;stext=91059</v>
      </c>
      <c r="I2023">
        <v>91059</v>
      </c>
      <c r="J2023" t="s">
        <v>2</v>
      </c>
      <c r="K2023" t="s">
        <v>5413</v>
      </c>
      <c r="L2023" t="s">
        <v>5414</v>
      </c>
      <c r="M2023" t="s">
        <v>649</v>
      </c>
    </row>
    <row r="2024" spans="1:13" hidden="1" x14ac:dyDescent="0.25">
      <c r="A2024" s="24">
        <f t="shared" si="108"/>
        <v>20</v>
      </c>
      <c r="B2024" s="24">
        <v>9</v>
      </c>
      <c r="C2024" s="24">
        <v>86.28</v>
      </c>
      <c r="E2024" s="4">
        <v>230827</v>
      </c>
      <c r="F2024" s="2" t="s">
        <v>2</v>
      </c>
      <c r="G2024" s="2" t="str">
        <f t="shared" si="107"/>
        <v>https://www.oreht.ru/modules.php?name=orehtPriceLS&amp;op=Search&amp;page=1&amp;stext=230827</v>
      </c>
      <c r="I2024">
        <v>230827</v>
      </c>
      <c r="J2024" t="s">
        <v>2</v>
      </c>
      <c r="K2024" t="s">
        <v>5415</v>
      </c>
      <c r="L2024" t="s">
        <v>5416</v>
      </c>
      <c r="M2024" t="s">
        <v>5417</v>
      </c>
    </row>
    <row r="2025" spans="1:13" hidden="1" x14ac:dyDescent="0.25">
      <c r="A2025" s="24">
        <f t="shared" si="108"/>
        <v>20</v>
      </c>
      <c r="B2025" s="24">
        <v>9</v>
      </c>
      <c r="C2025" s="24">
        <v>86.7</v>
      </c>
      <c r="E2025" s="4">
        <v>313729</v>
      </c>
      <c r="F2025" s="2" t="s">
        <v>2</v>
      </c>
      <c r="G2025" s="2" t="str">
        <f t="shared" si="107"/>
        <v>https://www.oreht.ru/modules.php?name=orehtPriceLS&amp;op=Search&amp;page=1&amp;stext=313729</v>
      </c>
      <c r="I2025">
        <v>313729</v>
      </c>
      <c r="J2025" t="s">
        <v>2</v>
      </c>
      <c r="K2025" t="s">
        <v>5418</v>
      </c>
      <c r="L2025" t="s">
        <v>5419</v>
      </c>
      <c r="M2025" t="s">
        <v>5420</v>
      </c>
    </row>
    <row r="2026" spans="1:13" hidden="1" x14ac:dyDescent="0.25">
      <c r="A2026" s="24">
        <f t="shared" si="108"/>
        <v>20</v>
      </c>
      <c r="B2026" s="24">
        <v>9</v>
      </c>
      <c r="C2026" s="24">
        <v>71.3</v>
      </c>
      <c r="E2026" s="4">
        <v>458848</v>
      </c>
      <c r="F2026" s="2" t="s">
        <v>2</v>
      </c>
      <c r="G2026" s="2" t="str">
        <f t="shared" si="107"/>
        <v>https://www.oreht.ru/modules.php?name=orehtPriceLS&amp;op=Search&amp;page=1&amp;stext=458848</v>
      </c>
      <c r="I2026">
        <v>458848</v>
      </c>
      <c r="J2026" t="s">
        <v>2</v>
      </c>
      <c r="K2026" t="s">
        <v>5421</v>
      </c>
      <c r="L2026" t="s">
        <v>5422</v>
      </c>
      <c r="M2026" t="s">
        <v>5423</v>
      </c>
    </row>
    <row r="2027" spans="1:13" hidden="1" x14ac:dyDescent="0.25">
      <c r="A2027" s="24">
        <f t="shared" si="108"/>
        <v>20</v>
      </c>
      <c r="B2027" s="24">
        <v>9</v>
      </c>
      <c r="C2027" s="24">
        <v>85.8</v>
      </c>
      <c r="E2027" s="4">
        <v>90996</v>
      </c>
      <c r="F2027" s="2" t="s">
        <v>2</v>
      </c>
      <c r="G2027" s="2" t="str">
        <f t="shared" si="107"/>
        <v>https://www.oreht.ru/modules.php?name=orehtPriceLS&amp;op=Search&amp;page=1&amp;stext=90996</v>
      </c>
      <c r="I2027">
        <v>90996</v>
      </c>
      <c r="J2027" t="s">
        <v>2</v>
      </c>
      <c r="K2027" t="s">
        <v>5424</v>
      </c>
      <c r="L2027" t="s">
        <v>5425</v>
      </c>
      <c r="M2027" t="s">
        <v>5426</v>
      </c>
    </row>
    <row r="2028" spans="1:13" hidden="1" x14ac:dyDescent="0.25">
      <c r="A2028" s="24">
        <f t="shared" si="108"/>
        <v>20</v>
      </c>
      <c r="B2028" s="24">
        <v>9</v>
      </c>
      <c r="C2028" s="24">
        <v>85.32</v>
      </c>
      <c r="E2028" s="4">
        <v>450114</v>
      </c>
      <c r="F2028" s="2" t="s">
        <v>2</v>
      </c>
      <c r="G2028" s="2" t="str">
        <f t="shared" si="107"/>
        <v>https://www.oreht.ru/modules.php?name=orehtPriceLS&amp;op=Search&amp;page=1&amp;stext=450114</v>
      </c>
      <c r="I2028">
        <v>450114</v>
      </c>
      <c r="J2028" t="s">
        <v>2</v>
      </c>
      <c r="K2028" t="s">
        <v>5427</v>
      </c>
      <c r="L2028" t="s">
        <v>5428</v>
      </c>
      <c r="M2028" t="s">
        <v>5403</v>
      </c>
    </row>
    <row r="2029" spans="1:13" hidden="1" x14ac:dyDescent="0.25">
      <c r="A2029" s="24">
        <f t="shared" si="108"/>
        <v>20</v>
      </c>
      <c r="B2029" s="24">
        <v>9</v>
      </c>
      <c r="C2029" s="24">
        <v>88.44</v>
      </c>
      <c r="E2029" s="4">
        <v>429448</v>
      </c>
      <c r="F2029" s="2" t="s">
        <v>2</v>
      </c>
      <c r="G2029" s="2" t="str">
        <f t="shared" si="107"/>
        <v>https://www.oreht.ru/modules.php?name=orehtPriceLS&amp;op=Search&amp;page=1&amp;stext=429448</v>
      </c>
      <c r="I2029">
        <v>429448</v>
      </c>
      <c r="J2029" t="s">
        <v>2</v>
      </c>
      <c r="K2029" t="s">
        <v>5429</v>
      </c>
      <c r="L2029" t="s">
        <v>5430</v>
      </c>
      <c r="M2029" t="s">
        <v>5431</v>
      </c>
    </row>
    <row r="2030" spans="1:13" hidden="1" x14ac:dyDescent="0.25">
      <c r="A2030" s="24">
        <f t="shared" si="108"/>
        <v>20</v>
      </c>
      <c r="B2030" s="24">
        <v>9</v>
      </c>
      <c r="C2030" s="24">
        <v>72.400000000000006</v>
      </c>
      <c r="E2030" s="4">
        <v>235259</v>
      </c>
      <c r="F2030" s="2" t="s">
        <v>2</v>
      </c>
      <c r="G2030" s="2" t="str">
        <f t="shared" si="107"/>
        <v>https://www.oreht.ru/modules.php?name=orehtPriceLS&amp;op=Search&amp;page=1&amp;stext=235259</v>
      </c>
      <c r="I2030">
        <v>235259</v>
      </c>
      <c r="J2030" t="s">
        <v>2</v>
      </c>
      <c r="K2030" t="s">
        <v>5432</v>
      </c>
      <c r="L2030" t="s">
        <v>5433</v>
      </c>
      <c r="M2030" t="s">
        <v>5434</v>
      </c>
    </row>
    <row r="2031" spans="1:13" hidden="1" x14ac:dyDescent="0.25">
      <c r="A2031" s="24">
        <f t="shared" si="108"/>
        <v>20</v>
      </c>
      <c r="B2031" s="24">
        <v>9</v>
      </c>
      <c r="C2031" s="24">
        <v>86.22</v>
      </c>
      <c r="E2031" s="4">
        <v>90998</v>
      </c>
      <c r="F2031" s="2" t="s">
        <v>2</v>
      </c>
      <c r="G2031" s="2" t="str">
        <f t="shared" si="107"/>
        <v>https://www.oreht.ru/modules.php?name=orehtPriceLS&amp;op=Search&amp;page=1&amp;stext=90998</v>
      </c>
      <c r="I2031">
        <v>90998</v>
      </c>
      <c r="J2031" t="s">
        <v>2</v>
      </c>
      <c r="K2031" t="s">
        <v>5435</v>
      </c>
      <c r="L2031" t="s">
        <v>5436</v>
      </c>
      <c r="M2031" t="s">
        <v>5434</v>
      </c>
    </row>
    <row r="2032" spans="1:13" hidden="1" x14ac:dyDescent="0.25">
      <c r="A2032" s="24">
        <f t="shared" si="108"/>
        <v>20</v>
      </c>
      <c r="B2032" s="24">
        <v>9</v>
      </c>
      <c r="C2032" s="24">
        <v>70.95</v>
      </c>
      <c r="E2032" s="4">
        <v>446334</v>
      </c>
      <c r="F2032" s="2" t="s">
        <v>2</v>
      </c>
      <c r="G2032" s="2" t="str">
        <f t="shared" si="107"/>
        <v>https://www.oreht.ru/modules.php?name=orehtPriceLS&amp;op=Search&amp;page=1&amp;stext=446334</v>
      </c>
      <c r="I2032">
        <v>446334</v>
      </c>
      <c r="J2032" t="s">
        <v>2</v>
      </c>
      <c r="K2032" t="s">
        <v>5437</v>
      </c>
      <c r="L2032" t="s">
        <v>5438</v>
      </c>
      <c r="M2032" t="s">
        <v>5439</v>
      </c>
    </row>
    <row r="2033" spans="1:13" hidden="1" x14ac:dyDescent="0.25">
      <c r="A2033" s="24">
        <f t="shared" si="108"/>
        <v>20</v>
      </c>
      <c r="B2033" s="24">
        <v>9</v>
      </c>
      <c r="C2033" s="24">
        <v>88.56</v>
      </c>
      <c r="E2033" s="4">
        <v>432786</v>
      </c>
      <c r="F2033" s="2" t="s">
        <v>2</v>
      </c>
      <c r="G2033" s="2" t="str">
        <f t="shared" si="107"/>
        <v>https://www.oreht.ru/modules.php?name=orehtPriceLS&amp;op=Search&amp;page=1&amp;stext=432786</v>
      </c>
      <c r="I2033">
        <v>432786</v>
      </c>
      <c r="J2033" t="s">
        <v>2</v>
      </c>
      <c r="K2033" t="s">
        <v>5440</v>
      </c>
      <c r="L2033" t="s">
        <v>5441</v>
      </c>
      <c r="M2033" t="s">
        <v>5442</v>
      </c>
    </row>
    <row r="2034" spans="1:13" hidden="1" x14ac:dyDescent="0.25">
      <c r="A2034" s="24">
        <f t="shared" si="108"/>
        <v>20</v>
      </c>
      <c r="B2034" s="24">
        <v>15</v>
      </c>
      <c r="C2034" s="24">
        <v>77.150000000000006</v>
      </c>
      <c r="E2034" s="4">
        <v>430046</v>
      </c>
      <c r="F2034" s="2" t="s">
        <v>2</v>
      </c>
      <c r="G2034" s="2" t="str">
        <f t="shared" si="107"/>
        <v>https://www.oreht.ru/modules.php?name=orehtPriceLS&amp;op=Search&amp;page=1&amp;stext=430046</v>
      </c>
      <c r="I2034">
        <v>430046</v>
      </c>
      <c r="J2034" t="s">
        <v>2</v>
      </c>
      <c r="K2034" t="s">
        <v>5443</v>
      </c>
      <c r="L2034" t="s">
        <v>5444</v>
      </c>
      <c r="M2034" t="s">
        <v>5445</v>
      </c>
    </row>
    <row r="2035" spans="1:13" hidden="1" x14ac:dyDescent="0.25">
      <c r="A2035" s="24">
        <f t="shared" si="108"/>
        <v>20</v>
      </c>
      <c r="B2035" s="24">
        <v>8</v>
      </c>
      <c r="C2035" s="24">
        <v>68.599999999999994</v>
      </c>
      <c r="E2035" s="4">
        <v>384394</v>
      </c>
      <c r="F2035" s="2" t="s">
        <v>2</v>
      </c>
      <c r="G2035" s="2" t="str">
        <f t="shared" si="107"/>
        <v>https://www.oreht.ru/modules.php?name=orehtPriceLS&amp;op=Search&amp;page=1&amp;stext=384394</v>
      </c>
      <c r="I2035">
        <v>384394</v>
      </c>
      <c r="J2035" t="s">
        <v>2</v>
      </c>
      <c r="K2035" t="s">
        <v>5446</v>
      </c>
      <c r="L2035" t="s">
        <v>5447</v>
      </c>
      <c r="M2035" t="s">
        <v>5439</v>
      </c>
    </row>
    <row r="2036" spans="1:13" hidden="1" x14ac:dyDescent="0.25">
      <c r="A2036" s="24">
        <f t="shared" si="108"/>
        <v>20</v>
      </c>
      <c r="B2036" s="24">
        <v>15</v>
      </c>
      <c r="C2036" s="24">
        <v>94.2</v>
      </c>
      <c r="E2036" s="4">
        <v>294182</v>
      </c>
      <c r="F2036" s="2" t="s">
        <v>2</v>
      </c>
      <c r="G2036" s="2" t="str">
        <f t="shared" si="107"/>
        <v>https://www.oreht.ru/modules.php?name=orehtPriceLS&amp;op=Search&amp;page=1&amp;stext=294182</v>
      </c>
      <c r="I2036">
        <v>294182</v>
      </c>
      <c r="J2036" t="s">
        <v>2</v>
      </c>
      <c r="K2036" t="s">
        <v>5448</v>
      </c>
      <c r="L2036" t="s">
        <v>5449</v>
      </c>
      <c r="M2036" t="s">
        <v>5450</v>
      </c>
    </row>
    <row r="2037" spans="1:13" hidden="1" x14ac:dyDescent="0.25">
      <c r="A2037" s="24">
        <f t="shared" si="108"/>
        <v>20</v>
      </c>
      <c r="B2037" s="24">
        <v>8</v>
      </c>
      <c r="C2037" s="24">
        <v>71.599999999999994</v>
      </c>
      <c r="E2037" s="4">
        <v>377905</v>
      </c>
      <c r="F2037" s="2" t="s">
        <v>2</v>
      </c>
      <c r="G2037" s="2" t="str">
        <f t="shared" si="107"/>
        <v>https://www.oreht.ru/modules.php?name=orehtPriceLS&amp;op=Search&amp;page=1&amp;stext=377905</v>
      </c>
      <c r="I2037">
        <v>377905</v>
      </c>
      <c r="J2037" t="s">
        <v>2</v>
      </c>
      <c r="K2037" t="s">
        <v>5451</v>
      </c>
      <c r="L2037" t="s">
        <v>5452</v>
      </c>
      <c r="M2037" t="s">
        <v>5453</v>
      </c>
    </row>
    <row r="2038" spans="1:13" hidden="1" x14ac:dyDescent="0.25">
      <c r="A2038" s="24">
        <f t="shared" si="108"/>
        <v>20</v>
      </c>
      <c r="B2038" s="24">
        <v>15</v>
      </c>
      <c r="C2038" s="24">
        <v>135</v>
      </c>
      <c r="E2038" s="4">
        <v>124948</v>
      </c>
      <c r="F2038" s="2" t="s">
        <v>2</v>
      </c>
      <c r="G2038" s="2" t="str">
        <f t="shared" si="107"/>
        <v>https://www.oreht.ru/modules.php?name=orehtPriceLS&amp;op=Search&amp;page=1&amp;stext=124948</v>
      </c>
      <c r="I2038">
        <v>124948</v>
      </c>
      <c r="J2038" t="s">
        <v>2</v>
      </c>
      <c r="K2038" t="s">
        <v>5454</v>
      </c>
      <c r="L2038" t="s">
        <v>5455</v>
      </c>
      <c r="M2038" t="s">
        <v>5456</v>
      </c>
    </row>
    <row r="2039" spans="1:13" hidden="1" x14ac:dyDescent="0.25">
      <c r="A2039" s="24">
        <f t="shared" si="108"/>
        <v>20</v>
      </c>
      <c r="B2039" s="24">
        <v>9</v>
      </c>
      <c r="C2039" s="24">
        <v>74.099999999999994</v>
      </c>
      <c r="E2039" s="4">
        <v>452683</v>
      </c>
      <c r="F2039" s="2" t="s">
        <v>2</v>
      </c>
      <c r="G2039" s="2" t="str">
        <f t="shared" si="107"/>
        <v>https://www.oreht.ru/modules.php?name=orehtPriceLS&amp;op=Search&amp;page=1&amp;stext=452683</v>
      </c>
      <c r="I2039">
        <v>452683</v>
      </c>
      <c r="J2039" t="s">
        <v>2</v>
      </c>
      <c r="K2039" t="s">
        <v>5457</v>
      </c>
      <c r="L2039" t="s">
        <v>5458</v>
      </c>
      <c r="M2039" t="s">
        <v>5456</v>
      </c>
    </row>
    <row r="2040" spans="1:13" hidden="1" x14ac:dyDescent="0.25">
      <c r="A2040" s="24">
        <f t="shared" si="108"/>
        <v>20</v>
      </c>
      <c r="B2040" s="24">
        <v>9</v>
      </c>
      <c r="C2040" s="24">
        <v>88.5</v>
      </c>
      <c r="E2040" s="4">
        <v>415519</v>
      </c>
      <c r="F2040" s="2" t="s">
        <v>2</v>
      </c>
      <c r="G2040" s="2" t="str">
        <f t="shared" si="107"/>
        <v>https://www.oreht.ru/modules.php?name=orehtPriceLS&amp;op=Search&amp;page=1&amp;stext=415519</v>
      </c>
      <c r="I2040">
        <v>415519</v>
      </c>
      <c r="J2040" t="s">
        <v>2</v>
      </c>
      <c r="K2040" t="s">
        <v>5459</v>
      </c>
      <c r="L2040" t="s">
        <v>5460</v>
      </c>
      <c r="M2040" t="s">
        <v>5461</v>
      </c>
    </row>
    <row r="2041" spans="1:13" hidden="1" x14ac:dyDescent="0.25">
      <c r="A2041" s="24">
        <f t="shared" si="108"/>
        <v>20</v>
      </c>
      <c r="B2041" s="24">
        <v>9</v>
      </c>
      <c r="C2041" s="24">
        <v>91.2</v>
      </c>
      <c r="E2041" s="4">
        <v>460065</v>
      </c>
      <c r="F2041" s="2" t="s">
        <v>2</v>
      </c>
      <c r="G2041" s="2" t="str">
        <f t="shared" si="107"/>
        <v>https://www.oreht.ru/modules.php?name=orehtPriceLS&amp;op=Search&amp;page=1&amp;stext=460065</v>
      </c>
      <c r="I2041">
        <v>460065</v>
      </c>
      <c r="J2041" t="s">
        <v>2</v>
      </c>
      <c r="K2041" t="s">
        <v>5462</v>
      </c>
      <c r="L2041" t="s">
        <v>5463</v>
      </c>
      <c r="M2041" t="s">
        <v>5464</v>
      </c>
    </row>
    <row r="2042" spans="1:13" x14ac:dyDescent="0.25">
      <c r="A2042" s="24">
        <f t="shared" si="108"/>
        <v>20</v>
      </c>
      <c r="B2042" s="24">
        <v>7</v>
      </c>
      <c r="C2042" s="24">
        <v>76.5</v>
      </c>
      <c r="E2042" s="4">
        <v>237193</v>
      </c>
      <c r="F2042" s="2" t="s">
        <v>2</v>
      </c>
      <c r="G2042" s="2" t="str">
        <f t="shared" si="107"/>
        <v>https://www.oreht.ru/modules.php?name=orehtPriceLS&amp;op=Search&amp;page=1&amp;stext=237193</v>
      </c>
      <c r="I2042">
        <v>237193</v>
      </c>
      <c r="J2042" t="s">
        <v>2</v>
      </c>
      <c r="K2042" t="s">
        <v>5465</v>
      </c>
      <c r="L2042" t="s">
        <v>5466</v>
      </c>
      <c r="M2042" t="s">
        <v>649</v>
      </c>
    </row>
    <row r="2043" spans="1:13" x14ac:dyDescent="0.25">
      <c r="A2043" s="24">
        <f t="shared" si="108"/>
        <v>20</v>
      </c>
      <c r="B2043" s="24">
        <v>7</v>
      </c>
      <c r="C2043" s="24">
        <v>86.34</v>
      </c>
      <c r="E2043" s="4">
        <v>240016</v>
      </c>
      <c r="F2043" s="2" t="s">
        <v>2</v>
      </c>
      <c r="G2043" s="2" t="str">
        <f t="shared" si="107"/>
        <v>https://www.oreht.ru/modules.php?name=orehtPriceLS&amp;op=Search&amp;page=1&amp;stext=240016</v>
      </c>
      <c r="I2043">
        <v>240016</v>
      </c>
      <c r="J2043" t="s">
        <v>2</v>
      </c>
      <c r="K2043" t="s">
        <v>5467</v>
      </c>
      <c r="L2043" t="s">
        <v>5468</v>
      </c>
      <c r="M2043" t="s">
        <v>649</v>
      </c>
    </row>
    <row r="2044" spans="1:13" hidden="1" x14ac:dyDescent="0.25">
      <c r="A2044" s="24">
        <f t="shared" si="108"/>
        <v>20</v>
      </c>
      <c r="B2044" s="24">
        <v>15</v>
      </c>
      <c r="C2044" s="24">
        <v>78.900000000000006</v>
      </c>
      <c r="E2044" s="4">
        <v>435322</v>
      </c>
      <c r="F2044" s="2" t="s">
        <v>2</v>
      </c>
      <c r="G2044" s="2" t="str">
        <f t="shared" si="107"/>
        <v>https://www.oreht.ru/modules.php?name=orehtPriceLS&amp;op=Search&amp;page=1&amp;stext=435322</v>
      </c>
      <c r="I2044">
        <v>435322</v>
      </c>
      <c r="J2044" t="s">
        <v>2</v>
      </c>
      <c r="K2044" t="s">
        <v>5469</v>
      </c>
      <c r="L2044" t="s">
        <v>5470</v>
      </c>
      <c r="M2044" t="s">
        <v>5471</v>
      </c>
    </row>
    <row r="2045" spans="1:13" hidden="1" x14ac:dyDescent="0.25">
      <c r="A2045" s="24">
        <f t="shared" si="108"/>
        <v>20</v>
      </c>
      <c r="B2045" s="24">
        <v>9</v>
      </c>
      <c r="C2045" s="24">
        <v>74.650000000000006</v>
      </c>
      <c r="E2045" s="4">
        <v>402869</v>
      </c>
      <c r="F2045" s="2" t="s">
        <v>2</v>
      </c>
      <c r="G2045" s="2" t="str">
        <f t="shared" si="107"/>
        <v>https://www.oreht.ru/modules.php?name=orehtPriceLS&amp;op=Search&amp;page=1&amp;stext=402869</v>
      </c>
      <c r="I2045">
        <v>402869</v>
      </c>
      <c r="J2045" t="s">
        <v>2</v>
      </c>
      <c r="K2045" t="s">
        <v>5472</v>
      </c>
      <c r="L2045" t="s">
        <v>5473</v>
      </c>
      <c r="M2045" t="s">
        <v>5474</v>
      </c>
    </row>
    <row r="2046" spans="1:13" hidden="1" x14ac:dyDescent="0.25">
      <c r="A2046" s="24">
        <f t="shared" si="108"/>
        <v>20</v>
      </c>
      <c r="B2046" s="24">
        <v>9</v>
      </c>
      <c r="C2046" s="24">
        <v>96.06</v>
      </c>
      <c r="E2046" s="4">
        <v>419838</v>
      </c>
      <c r="F2046" s="2" t="s">
        <v>2</v>
      </c>
      <c r="G2046" s="2" t="str">
        <f t="shared" si="107"/>
        <v>https://www.oreht.ru/modules.php?name=orehtPriceLS&amp;op=Search&amp;page=1&amp;stext=419838</v>
      </c>
      <c r="I2046">
        <v>419838</v>
      </c>
      <c r="J2046" t="s">
        <v>2</v>
      </c>
      <c r="K2046" t="s">
        <v>5475</v>
      </c>
      <c r="L2046" t="s">
        <v>5476</v>
      </c>
      <c r="M2046" t="s">
        <v>5477</v>
      </c>
    </row>
    <row r="2047" spans="1:13" x14ac:dyDescent="0.25">
      <c r="A2047" s="24">
        <f t="shared" si="108"/>
        <v>20</v>
      </c>
      <c r="B2047" s="24">
        <v>15</v>
      </c>
      <c r="C2047" s="24">
        <v>103.8</v>
      </c>
      <c r="E2047" s="4">
        <v>360114</v>
      </c>
      <c r="F2047" s="2" t="s">
        <v>2</v>
      </c>
      <c r="G2047" s="2" t="str">
        <f t="shared" si="107"/>
        <v>https://www.oreht.ru/modules.php?name=orehtPriceLS&amp;op=Search&amp;page=1&amp;stext=360114</v>
      </c>
      <c r="I2047">
        <v>360114</v>
      </c>
      <c r="J2047" t="s">
        <v>2</v>
      </c>
      <c r="K2047" t="s">
        <v>5478</v>
      </c>
      <c r="L2047" t="s">
        <v>5479</v>
      </c>
      <c r="M2047" t="s">
        <v>649</v>
      </c>
    </row>
    <row r="2048" spans="1:13" hidden="1" x14ac:dyDescent="0.25">
      <c r="A2048" s="24">
        <f t="shared" si="108"/>
        <v>20</v>
      </c>
      <c r="B2048" s="24">
        <v>15</v>
      </c>
      <c r="C2048" s="24">
        <v>96.54</v>
      </c>
      <c r="E2048" s="4">
        <v>360094</v>
      </c>
      <c r="F2048" s="2" t="s">
        <v>2</v>
      </c>
      <c r="G2048" s="2" t="str">
        <f t="shared" si="107"/>
        <v>https://www.oreht.ru/modules.php?name=orehtPriceLS&amp;op=Search&amp;page=1&amp;stext=360094</v>
      </c>
      <c r="I2048">
        <v>360094</v>
      </c>
      <c r="J2048" t="s">
        <v>2</v>
      </c>
      <c r="K2048" t="s">
        <v>5480</v>
      </c>
      <c r="L2048" t="s">
        <v>5481</v>
      </c>
      <c r="M2048" t="s">
        <v>5482</v>
      </c>
    </row>
    <row r="2049" spans="1:13" x14ac:dyDescent="0.25">
      <c r="A2049" s="24">
        <f t="shared" si="108"/>
        <v>20</v>
      </c>
      <c r="B2049" s="24">
        <v>15</v>
      </c>
      <c r="C2049" s="24">
        <v>96.72</v>
      </c>
      <c r="E2049" s="4">
        <v>360109</v>
      </c>
      <c r="F2049" s="2" t="s">
        <v>2</v>
      </c>
      <c r="G2049" s="2" t="str">
        <f t="shared" si="107"/>
        <v>https://www.oreht.ru/modules.php?name=orehtPriceLS&amp;op=Search&amp;page=1&amp;stext=360109</v>
      </c>
      <c r="I2049">
        <v>360109</v>
      </c>
      <c r="J2049" t="s">
        <v>2</v>
      </c>
      <c r="K2049" t="s">
        <v>5483</v>
      </c>
      <c r="L2049" t="s">
        <v>5484</v>
      </c>
      <c r="M2049" t="s">
        <v>649</v>
      </c>
    </row>
    <row r="2050" spans="1:13" x14ac:dyDescent="0.25">
      <c r="A2050" s="24">
        <f t="shared" si="108"/>
        <v>20</v>
      </c>
      <c r="B2050" s="24">
        <v>9</v>
      </c>
      <c r="C2050" s="24">
        <v>92.4</v>
      </c>
      <c r="E2050" s="4">
        <v>449524</v>
      </c>
      <c r="F2050" s="2" t="s">
        <v>2</v>
      </c>
      <c r="G2050" s="2" t="str">
        <f t="shared" ref="G2050:G2113" si="109">HYPERLINK(F2050&amp;E2050)</f>
        <v>https://www.oreht.ru/modules.php?name=orehtPriceLS&amp;op=Search&amp;page=1&amp;stext=449524</v>
      </c>
      <c r="I2050">
        <v>449524</v>
      </c>
      <c r="J2050" t="s">
        <v>2</v>
      </c>
      <c r="K2050" t="s">
        <v>5485</v>
      </c>
      <c r="L2050" t="s">
        <v>5486</v>
      </c>
      <c r="M2050" t="s">
        <v>649</v>
      </c>
    </row>
    <row r="2051" spans="1:13" hidden="1" x14ac:dyDescent="0.25">
      <c r="A2051" s="24">
        <f t="shared" si="108"/>
        <v>20</v>
      </c>
      <c r="B2051" s="24">
        <v>15</v>
      </c>
      <c r="C2051" s="24">
        <v>98.04</v>
      </c>
      <c r="E2051" s="4">
        <v>372549</v>
      </c>
      <c r="F2051" s="2" t="s">
        <v>2</v>
      </c>
      <c r="G2051" s="2" t="str">
        <f t="shared" si="109"/>
        <v>https://www.oreht.ru/modules.php?name=orehtPriceLS&amp;op=Search&amp;page=1&amp;stext=372549</v>
      </c>
      <c r="I2051">
        <v>372549</v>
      </c>
      <c r="J2051" t="s">
        <v>2</v>
      </c>
      <c r="K2051" t="s">
        <v>5487</v>
      </c>
      <c r="L2051" t="s">
        <v>5488</v>
      </c>
      <c r="M2051" t="s">
        <v>5489</v>
      </c>
    </row>
    <row r="2052" spans="1:13" x14ac:dyDescent="0.25">
      <c r="A2052" s="24">
        <f t="shared" si="108"/>
        <v>20</v>
      </c>
      <c r="B2052" s="24">
        <v>7</v>
      </c>
      <c r="C2052" s="24">
        <v>77.5</v>
      </c>
      <c r="E2052" s="4">
        <v>306740</v>
      </c>
      <c r="F2052" s="2" t="s">
        <v>2</v>
      </c>
      <c r="G2052" s="2" t="str">
        <f t="shared" si="109"/>
        <v>https://www.oreht.ru/modules.php?name=orehtPriceLS&amp;op=Search&amp;page=1&amp;stext=306740</v>
      </c>
      <c r="I2052">
        <v>306740</v>
      </c>
      <c r="J2052" t="s">
        <v>2</v>
      </c>
      <c r="K2052" t="s">
        <v>5490</v>
      </c>
      <c r="L2052" t="s">
        <v>5491</v>
      </c>
      <c r="M2052" t="s">
        <v>649</v>
      </c>
    </row>
    <row r="2053" spans="1:13" hidden="1" x14ac:dyDescent="0.25">
      <c r="A2053" s="24">
        <f t="shared" ref="A2053:A2116" si="110">IF(W2053*0.05&gt;=250,250,IF(W2053*0.05&gt;=20,IF(W2053*0.05&lt;20,20,W2053*0.05),20))</f>
        <v>20</v>
      </c>
      <c r="B2053" s="24">
        <v>9</v>
      </c>
      <c r="C2053" s="24">
        <v>93.12</v>
      </c>
      <c r="E2053" s="4">
        <v>372137</v>
      </c>
      <c r="F2053" s="2" t="s">
        <v>2</v>
      </c>
      <c r="G2053" s="2" t="str">
        <f t="shared" si="109"/>
        <v>https://www.oreht.ru/modules.php?name=orehtPriceLS&amp;op=Search&amp;page=1&amp;stext=372137</v>
      </c>
      <c r="I2053">
        <v>372137</v>
      </c>
      <c r="J2053" t="s">
        <v>2</v>
      </c>
      <c r="K2053" t="s">
        <v>5492</v>
      </c>
      <c r="L2053" t="s">
        <v>5493</v>
      </c>
      <c r="M2053" t="s">
        <v>5494</v>
      </c>
    </row>
    <row r="2054" spans="1:13" hidden="1" x14ac:dyDescent="0.25">
      <c r="A2054" s="24">
        <f t="shared" si="110"/>
        <v>20</v>
      </c>
      <c r="B2054" s="24">
        <v>9</v>
      </c>
      <c r="C2054" s="24">
        <v>90.3</v>
      </c>
      <c r="E2054" s="4">
        <v>420022</v>
      </c>
      <c r="F2054" s="2" t="s">
        <v>2</v>
      </c>
      <c r="G2054" s="2" t="str">
        <f t="shared" si="109"/>
        <v>https://www.oreht.ru/modules.php?name=orehtPriceLS&amp;op=Search&amp;page=1&amp;stext=420022</v>
      </c>
      <c r="I2054">
        <v>420022</v>
      </c>
      <c r="J2054" t="s">
        <v>2</v>
      </c>
      <c r="K2054" t="s">
        <v>5495</v>
      </c>
      <c r="L2054" t="s">
        <v>5496</v>
      </c>
      <c r="M2054" t="s">
        <v>5494</v>
      </c>
    </row>
    <row r="2055" spans="1:13" hidden="1" x14ac:dyDescent="0.25">
      <c r="A2055" s="24">
        <f t="shared" si="110"/>
        <v>20</v>
      </c>
      <c r="B2055" s="24">
        <v>9</v>
      </c>
      <c r="C2055" s="24">
        <v>92.04</v>
      </c>
      <c r="E2055" s="4">
        <v>452042</v>
      </c>
      <c r="F2055" s="2" t="s">
        <v>2</v>
      </c>
      <c r="G2055" s="2" t="str">
        <f t="shared" si="109"/>
        <v>https://www.oreht.ru/modules.php?name=orehtPriceLS&amp;op=Search&amp;page=1&amp;stext=452042</v>
      </c>
      <c r="I2055">
        <v>452042</v>
      </c>
      <c r="J2055" t="s">
        <v>2</v>
      </c>
      <c r="K2055" t="s">
        <v>5497</v>
      </c>
      <c r="L2055" t="s">
        <v>5498</v>
      </c>
      <c r="M2055" t="s">
        <v>5499</v>
      </c>
    </row>
    <row r="2056" spans="1:13" hidden="1" x14ac:dyDescent="0.25">
      <c r="A2056" s="24">
        <f t="shared" si="110"/>
        <v>20</v>
      </c>
      <c r="B2056" s="24">
        <v>9</v>
      </c>
      <c r="C2056" s="24">
        <v>92.04</v>
      </c>
      <c r="E2056" s="4">
        <v>452041</v>
      </c>
      <c r="F2056" s="2" t="s">
        <v>2</v>
      </c>
      <c r="G2056" s="2" t="str">
        <f t="shared" si="109"/>
        <v>https://www.oreht.ru/modules.php?name=orehtPriceLS&amp;op=Search&amp;page=1&amp;stext=452041</v>
      </c>
      <c r="I2056">
        <v>452041</v>
      </c>
      <c r="J2056" t="s">
        <v>2</v>
      </c>
      <c r="K2056" t="s">
        <v>5500</v>
      </c>
      <c r="L2056" t="s">
        <v>5501</v>
      </c>
      <c r="M2056" t="s">
        <v>5499</v>
      </c>
    </row>
    <row r="2057" spans="1:13" hidden="1" x14ac:dyDescent="0.25">
      <c r="A2057" s="24">
        <f t="shared" si="110"/>
        <v>20</v>
      </c>
      <c r="B2057" s="24">
        <v>15</v>
      </c>
      <c r="C2057" s="24">
        <v>93.54</v>
      </c>
      <c r="E2057" s="4">
        <v>313556</v>
      </c>
      <c r="F2057" s="2" t="s">
        <v>2</v>
      </c>
      <c r="G2057" s="2" t="str">
        <f t="shared" si="109"/>
        <v>https://www.oreht.ru/modules.php?name=orehtPriceLS&amp;op=Search&amp;page=1&amp;stext=313556</v>
      </c>
      <c r="I2057">
        <v>313556</v>
      </c>
      <c r="J2057" t="s">
        <v>2</v>
      </c>
      <c r="K2057" t="s">
        <v>5502</v>
      </c>
      <c r="L2057" t="s">
        <v>5503</v>
      </c>
      <c r="M2057" t="s">
        <v>5504</v>
      </c>
    </row>
    <row r="2058" spans="1:13" hidden="1" x14ac:dyDescent="0.25">
      <c r="A2058" s="24">
        <f t="shared" si="110"/>
        <v>20</v>
      </c>
      <c r="B2058" s="24">
        <v>9</v>
      </c>
      <c r="C2058" s="24">
        <v>74.650000000000006</v>
      </c>
      <c r="E2058" s="4">
        <v>461815</v>
      </c>
      <c r="F2058" s="2" t="s">
        <v>2</v>
      </c>
      <c r="G2058" s="2" t="str">
        <f t="shared" si="109"/>
        <v>https://www.oreht.ru/modules.php?name=orehtPriceLS&amp;op=Search&amp;page=1&amp;stext=461815</v>
      </c>
      <c r="I2058">
        <v>461815</v>
      </c>
      <c r="J2058" t="s">
        <v>2</v>
      </c>
      <c r="K2058" t="s">
        <v>5505</v>
      </c>
      <c r="L2058" t="s">
        <v>5506</v>
      </c>
      <c r="M2058" t="s">
        <v>5474</v>
      </c>
    </row>
    <row r="2059" spans="1:13" hidden="1" x14ac:dyDescent="0.25">
      <c r="A2059" s="24">
        <f t="shared" si="110"/>
        <v>20</v>
      </c>
      <c r="B2059" s="24">
        <v>9</v>
      </c>
      <c r="C2059" s="24">
        <v>93.72</v>
      </c>
      <c r="E2059" s="4">
        <v>432463</v>
      </c>
      <c r="F2059" s="2" t="s">
        <v>2</v>
      </c>
      <c r="G2059" s="2" t="str">
        <f t="shared" si="109"/>
        <v>https://www.oreht.ru/modules.php?name=orehtPriceLS&amp;op=Search&amp;page=1&amp;stext=432463</v>
      </c>
      <c r="I2059">
        <v>432463</v>
      </c>
      <c r="J2059" t="s">
        <v>2</v>
      </c>
      <c r="K2059" t="s">
        <v>5507</v>
      </c>
      <c r="L2059" t="s">
        <v>5508</v>
      </c>
      <c r="M2059" t="s">
        <v>5509</v>
      </c>
    </row>
    <row r="2060" spans="1:13" hidden="1" x14ac:dyDescent="0.25">
      <c r="A2060" s="24">
        <f t="shared" si="110"/>
        <v>20</v>
      </c>
      <c r="B2060" s="24">
        <v>15</v>
      </c>
      <c r="C2060" s="24">
        <v>81.45</v>
      </c>
      <c r="E2060" s="4">
        <v>384403</v>
      </c>
      <c r="F2060" s="2" t="s">
        <v>2</v>
      </c>
      <c r="G2060" s="2" t="str">
        <f t="shared" si="109"/>
        <v>https://www.oreht.ru/modules.php?name=orehtPriceLS&amp;op=Search&amp;page=1&amp;stext=384403</v>
      </c>
      <c r="I2060">
        <v>384403</v>
      </c>
      <c r="J2060" t="s">
        <v>2</v>
      </c>
      <c r="K2060" t="s">
        <v>5510</v>
      </c>
      <c r="L2060" t="s">
        <v>5511</v>
      </c>
      <c r="M2060" t="s">
        <v>5512</v>
      </c>
    </row>
    <row r="2061" spans="1:13" hidden="1" x14ac:dyDescent="0.25">
      <c r="A2061" s="24">
        <f t="shared" si="110"/>
        <v>20</v>
      </c>
      <c r="B2061" s="24">
        <v>15</v>
      </c>
      <c r="C2061" s="24">
        <v>80.849999999999994</v>
      </c>
      <c r="E2061" s="4">
        <v>355102</v>
      </c>
      <c r="F2061" s="2" t="s">
        <v>2</v>
      </c>
      <c r="G2061" s="2" t="str">
        <f t="shared" si="109"/>
        <v>https://www.oreht.ru/modules.php?name=orehtPriceLS&amp;op=Search&amp;page=1&amp;stext=355102</v>
      </c>
      <c r="I2061">
        <v>355102</v>
      </c>
      <c r="J2061" t="s">
        <v>2</v>
      </c>
      <c r="K2061" t="s">
        <v>5513</v>
      </c>
      <c r="L2061" t="s">
        <v>5514</v>
      </c>
      <c r="M2061" t="s">
        <v>5515</v>
      </c>
    </row>
    <row r="2062" spans="1:13" hidden="1" x14ac:dyDescent="0.25">
      <c r="A2062" s="24">
        <f t="shared" si="110"/>
        <v>20</v>
      </c>
      <c r="B2062" s="24">
        <v>15</v>
      </c>
      <c r="C2062" s="24">
        <v>81.8</v>
      </c>
      <c r="E2062" s="4">
        <v>238772</v>
      </c>
      <c r="F2062" s="2" t="s">
        <v>2</v>
      </c>
      <c r="G2062" s="2" t="str">
        <f t="shared" si="109"/>
        <v>https://www.oreht.ru/modules.php?name=orehtPriceLS&amp;op=Search&amp;page=1&amp;stext=238772</v>
      </c>
      <c r="I2062">
        <v>238772</v>
      </c>
      <c r="J2062" t="s">
        <v>2</v>
      </c>
      <c r="K2062" t="s">
        <v>5516</v>
      </c>
      <c r="L2062" t="s">
        <v>5517</v>
      </c>
      <c r="M2062" t="s">
        <v>5518</v>
      </c>
    </row>
    <row r="2063" spans="1:13" hidden="1" x14ac:dyDescent="0.25">
      <c r="A2063" s="24">
        <f t="shared" si="110"/>
        <v>20</v>
      </c>
      <c r="B2063" s="24">
        <v>15</v>
      </c>
      <c r="C2063" s="24">
        <v>160</v>
      </c>
      <c r="E2063" s="4">
        <v>374201</v>
      </c>
      <c r="F2063" s="2" t="s">
        <v>2</v>
      </c>
      <c r="G2063" s="2" t="str">
        <f t="shared" si="109"/>
        <v>https://www.oreht.ru/modules.php?name=orehtPriceLS&amp;op=Search&amp;page=1&amp;stext=374201</v>
      </c>
      <c r="I2063">
        <v>374201</v>
      </c>
      <c r="J2063" t="s">
        <v>2</v>
      </c>
      <c r="K2063" t="s">
        <v>5519</v>
      </c>
      <c r="L2063" t="s">
        <v>5520</v>
      </c>
      <c r="M2063" t="s">
        <v>5521</v>
      </c>
    </row>
    <row r="2064" spans="1:13" hidden="1" x14ac:dyDescent="0.25">
      <c r="A2064" s="24">
        <f t="shared" si="110"/>
        <v>20</v>
      </c>
      <c r="B2064" s="24">
        <v>9</v>
      </c>
      <c r="C2064" s="24">
        <v>77.349999999999994</v>
      </c>
      <c r="E2064" s="4">
        <v>449200</v>
      </c>
      <c r="F2064" s="2" t="s">
        <v>2</v>
      </c>
      <c r="G2064" s="2" t="str">
        <f t="shared" si="109"/>
        <v>https://www.oreht.ru/modules.php?name=orehtPriceLS&amp;op=Search&amp;page=1&amp;stext=449200</v>
      </c>
      <c r="I2064">
        <v>449200</v>
      </c>
      <c r="J2064" t="s">
        <v>2</v>
      </c>
      <c r="K2064" t="s">
        <v>5522</v>
      </c>
      <c r="L2064" t="s">
        <v>5523</v>
      </c>
      <c r="M2064" t="s">
        <v>5521</v>
      </c>
    </row>
    <row r="2065" spans="1:13" x14ac:dyDescent="0.25">
      <c r="A2065" s="24">
        <f t="shared" si="110"/>
        <v>20</v>
      </c>
      <c r="B2065" s="24">
        <v>9</v>
      </c>
      <c r="C2065" s="24">
        <v>94.32</v>
      </c>
      <c r="E2065" s="4">
        <v>440091</v>
      </c>
      <c r="F2065" s="2" t="s">
        <v>2</v>
      </c>
      <c r="G2065" s="2" t="str">
        <f t="shared" si="109"/>
        <v>https://www.oreht.ru/modules.php?name=orehtPriceLS&amp;op=Search&amp;page=1&amp;stext=440091</v>
      </c>
      <c r="I2065">
        <v>440091</v>
      </c>
      <c r="J2065" t="s">
        <v>2</v>
      </c>
      <c r="K2065" t="s">
        <v>5524</v>
      </c>
      <c r="L2065" t="s">
        <v>5525</v>
      </c>
      <c r="M2065" t="s">
        <v>649</v>
      </c>
    </row>
    <row r="2066" spans="1:13" hidden="1" x14ac:dyDescent="0.25">
      <c r="A2066" s="24">
        <f t="shared" si="110"/>
        <v>20</v>
      </c>
      <c r="B2066" s="24">
        <v>9</v>
      </c>
      <c r="C2066" s="24">
        <v>95.7</v>
      </c>
      <c r="E2066" s="4">
        <v>404145</v>
      </c>
      <c r="F2066" s="2" t="s">
        <v>2</v>
      </c>
      <c r="G2066" s="2" t="str">
        <f t="shared" si="109"/>
        <v>https://www.oreht.ru/modules.php?name=orehtPriceLS&amp;op=Search&amp;page=1&amp;stext=404145</v>
      </c>
      <c r="I2066">
        <v>404145</v>
      </c>
      <c r="J2066" t="s">
        <v>2</v>
      </c>
      <c r="K2066" t="s">
        <v>5526</v>
      </c>
      <c r="L2066" t="s">
        <v>5527</v>
      </c>
      <c r="M2066" t="s">
        <v>5528</v>
      </c>
    </row>
    <row r="2067" spans="1:13" hidden="1" x14ac:dyDescent="0.25">
      <c r="A2067" s="24">
        <f t="shared" si="110"/>
        <v>20</v>
      </c>
      <c r="B2067" s="24">
        <v>15</v>
      </c>
      <c r="C2067" s="24">
        <v>100.44</v>
      </c>
      <c r="E2067" s="4">
        <v>276593</v>
      </c>
      <c r="F2067" s="2" t="s">
        <v>2</v>
      </c>
      <c r="G2067" s="2" t="str">
        <f t="shared" si="109"/>
        <v>https://www.oreht.ru/modules.php?name=orehtPriceLS&amp;op=Search&amp;page=1&amp;stext=276593</v>
      </c>
      <c r="I2067">
        <v>276593</v>
      </c>
      <c r="J2067" t="s">
        <v>2</v>
      </c>
      <c r="K2067" t="s">
        <v>5529</v>
      </c>
      <c r="L2067" t="s">
        <v>5530</v>
      </c>
      <c r="M2067" t="s">
        <v>2630</v>
      </c>
    </row>
    <row r="2068" spans="1:13" hidden="1" x14ac:dyDescent="0.25">
      <c r="A2068" s="24">
        <f t="shared" si="110"/>
        <v>20</v>
      </c>
      <c r="B2068" s="24">
        <v>9</v>
      </c>
      <c r="C2068" s="24">
        <v>160</v>
      </c>
      <c r="E2068" s="4">
        <v>452684</v>
      </c>
      <c r="F2068" s="2" t="s">
        <v>2</v>
      </c>
      <c r="G2068" s="2" t="str">
        <f t="shared" si="109"/>
        <v>https://www.oreht.ru/modules.php?name=orehtPriceLS&amp;op=Search&amp;page=1&amp;stext=452684</v>
      </c>
      <c r="I2068">
        <v>452684</v>
      </c>
      <c r="J2068" t="s">
        <v>2</v>
      </c>
      <c r="K2068" t="s">
        <v>5531</v>
      </c>
      <c r="L2068" t="s">
        <v>5532</v>
      </c>
      <c r="M2068" t="s">
        <v>5533</v>
      </c>
    </row>
    <row r="2069" spans="1:13" hidden="1" x14ac:dyDescent="0.25">
      <c r="A2069" s="24">
        <f t="shared" si="110"/>
        <v>20</v>
      </c>
      <c r="B2069" s="24">
        <v>9</v>
      </c>
      <c r="C2069" s="24">
        <v>78.650000000000006</v>
      </c>
      <c r="E2069" s="4">
        <v>347345</v>
      </c>
      <c r="F2069" s="2" t="s">
        <v>2</v>
      </c>
      <c r="G2069" s="2" t="str">
        <f t="shared" si="109"/>
        <v>https://www.oreht.ru/modules.php?name=orehtPriceLS&amp;op=Search&amp;page=1&amp;stext=347345</v>
      </c>
      <c r="I2069">
        <v>347345</v>
      </c>
      <c r="J2069" t="s">
        <v>2</v>
      </c>
      <c r="K2069" t="s">
        <v>5534</v>
      </c>
      <c r="L2069" t="s">
        <v>5535</v>
      </c>
      <c r="M2069" t="s">
        <v>5533</v>
      </c>
    </row>
    <row r="2070" spans="1:13" hidden="1" x14ac:dyDescent="0.25">
      <c r="A2070" s="24">
        <f t="shared" si="110"/>
        <v>20</v>
      </c>
      <c r="B2070" s="24">
        <v>9</v>
      </c>
      <c r="C2070" s="24">
        <v>95.16</v>
      </c>
      <c r="E2070" s="4">
        <v>452050</v>
      </c>
      <c r="F2070" s="2" t="s">
        <v>2</v>
      </c>
      <c r="G2070" s="2" t="str">
        <f t="shared" si="109"/>
        <v>https://www.oreht.ru/modules.php?name=orehtPriceLS&amp;op=Search&amp;page=1&amp;stext=452050</v>
      </c>
      <c r="I2070">
        <v>452050</v>
      </c>
      <c r="J2070" t="s">
        <v>2</v>
      </c>
      <c r="K2070" t="s">
        <v>5536</v>
      </c>
      <c r="L2070" t="s">
        <v>5537</v>
      </c>
      <c r="M2070" t="s">
        <v>2506</v>
      </c>
    </row>
    <row r="2071" spans="1:13" hidden="1" x14ac:dyDescent="0.25">
      <c r="A2071" s="24">
        <f t="shared" si="110"/>
        <v>20</v>
      </c>
      <c r="B2071" s="24">
        <v>9</v>
      </c>
      <c r="C2071" s="24">
        <v>79.05</v>
      </c>
      <c r="E2071" s="4">
        <v>417910</v>
      </c>
      <c r="F2071" s="2" t="s">
        <v>2</v>
      </c>
      <c r="G2071" s="2" t="str">
        <f t="shared" si="109"/>
        <v>https://www.oreht.ru/modules.php?name=orehtPriceLS&amp;op=Search&amp;page=1&amp;stext=417910</v>
      </c>
      <c r="I2071">
        <v>417910</v>
      </c>
      <c r="J2071" t="s">
        <v>2</v>
      </c>
      <c r="K2071" t="s">
        <v>5538</v>
      </c>
      <c r="L2071" t="s">
        <v>5539</v>
      </c>
      <c r="M2071" t="s">
        <v>5540</v>
      </c>
    </row>
    <row r="2072" spans="1:13" hidden="1" x14ac:dyDescent="0.25">
      <c r="A2072" s="24">
        <f t="shared" si="110"/>
        <v>20</v>
      </c>
      <c r="B2072" s="24">
        <v>15</v>
      </c>
      <c r="C2072" s="24">
        <v>102.12</v>
      </c>
      <c r="E2072" s="4">
        <v>124949</v>
      </c>
      <c r="F2072" s="2" t="s">
        <v>2</v>
      </c>
      <c r="G2072" s="2" t="str">
        <f t="shared" si="109"/>
        <v>https://www.oreht.ru/modules.php?name=orehtPriceLS&amp;op=Search&amp;page=1&amp;stext=124949</v>
      </c>
      <c r="I2072">
        <v>124949</v>
      </c>
      <c r="J2072" t="s">
        <v>2</v>
      </c>
      <c r="K2072" t="s">
        <v>5541</v>
      </c>
      <c r="L2072" t="s">
        <v>5542</v>
      </c>
      <c r="M2072" t="s">
        <v>5543</v>
      </c>
    </row>
    <row r="2073" spans="1:13" hidden="1" x14ac:dyDescent="0.25">
      <c r="A2073" s="24">
        <f t="shared" si="110"/>
        <v>20</v>
      </c>
      <c r="B2073" s="24">
        <v>9</v>
      </c>
      <c r="C2073" s="24">
        <v>95.88</v>
      </c>
      <c r="E2073" s="4">
        <v>450116</v>
      </c>
      <c r="F2073" s="2" t="s">
        <v>2</v>
      </c>
      <c r="G2073" s="2" t="str">
        <f t="shared" si="109"/>
        <v>https://www.oreht.ru/modules.php?name=orehtPriceLS&amp;op=Search&amp;page=1&amp;stext=450116</v>
      </c>
      <c r="I2073">
        <v>450116</v>
      </c>
      <c r="J2073" t="s">
        <v>2</v>
      </c>
      <c r="K2073" t="s">
        <v>5544</v>
      </c>
      <c r="L2073" t="s">
        <v>5545</v>
      </c>
      <c r="M2073" t="s">
        <v>5543</v>
      </c>
    </row>
    <row r="2074" spans="1:13" hidden="1" x14ac:dyDescent="0.25">
      <c r="A2074" s="24">
        <f t="shared" si="110"/>
        <v>20</v>
      </c>
      <c r="B2074" s="24">
        <v>8</v>
      </c>
      <c r="C2074" s="24">
        <v>76.8</v>
      </c>
      <c r="E2074" s="4">
        <v>420396</v>
      </c>
      <c r="F2074" s="2" t="s">
        <v>2</v>
      </c>
      <c r="G2074" s="2" t="str">
        <f t="shared" si="109"/>
        <v>https://www.oreht.ru/modules.php?name=orehtPriceLS&amp;op=Search&amp;page=1&amp;stext=420396</v>
      </c>
      <c r="I2074">
        <v>420396</v>
      </c>
      <c r="J2074" t="s">
        <v>2</v>
      </c>
      <c r="K2074" t="s">
        <v>5546</v>
      </c>
      <c r="L2074" t="s">
        <v>5547</v>
      </c>
      <c r="M2074" t="s">
        <v>5548</v>
      </c>
    </row>
    <row r="2075" spans="1:13" hidden="1" x14ac:dyDescent="0.25">
      <c r="A2075" s="24">
        <f t="shared" si="110"/>
        <v>20</v>
      </c>
      <c r="B2075" s="24">
        <v>9</v>
      </c>
      <c r="C2075" s="24">
        <v>79.55</v>
      </c>
      <c r="E2075" s="4">
        <v>365441</v>
      </c>
      <c r="F2075" s="2" t="s">
        <v>2</v>
      </c>
      <c r="G2075" s="2" t="str">
        <f t="shared" si="109"/>
        <v>https://www.oreht.ru/modules.php?name=orehtPriceLS&amp;op=Search&amp;page=1&amp;stext=365441</v>
      </c>
      <c r="I2075">
        <v>365441</v>
      </c>
      <c r="J2075" t="s">
        <v>2</v>
      </c>
      <c r="K2075" t="s">
        <v>5549</v>
      </c>
      <c r="L2075" t="s">
        <v>5550</v>
      </c>
      <c r="M2075" t="s">
        <v>5551</v>
      </c>
    </row>
    <row r="2076" spans="1:13" hidden="1" x14ac:dyDescent="0.25">
      <c r="A2076" s="24">
        <f t="shared" si="110"/>
        <v>20</v>
      </c>
      <c r="B2076" s="24">
        <v>9</v>
      </c>
      <c r="C2076" s="24">
        <v>96.12</v>
      </c>
      <c r="E2076" s="4">
        <v>457109</v>
      </c>
      <c r="F2076" s="2" t="s">
        <v>2</v>
      </c>
      <c r="G2076" s="2" t="str">
        <f t="shared" si="109"/>
        <v>https://www.oreht.ru/modules.php?name=orehtPriceLS&amp;op=Search&amp;page=1&amp;stext=457109</v>
      </c>
      <c r="I2076">
        <v>457109</v>
      </c>
      <c r="J2076" t="s">
        <v>2</v>
      </c>
      <c r="K2076" t="s">
        <v>5552</v>
      </c>
      <c r="L2076" t="s">
        <v>5553</v>
      </c>
      <c r="M2076" t="s">
        <v>5551</v>
      </c>
    </row>
    <row r="2077" spans="1:13" hidden="1" x14ac:dyDescent="0.25">
      <c r="A2077" s="24">
        <f t="shared" si="110"/>
        <v>20</v>
      </c>
      <c r="B2077" s="24">
        <v>15</v>
      </c>
      <c r="C2077" s="24">
        <v>102.42</v>
      </c>
      <c r="E2077" s="4">
        <v>124939</v>
      </c>
      <c r="F2077" s="2" t="s">
        <v>2</v>
      </c>
      <c r="G2077" s="2" t="str">
        <f t="shared" si="109"/>
        <v>https://www.oreht.ru/modules.php?name=orehtPriceLS&amp;op=Search&amp;page=1&amp;stext=124939</v>
      </c>
      <c r="I2077">
        <v>124939</v>
      </c>
      <c r="J2077" t="s">
        <v>2</v>
      </c>
      <c r="K2077" t="s">
        <v>5554</v>
      </c>
      <c r="L2077" t="s">
        <v>5555</v>
      </c>
      <c r="M2077" t="s">
        <v>5556</v>
      </c>
    </row>
    <row r="2078" spans="1:13" hidden="1" x14ac:dyDescent="0.25">
      <c r="A2078" s="24">
        <f t="shared" si="110"/>
        <v>20</v>
      </c>
      <c r="B2078" s="24">
        <v>9</v>
      </c>
      <c r="C2078" s="24">
        <v>119.34</v>
      </c>
      <c r="E2078" s="4">
        <v>358891</v>
      </c>
      <c r="F2078" s="2" t="s">
        <v>2</v>
      </c>
      <c r="G2078" s="2" t="str">
        <f t="shared" si="109"/>
        <v>https://www.oreht.ru/modules.php?name=orehtPriceLS&amp;op=Search&amp;page=1&amp;stext=358891</v>
      </c>
      <c r="I2078">
        <v>358891</v>
      </c>
      <c r="J2078" t="s">
        <v>2</v>
      </c>
      <c r="K2078" t="s">
        <v>5557</v>
      </c>
      <c r="L2078" t="s">
        <v>5558</v>
      </c>
      <c r="M2078" t="s">
        <v>5556</v>
      </c>
    </row>
    <row r="2079" spans="1:13" hidden="1" x14ac:dyDescent="0.25">
      <c r="A2079" s="24">
        <f t="shared" si="110"/>
        <v>20</v>
      </c>
      <c r="B2079" s="24">
        <v>9</v>
      </c>
      <c r="C2079" s="24">
        <v>98.04</v>
      </c>
      <c r="E2079" s="4">
        <v>384104</v>
      </c>
      <c r="F2079" s="2" t="s">
        <v>2</v>
      </c>
      <c r="G2079" s="2" t="str">
        <f t="shared" si="109"/>
        <v>https://www.oreht.ru/modules.php?name=orehtPriceLS&amp;op=Search&amp;page=1&amp;stext=384104</v>
      </c>
      <c r="I2079">
        <v>384104</v>
      </c>
      <c r="J2079" t="s">
        <v>2</v>
      </c>
      <c r="K2079" t="s">
        <v>5559</v>
      </c>
      <c r="L2079" t="s">
        <v>5560</v>
      </c>
      <c r="M2079" t="s">
        <v>5556</v>
      </c>
    </row>
    <row r="2080" spans="1:13" hidden="1" x14ac:dyDescent="0.25">
      <c r="A2080" s="24">
        <f t="shared" si="110"/>
        <v>20</v>
      </c>
      <c r="B2080" s="24">
        <v>9</v>
      </c>
      <c r="C2080" s="24">
        <v>98.04</v>
      </c>
      <c r="E2080" s="4">
        <v>380981</v>
      </c>
      <c r="F2080" s="2" t="s">
        <v>2</v>
      </c>
      <c r="G2080" s="2" t="str">
        <f t="shared" si="109"/>
        <v>https://www.oreht.ru/modules.php?name=orehtPriceLS&amp;op=Search&amp;page=1&amp;stext=380981</v>
      </c>
      <c r="I2080">
        <v>380981</v>
      </c>
      <c r="J2080" t="s">
        <v>2</v>
      </c>
      <c r="K2080" t="s">
        <v>5561</v>
      </c>
      <c r="L2080" t="s">
        <v>5562</v>
      </c>
      <c r="M2080" t="s">
        <v>5556</v>
      </c>
    </row>
    <row r="2081" spans="1:13" hidden="1" x14ac:dyDescent="0.25">
      <c r="A2081" s="24">
        <f t="shared" si="110"/>
        <v>20</v>
      </c>
      <c r="B2081" s="24">
        <v>9</v>
      </c>
      <c r="C2081" s="24">
        <v>97.14</v>
      </c>
      <c r="E2081" s="4">
        <v>365608</v>
      </c>
      <c r="F2081" s="2" t="s">
        <v>2</v>
      </c>
      <c r="G2081" s="2" t="str">
        <f t="shared" si="109"/>
        <v>https://www.oreht.ru/modules.php?name=orehtPriceLS&amp;op=Search&amp;page=1&amp;stext=365608</v>
      </c>
      <c r="I2081">
        <v>365608</v>
      </c>
      <c r="J2081" t="s">
        <v>2</v>
      </c>
      <c r="K2081" t="s">
        <v>5563</v>
      </c>
      <c r="L2081" t="s">
        <v>5564</v>
      </c>
      <c r="M2081" t="s">
        <v>5556</v>
      </c>
    </row>
    <row r="2082" spans="1:13" hidden="1" x14ac:dyDescent="0.25">
      <c r="A2082" s="24">
        <f t="shared" si="110"/>
        <v>20</v>
      </c>
      <c r="B2082" s="24">
        <v>5</v>
      </c>
      <c r="C2082" s="24">
        <v>90.78</v>
      </c>
      <c r="E2082" s="4">
        <v>333754</v>
      </c>
      <c r="F2082" s="2" t="s">
        <v>2</v>
      </c>
      <c r="G2082" s="2" t="str">
        <f t="shared" si="109"/>
        <v>https://www.oreht.ru/modules.php?name=orehtPriceLS&amp;op=Search&amp;page=1&amp;stext=333754</v>
      </c>
      <c r="I2082">
        <v>333754</v>
      </c>
      <c r="J2082" t="s">
        <v>2</v>
      </c>
      <c r="K2082" t="s">
        <v>5565</v>
      </c>
      <c r="L2082" t="s">
        <v>5566</v>
      </c>
      <c r="M2082" t="s">
        <v>5556</v>
      </c>
    </row>
    <row r="2083" spans="1:13" hidden="1" x14ac:dyDescent="0.25">
      <c r="A2083" s="24">
        <f t="shared" si="110"/>
        <v>20</v>
      </c>
      <c r="B2083" s="24">
        <v>9</v>
      </c>
      <c r="C2083" s="24">
        <v>80.25</v>
      </c>
      <c r="E2083" s="4">
        <v>449209</v>
      </c>
      <c r="F2083" s="2" t="s">
        <v>2</v>
      </c>
      <c r="G2083" s="2" t="str">
        <f t="shared" si="109"/>
        <v>https://www.oreht.ru/modules.php?name=orehtPriceLS&amp;op=Search&amp;page=1&amp;stext=449209</v>
      </c>
      <c r="I2083">
        <v>449209</v>
      </c>
      <c r="J2083" t="s">
        <v>2</v>
      </c>
      <c r="K2083" t="s">
        <v>5567</v>
      </c>
      <c r="L2083" t="s">
        <v>5568</v>
      </c>
      <c r="M2083" t="s">
        <v>5569</v>
      </c>
    </row>
    <row r="2084" spans="1:13" hidden="1" x14ac:dyDescent="0.25">
      <c r="A2084" s="24">
        <f t="shared" si="110"/>
        <v>20</v>
      </c>
      <c r="B2084" s="24">
        <v>9</v>
      </c>
      <c r="C2084" s="24">
        <v>80.25</v>
      </c>
      <c r="E2084" s="4">
        <v>389703</v>
      </c>
      <c r="F2084" s="2" t="s">
        <v>2</v>
      </c>
      <c r="G2084" s="2" t="str">
        <f t="shared" si="109"/>
        <v>https://www.oreht.ru/modules.php?name=orehtPriceLS&amp;op=Search&amp;page=1&amp;stext=389703</v>
      </c>
      <c r="I2084">
        <v>389703</v>
      </c>
      <c r="J2084" t="s">
        <v>2</v>
      </c>
      <c r="K2084" t="s">
        <v>5570</v>
      </c>
      <c r="L2084" t="s">
        <v>5571</v>
      </c>
      <c r="M2084" t="s">
        <v>5569</v>
      </c>
    </row>
    <row r="2085" spans="1:13" hidden="1" x14ac:dyDescent="0.25">
      <c r="A2085" s="24">
        <f t="shared" si="110"/>
        <v>20</v>
      </c>
      <c r="B2085" s="24">
        <v>9</v>
      </c>
      <c r="C2085" s="24">
        <v>98.46</v>
      </c>
      <c r="E2085" s="4">
        <v>332197</v>
      </c>
      <c r="F2085" s="2" t="s">
        <v>2</v>
      </c>
      <c r="G2085" s="2" t="str">
        <f t="shared" si="109"/>
        <v>https://www.oreht.ru/modules.php?name=orehtPriceLS&amp;op=Search&amp;page=1&amp;stext=332197</v>
      </c>
      <c r="I2085">
        <v>332197</v>
      </c>
      <c r="J2085" t="s">
        <v>2</v>
      </c>
      <c r="K2085" t="s">
        <v>5572</v>
      </c>
      <c r="L2085" t="s">
        <v>5573</v>
      </c>
      <c r="M2085" t="s">
        <v>5574</v>
      </c>
    </row>
    <row r="2086" spans="1:13" hidden="1" x14ac:dyDescent="0.25">
      <c r="A2086" s="24">
        <f t="shared" si="110"/>
        <v>20</v>
      </c>
      <c r="B2086" s="24">
        <v>9</v>
      </c>
      <c r="C2086" s="24">
        <v>79.05</v>
      </c>
      <c r="E2086" s="4">
        <v>421016</v>
      </c>
      <c r="F2086" s="2" t="s">
        <v>2</v>
      </c>
      <c r="G2086" s="2" t="str">
        <f t="shared" si="109"/>
        <v>https://www.oreht.ru/modules.php?name=orehtPriceLS&amp;op=Search&amp;page=1&amp;stext=421016</v>
      </c>
      <c r="I2086">
        <v>421016</v>
      </c>
      <c r="J2086" t="s">
        <v>2</v>
      </c>
      <c r="K2086" t="s">
        <v>5575</v>
      </c>
      <c r="L2086" t="s">
        <v>5576</v>
      </c>
      <c r="M2086" t="s">
        <v>5540</v>
      </c>
    </row>
    <row r="2087" spans="1:13" hidden="1" x14ac:dyDescent="0.25">
      <c r="A2087" s="24">
        <f t="shared" si="110"/>
        <v>20</v>
      </c>
      <c r="B2087" s="24">
        <v>9</v>
      </c>
      <c r="C2087" s="24">
        <v>99.48</v>
      </c>
      <c r="E2087" s="4">
        <v>451696</v>
      </c>
      <c r="F2087" s="2" t="s">
        <v>2</v>
      </c>
      <c r="G2087" s="2" t="str">
        <f t="shared" si="109"/>
        <v>https://www.oreht.ru/modules.php?name=orehtPriceLS&amp;op=Search&amp;page=1&amp;stext=451696</v>
      </c>
      <c r="I2087">
        <v>451696</v>
      </c>
      <c r="J2087" t="s">
        <v>2</v>
      </c>
      <c r="K2087" t="s">
        <v>5577</v>
      </c>
      <c r="L2087" t="s">
        <v>5578</v>
      </c>
      <c r="M2087" t="s">
        <v>5579</v>
      </c>
    </row>
    <row r="2088" spans="1:13" hidden="1" x14ac:dyDescent="0.25">
      <c r="A2088" s="24">
        <f t="shared" si="110"/>
        <v>20</v>
      </c>
      <c r="B2088" s="24">
        <v>9</v>
      </c>
      <c r="C2088" s="24">
        <v>81.95</v>
      </c>
      <c r="E2088" s="4">
        <v>201034</v>
      </c>
      <c r="F2088" s="2" t="s">
        <v>2</v>
      </c>
      <c r="G2088" s="2" t="str">
        <f t="shared" si="109"/>
        <v>https://www.oreht.ru/modules.php?name=orehtPriceLS&amp;op=Search&amp;page=1&amp;stext=201034</v>
      </c>
      <c r="I2088">
        <v>201034</v>
      </c>
      <c r="J2088" t="s">
        <v>2</v>
      </c>
      <c r="K2088" t="s">
        <v>5580</v>
      </c>
      <c r="L2088" t="s">
        <v>5581</v>
      </c>
      <c r="M2088" t="s">
        <v>5582</v>
      </c>
    </row>
    <row r="2089" spans="1:13" hidden="1" x14ac:dyDescent="0.25">
      <c r="A2089" s="24">
        <f t="shared" si="110"/>
        <v>20</v>
      </c>
      <c r="B2089" s="24">
        <v>9</v>
      </c>
      <c r="C2089" s="24">
        <v>100.38</v>
      </c>
      <c r="E2089" s="4">
        <v>410787</v>
      </c>
      <c r="F2089" s="2" t="s">
        <v>2</v>
      </c>
      <c r="G2089" s="2" t="str">
        <f t="shared" si="109"/>
        <v>https://www.oreht.ru/modules.php?name=orehtPriceLS&amp;op=Search&amp;page=1&amp;stext=410787</v>
      </c>
      <c r="I2089">
        <v>410787</v>
      </c>
      <c r="J2089" t="s">
        <v>2</v>
      </c>
      <c r="K2089" t="s">
        <v>5583</v>
      </c>
      <c r="L2089" t="s">
        <v>5584</v>
      </c>
      <c r="M2089" t="s">
        <v>5582</v>
      </c>
    </row>
    <row r="2090" spans="1:13" hidden="1" x14ac:dyDescent="0.25">
      <c r="A2090" s="24">
        <f t="shared" si="110"/>
        <v>20</v>
      </c>
      <c r="B2090" s="24">
        <v>9</v>
      </c>
      <c r="C2090" s="24">
        <v>82.15</v>
      </c>
      <c r="E2090" s="4">
        <v>340642</v>
      </c>
      <c r="F2090" s="2" t="s">
        <v>2</v>
      </c>
      <c r="G2090" s="2" t="str">
        <f t="shared" si="109"/>
        <v>https://www.oreht.ru/modules.php?name=orehtPriceLS&amp;op=Search&amp;page=1&amp;stext=340642</v>
      </c>
      <c r="I2090">
        <v>340642</v>
      </c>
      <c r="J2090" t="s">
        <v>2</v>
      </c>
      <c r="K2090" t="s">
        <v>5585</v>
      </c>
      <c r="L2090" t="s">
        <v>5586</v>
      </c>
      <c r="M2090" t="s">
        <v>5587</v>
      </c>
    </row>
    <row r="2091" spans="1:13" hidden="1" x14ac:dyDescent="0.25">
      <c r="A2091" s="24">
        <f t="shared" si="110"/>
        <v>20</v>
      </c>
      <c r="B2091" s="24">
        <v>15</v>
      </c>
      <c r="C2091" s="24">
        <v>106.02</v>
      </c>
      <c r="E2091" s="4">
        <v>375007</v>
      </c>
      <c r="F2091" s="2" t="s">
        <v>2</v>
      </c>
      <c r="G2091" s="2" t="str">
        <f t="shared" si="109"/>
        <v>https://www.oreht.ru/modules.php?name=orehtPriceLS&amp;op=Search&amp;page=1&amp;stext=375007</v>
      </c>
      <c r="I2091">
        <v>375007</v>
      </c>
      <c r="J2091" t="s">
        <v>2</v>
      </c>
      <c r="K2091" t="s">
        <v>5588</v>
      </c>
      <c r="L2091" t="s">
        <v>5589</v>
      </c>
      <c r="M2091" t="s">
        <v>5590</v>
      </c>
    </row>
    <row r="2092" spans="1:13" hidden="1" x14ac:dyDescent="0.25">
      <c r="A2092" s="24">
        <f t="shared" si="110"/>
        <v>20</v>
      </c>
      <c r="B2092" s="24">
        <v>9</v>
      </c>
      <c r="C2092" s="24">
        <v>82.95</v>
      </c>
      <c r="E2092" s="4">
        <v>389915</v>
      </c>
      <c r="F2092" s="2" t="s">
        <v>2</v>
      </c>
      <c r="G2092" s="2" t="str">
        <f t="shared" si="109"/>
        <v>https://www.oreht.ru/modules.php?name=orehtPriceLS&amp;op=Search&amp;page=1&amp;stext=389915</v>
      </c>
      <c r="I2092">
        <v>389915</v>
      </c>
      <c r="J2092" t="s">
        <v>2</v>
      </c>
      <c r="K2092" t="s">
        <v>5591</v>
      </c>
      <c r="L2092" t="s">
        <v>5592</v>
      </c>
      <c r="M2092" t="s">
        <v>5593</v>
      </c>
    </row>
    <row r="2093" spans="1:13" hidden="1" x14ac:dyDescent="0.25">
      <c r="A2093" s="24">
        <f t="shared" si="110"/>
        <v>20</v>
      </c>
      <c r="B2093" s="24">
        <v>9</v>
      </c>
      <c r="C2093" s="24">
        <v>100.92</v>
      </c>
      <c r="E2093" s="4">
        <v>449489</v>
      </c>
      <c r="F2093" s="2" t="s">
        <v>2</v>
      </c>
      <c r="G2093" s="2" t="str">
        <f t="shared" si="109"/>
        <v>https://www.oreht.ru/modules.php?name=orehtPriceLS&amp;op=Search&amp;page=1&amp;stext=449489</v>
      </c>
      <c r="I2093">
        <v>449489</v>
      </c>
      <c r="J2093" t="s">
        <v>2</v>
      </c>
      <c r="K2093" t="s">
        <v>5594</v>
      </c>
      <c r="L2093" t="s">
        <v>5595</v>
      </c>
      <c r="M2093" t="s">
        <v>5596</v>
      </c>
    </row>
    <row r="2094" spans="1:13" hidden="1" x14ac:dyDescent="0.25">
      <c r="A2094" s="24">
        <f t="shared" si="110"/>
        <v>20</v>
      </c>
      <c r="B2094" s="24">
        <v>9</v>
      </c>
      <c r="C2094" s="24">
        <v>100.92</v>
      </c>
      <c r="E2094" s="4">
        <v>457107</v>
      </c>
      <c r="F2094" s="2" t="s">
        <v>2</v>
      </c>
      <c r="G2094" s="2" t="str">
        <f t="shared" si="109"/>
        <v>https://www.oreht.ru/modules.php?name=orehtPriceLS&amp;op=Search&amp;page=1&amp;stext=457107</v>
      </c>
      <c r="I2094">
        <v>457107</v>
      </c>
      <c r="J2094" t="s">
        <v>2</v>
      </c>
      <c r="K2094" t="s">
        <v>5597</v>
      </c>
      <c r="L2094" t="s">
        <v>5598</v>
      </c>
      <c r="M2094" t="s">
        <v>5596</v>
      </c>
    </row>
    <row r="2095" spans="1:13" hidden="1" x14ac:dyDescent="0.25">
      <c r="A2095" s="24">
        <f t="shared" si="110"/>
        <v>20</v>
      </c>
      <c r="B2095" s="24">
        <v>8</v>
      </c>
      <c r="C2095" s="24">
        <v>78.8</v>
      </c>
      <c r="E2095" s="4">
        <v>374202</v>
      </c>
      <c r="F2095" s="2" t="s">
        <v>2</v>
      </c>
      <c r="G2095" s="2" t="str">
        <f t="shared" si="109"/>
        <v>https://www.oreht.ru/modules.php?name=orehtPriceLS&amp;op=Search&amp;page=1&amp;stext=374202</v>
      </c>
      <c r="I2095">
        <v>374202</v>
      </c>
      <c r="J2095" t="s">
        <v>2</v>
      </c>
      <c r="K2095" t="s">
        <v>5599</v>
      </c>
      <c r="L2095" t="s">
        <v>5600</v>
      </c>
      <c r="M2095" t="s">
        <v>5601</v>
      </c>
    </row>
    <row r="2096" spans="1:13" hidden="1" x14ac:dyDescent="0.25">
      <c r="A2096" s="24">
        <f t="shared" si="110"/>
        <v>20</v>
      </c>
      <c r="B2096" s="24">
        <v>9</v>
      </c>
      <c r="C2096" s="24">
        <v>101.46</v>
      </c>
      <c r="E2096" s="4">
        <v>457110</v>
      </c>
      <c r="F2096" s="2" t="s">
        <v>2</v>
      </c>
      <c r="G2096" s="2" t="str">
        <f t="shared" si="109"/>
        <v>https://www.oreht.ru/modules.php?name=orehtPriceLS&amp;op=Search&amp;page=1&amp;stext=457110</v>
      </c>
      <c r="I2096">
        <v>457110</v>
      </c>
      <c r="J2096" t="s">
        <v>2</v>
      </c>
      <c r="K2096" t="s">
        <v>5602</v>
      </c>
      <c r="L2096" t="s">
        <v>5603</v>
      </c>
      <c r="M2096" t="s">
        <v>5604</v>
      </c>
    </row>
    <row r="2097" spans="1:13" hidden="1" x14ac:dyDescent="0.25">
      <c r="A2097" s="24">
        <f t="shared" si="110"/>
        <v>20</v>
      </c>
      <c r="B2097" s="24">
        <v>9</v>
      </c>
      <c r="C2097" s="24">
        <v>100.2</v>
      </c>
      <c r="E2097" s="4">
        <v>453147</v>
      </c>
      <c r="F2097" s="2" t="s">
        <v>2</v>
      </c>
      <c r="G2097" s="2" t="str">
        <f t="shared" si="109"/>
        <v>https://www.oreht.ru/modules.php?name=orehtPriceLS&amp;op=Search&amp;page=1&amp;stext=453147</v>
      </c>
      <c r="I2097">
        <v>453147</v>
      </c>
      <c r="J2097" t="s">
        <v>2</v>
      </c>
      <c r="K2097" t="s">
        <v>5605</v>
      </c>
      <c r="L2097" t="s">
        <v>5606</v>
      </c>
      <c r="M2097" t="s">
        <v>5607</v>
      </c>
    </row>
    <row r="2098" spans="1:13" hidden="1" x14ac:dyDescent="0.25">
      <c r="A2098" s="24">
        <f t="shared" si="110"/>
        <v>20</v>
      </c>
      <c r="B2098" s="24">
        <v>15</v>
      </c>
      <c r="C2098" s="24">
        <v>107.64</v>
      </c>
      <c r="E2098" s="4">
        <v>124932</v>
      </c>
      <c r="F2098" s="2" t="s">
        <v>2</v>
      </c>
      <c r="G2098" s="2" t="str">
        <f t="shared" si="109"/>
        <v>https://www.oreht.ru/modules.php?name=orehtPriceLS&amp;op=Search&amp;page=1&amp;stext=124932</v>
      </c>
      <c r="I2098">
        <v>124932</v>
      </c>
      <c r="J2098" t="s">
        <v>2</v>
      </c>
      <c r="K2098" t="s">
        <v>5608</v>
      </c>
      <c r="L2098" t="s">
        <v>5609</v>
      </c>
      <c r="M2098" t="s">
        <v>5610</v>
      </c>
    </row>
    <row r="2099" spans="1:13" hidden="1" x14ac:dyDescent="0.25">
      <c r="A2099" s="24">
        <f t="shared" si="110"/>
        <v>20</v>
      </c>
      <c r="B2099" s="24">
        <v>15</v>
      </c>
      <c r="C2099" s="24">
        <v>108</v>
      </c>
      <c r="E2099" s="4">
        <v>360093</v>
      </c>
      <c r="F2099" s="2" t="s">
        <v>2</v>
      </c>
      <c r="G2099" s="2" t="str">
        <f t="shared" si="109"/>
        <v>https://www.oreht.ru/modules.php?name=orehtPriceLS&amp;op=Search&amp;page=1&amp;stext=360093</v>
      </c>
      <c r="I2099">
        <v>360093</v>
      </c>
      <c r="J2099" t="s">
        <v>2</v>
      </c>
      <c r="K2099" t="s">
        <v>5611</v>
      </c>
      <c r="L2099" t="s">
        <v>5612</v>
      </c>
      <c r="M2099" t="s">
        <v>5613</v>
      </c>
    </row>
    <row r="2100" spans="1:13" hidden="1" x14ac:dyDescent="0.25">
      <c r="A2100" s="24">
        <f t="shared" si="110"/>
        <v>20</v>
      </c>
      <c r="B2100" s="24">
        <v>8</v>
      </c>
      <c r="C2100" s="24">
        <v>69.75</v>
      </c>
      <c r="E2100" s="4">
        <v>417063</v>
      </c>
      <c r="F2100" s="2" t="s">
        <v>2</v>
      </c>
      <c r="G2100" s="2" t="str">
        <f t="shared" si="109"/>
        <v>https://www.oreht.ru/modules.php?name=orehtPriceLS&amp;op=Search&amp;page=1&amp;stext=417063</v>
      </c>
      <c r="I2100">
        <v>417063</v>
      </c>
      <c r="J2100" t="s">
        <v>2</v>
      </c>
      <c r="K2100" t="s">
        <v>5614</v>
      </c>
      <c r="L2100" t="s">
        <v>5615</v>
      </c>
      <c r="M2100" t="s">
        <v>5616</v>
      </c>
    </row>
    <row r="2101" spans="1:13" hidden="1" x14ac:dyDescent="0.25">
      <c r="A2101" s="24">
        <f t="shared" si="110"/>
        <v>20</v>
      </c>
      <c r="B2101" s="24">
        <v>9</v>
      </c>
      <c r="C2101" s="24">
        <v>103.2</v>
      </c>
      <c r="E2101" s="4">
        <v>230811</v>
      </c>
      <c r="F2101" s="2" t="s">
        <v>2</v>
      </c>
      <c r="G2101" s="2" t="str">
        <f t="shared" si="109"/>
        <v>https://www.oreht.ru/modules.php?name=orehtPriceLS&amp;op=Search&amp;page=1&amp;stext=230811</v>
      </c>
      <c r="I2101">
        <v>230811</v>
      </c>
      <c r="J2101" t="s">
        <v>2</v>
      </c>
      <c r="K2101" t="s">
        <v>5617</v>
      </c>
      <c r="L2101" t="s">
        <v>5618</v>
      </c>
      <c r="M2101" t="s">
        <v>5619</v>
      </c>
    </row>
    <row r="2102" spans="1:13" hidden="1" x14ac:dyDescent="0.25">
      <c r="A2102" s="24">
        <f t="shared" si="110"/>
        <v>20</v>
      </c>
      <c r="B2102" s="24">
        <v>6</v>
      </c>
      <c r="C2102" s="24">
        <v>80.349999999999994</v>
      </c>
      <c r="E2102" s="4">
        <v>452152</v>
      </c>
      <c r="F2102" s="2" t="s">
        <v>2</v>
      </c>
      <c r="G2102" s="2" t="str">
        <f t="shared" si="109"/>
        <v>https://www.oreht.ru/modules.php?name=orehtPriceLS&amp;op=Search&amp;page=1&amp;stext=452152</v>
      </c>
      <c r="I2102">
        <v>452152</v>
      </c>
      <c r="J2102" t="s">
        <v>2</v>
      </c>
      <c r="K2102" t="s">
        <v>5620</v>
      </c>
      <c r="L2102" t="s">
        <v>5621</v>
      </c>
      <c r="M2102" t="s">
        <v>2608</v>
      </c>
    </row>
    <row r="2103" spans="1:13" hidden="1" x14ac:dyDescent="0.25">
      <c r="A2103" s="24">
        <f t="shared" si="110"/>
        <v>20</v>
      </c>
      <c r="B2103" s="24">
        <v>9</v>
      </c>
      <c r="C2103" s="24">
        <v>101.82</v>
      </c>
      <c r="E2103" s="4">
        <v>339468</v>
      </c>
      <c r="F2103" s="2" t="s">
        <v>2</v>
      </c>
      <c r="G2103" s="2" t="str">
        <f t="shared" si="109"/>
        <v>https://www.oreht.ru/modules.php?name=orehtPriceLS&amp;op=Search&amp;page=1&amp;stext=339468</v>
      </c>
      <c r="I2103">
        <v>339468</v>
      </c>
      <c r="J2103" t="s">
        <v>2</v>
      </c>
      <c r="K2103" t="s">
        <v>5622</v>
      </c>
      <c r="L2103" t="s">
        <v>5623</v>
      </c>
      <c r="M2103" t="s">
        <v>2608</v>
      </c>
    </row>
    <row r="2104" spans="1:13" hidden="1" x14ac:dyDescent="0.25">
      <c r="A2104" s="24">
        <f t="shared" si="110"/>
        <v>20</v>
      </c>
      <c r="B2104" s="24">
        <v>6</v>
      </c>
      <c r="C2104" s="24">
        <v>80.400000000000006</v>
      </c>
      <c r="E2104" s="4">
        <v>401995</v>
      </c>
      <c r="F2104" s="2" t="s">
        <v>2</v>
      </c>
      <c r="G2104" s="2" t="str">
        <f t="shared" si="109"/>
        <v>https://www.oreht.ru/modules.php?name=orehtPriceLS&amp;op=Search&amp;page=1&amp;stext=401995</v>
      </c>
      <c r="I2104">
        <v>401995</v>
      </c>
      <c r="J2104" t="s">
        <v>2</v>
      </c>
      <c r="K2104" t="s">
        <v>5624</v>
      </c>
      <c r="L2104" t="s">
        <v>5625</v>
      </c>
      <c r="M2104" t="s">
        <v>5626</v>
      </c>
    </row>
    <row r="2105" spans="1:13" hidden="1" x14ac:dyDescent="0.25">
      <c r="A2105" s="24">
        <f t="shared" si="110"/>
        <v>20</v>
      </c>
      <c r="B2105" s="24">
        <v>15</v>
      </c>
      <c r="C2105" s="24">
        <v>108.96</v>
      </c>
      <c r="E2105" s="4">
        <v>367096</v>
      </c>
      <c r="F2105" s="2" t="s">
        <v>2</v>
      </c>
      <c r="G2105" s="2" t="str">
        <f t="shared" si="109"/>
        <v>https://www.oreht.ru/modules.php?name=orehtPriceLS&amp;op=Search&amp;page=1&amp;stext=367096</v>
      </c>
      <c r="I2105">
        <v>367096</v>
      </c>
      <c r="J2105" t="s">
        <v>2</v>
      </c>
      <c r="K2105" t="s">
        <v>5627</v>
      </c>
      <c r="L2105" t="s">
        <v>5628</v>
      </c>
      <c r="M2105" t="s">
        <v>5629</v>
      </c>
    </row>
    <row r="2106" spans="1:13" hidden="1" x14ac:dyDescent="0.25">
      <c r="A2106" s="24">
        <f t="shared" si="110"/>
        <v>20</v>
      </c>
      <c r="B2106" s="24">
        <v>9</v>
      </c>
      <c r="C2106" s="24">
        <v>103.62</v>
      </c>
      <c r="E2106" s="4">
        <v>230809</v>
      </c>
      <c r="F2106" s="2" t="s">
        <v>2</v>
      </c>
      <c r="G2106" s="2" t="str">
        <f t="shared" si="109"/>
        <v>https://www.oreht.ru/modules.php?name=orehtPriceLS&amp;op=Search&amp;page=1&amp;stext=230809</v>
      </c>
      <c r="I2106">
        <v>230809</v>
      </c>
      <c r="J2106" t="s">
        <v>2</v>
      </c>
      <c r="K2106" t="s">
        <v>5630</v>
      </c>
      <c r="L2106" t="s">
        <v>5631</v>
      </c>
      <c r="M2106" t="s">
        <v>5629</v>
      </c>
    </row>
    <row r="2107" spans="1:13" hidden="1" x14ac:dyDescent="0.25">
      <c r="A2107" s="24">
        <f t="shared" si="110"/>
        <v>20</v>
      </c>
      <c r="B2107" s="24">
        <v>15</v>
      </c>
      <c r="C2107" s="24">
        <v>110.46</v>
      </c>
      <c r="E2107" s="4">
        <v>314836</v>
      </c>
      <c r="F2107" s="2" t="s">
        <v>2</v>
      </c>
      <c r="G2107" s="2" t="str">
        <f t="shared" si="109"/>
        <v>https://www.oreht.ru/modules.php?name=orehtPriceLS&amp;op=Search&amp;page=1&amp;stext=314836</v>
      </c>
      <c r="I2107">
        <v>314836</v>
      </c>
      <c r="J2107" t="s">
        <v>2</v>
      </c>
      <c r="K2107" t="s">
        <v>5632</v>
      </c>
      <c r="L2107" t="s">
        <v>5633</v>
      </c>
      <c r="M2107" t="s">
        <v>5634</v>
      </c>
    </row>
    <row r="2108" spans="1:13" hidden="1" x14ac:dyDescent="0.25">
      <c r="A2108" s="24">
        <f t="shared" si="110"/>
        <v>20</v>
      </c>
      <c r="B2108" s="24">
        <v>9</v>
      </c>
      <c r="C2108" s="24">
        <v>85.3</v>
      </c>
      <c r="E2108" s="4">
        <v>135348</v>
      </c>
      <c r="F2108" s="2" t="s">
        <v>2</v>
      </c>
      <c r="G2108" s="2" t="str">
        <f t="shared" si="109"/>
        <v>https://www.oreht.ru/modules.php?name=orehtPriceLS&amp;op=Search&amp;page=1&amp;stext=135348</v>
      </c>
      <c r="I2108">
        <v>135348</v>
      </c>
      <c r="J2108" t="s">
        <v>2</v>
      </c>
      <c r="K2108" t="s">
        <v>5635</v>
      </c>
      <c r="L2108" t="s">
        <v>5636</v>
      </c>
      <c r="M2108" t="s">
        <v>5637</v>
      </c>
    </row>
    <row r="2109" spans="1:13" hidden="1" x14ac:dyDescent="0.25">
      <c r="A2109" s="24">
        <f t="shared" si="110"/>
        <v>20</v>
      </c>
      <c r="B2109" s="24">
        <v>15</v>
      </c>
      <c r="C2109" s="24">
        <v>109.62</v>
      </c>
      <c r="E2109" s="4">
        <v>416293</v>
      </c>
      <c r="F2109" s="2" t="s">
        <v>2</v>
      </c>
      <c r="G2109" s="2" t="str">
        <f t="shared" si="109"/>
        <v>https://www.oreht.ru/modules.php?name=orehtPriceLS&amp;op=Search&amp;page=1&amp;stext=416293</v>
      </c>
      <c r="I2109">
        <v>416293</v>
      </c>
      <c r="J2109" t="s">
        <v>2</v>
      </c>
      <c r="K2109" t="s">
        <v>5638</v>
      </c>
      <c r="L2109" t="s">
        <v>5639</v>
      </c>
      <c r="M2109" t="s">
        <v>5640</v>
      </c>
    </row>
    <row r="2110" spans="1:13" x14ac:dyDescent="0.25">
      <c r="A2110" s="24">
        <f t="shared" si="110"/>
        <v>20</v>
      </c>
      <c r="B2110" s="24">
        <v>9</v>
      </c>
      <c r="C2110" s="24">
        <v>85.5</v>
      </c>
      <c r="E2110" s="4">
        <v>299114</v>
      </c>
      <c r="F2110" s="2" t="s">
        <v>2</v>
      </c>
      <c r="G2110" s="2" t="str">
        <f t="shared" si="109"/>
        <v>https://www.oreht.ru/modules.php?name=orehtPriceLS&amp;op=Search&amp;page=1&amp;stext=299114</v>
      </c>
      <c r="I2110">
        <v>299114</v>
      </c>
      <c r="J2110" t="s">
        <v>2</v>
      </c>
      <c r="K2110" t="s">
        <v>5641</v>
      </c>
      <c r="L2110" t="s">
        <v>5642</v>
      </c>
      <c r="M2110" t="s">
        <v>649</v>
      </c>
    </row>
    <row r="2111" spans="1:13" hidden="1" x14ac:dyDescent="0.25">
      <c r="A2111" s="24">
        <f t="shared" si="110"/>
        <v>20</v>
      </c>
      <c r="B2111" s="24">
        <v>9</v>
      </c>
      <c r="C2111" s="24">
        <v>85.65</v>
      </c>
      <c r="E2111" s="4">
        <v>184497</v>
      </c>
      <c r="F2111" s="2" t="s">
        <v>2</v>
      </c>
      <c r="G2111" s="2" t="str">
        <f t="shared" si="109"/>
        <v>https://www.oreht.ru/modules.php?name=orehtPriceLS&amp;op=Search&amp;page=1&amp;stext=184497</v>
      </c>
      <c r="I2111">
        <v>184497</v>
      </c>
      <c r="J2111" t="s">
        <v>2</v>
      </c>
      <c r="K2111" t="s">
        <v>5643</v>
      </c>
      <c r="L2111" t="s">
        <v>5644</v>
      </c>
      <c r="M2111" t="s">
        <v>5645</v>
      </c>
    </row>
    <row r="2112" spans="1:13" hidden="1" x14ac:dyDescent="0.25">
      <c r="A2112" s="24">
        <f t="shared" si="110"/>
        <v>20</v>
      </c>
      <c r="B2112" s="24">
        <v>9</v>
      </c>
      <c r="C2112" s="24">
        <v>104.88</v>
      </c>
      <c r="E2112" s="4">
        <v>230818</v>
      </c>
      <c r="F2112" s="2" t="s">
        <v>2</v>
      </c>
      <c r="G2112" s="2" t="str">
        <f t="shared" si="109"/>
        <v>https://www.oreht.ru/modules.php?name=orehtPriceLS&amp;op=Search&amp;page=1&amp;stext=230818</v>
      </c>
      <c r="I2112">
        <v>230818</v>
      </c>
      <c r="J2112" t="s">
        <v>2</v>
      </c>
      <c r="K2112" t="s">
        <v>5646</v>
      </c>
      <c r="L2112" t="s">
        <v>5647</v>
      </c>
      <c r="M2112" t="s">
        <v>5645</v>
      </c>
    </row>
    <row r="2113" spans="1:13" hidden="1" x14ac:dyDescent="0.25">
      <c r="A2113" s="24">
        <f t="shared" si="110"/>
        <v>20</v>
      </c>
      <c r="B2113" s="24">
        <v>9</v>
      </c>
      <c r="C2113" s="24">
        <v>105.06</v>
      </c>
      <c r="E2113" s="4">
        <v>224757</v>
      </c>
      <c r="F2113" s="2" t="s">
        <v>2</v>
      </c>
      <c r="G2113" s="2" t="str">
        <f t="shared" si="109"/>
        <v>https://www.oreht.ru/modules.php?name=orehtPriceLS&amp;op=Search&amp;page=1&amp;stext=224757</v>
      </c>
      <c r="I2113">
        <v>224757</v>
      </c>
      <c r="J2113" t="s">
        <v>2</v>
      </c>
      <c r="K2113" t="s">
        <v>5648</v>
      </c>
      <c r="L2113" t="s">
        <v>5649</v>
      </c>
      <c r="M2113" t="s">
        <v>5650</v>
      </c>
    </row>
    <row r="2114" spans="1:13" hidden="1" x14ac:dyDescent="0.25">
      <c r="A2114" s="24">
        <f t="shared" si="110"/>
        <v>20</v>
      </c>
      <c r="B2114" s="24">
        <v>9</v>
      </c>
      <c r="C2114" s="24">
        <v>103.98</v>
      </c>
      <c r="E2114" s="4">
        <v>402030</v>
      </c>
      <c r="F2114" s="2" t="s">
        <v>2</v>
      </c>
      <c r="G2114" s="2" t="str">
        <f t="shared" ref="G2114:G2177" si="111">HYPERLINK(F2114&amp;E2114)</f>
        <v>https://www.oreht.ru/modules.php?name=orehtPriceLS&amp;op=Search&amp;page=1&amp;stext=402030</v>
      </c>
      <c r="I2114">
        <v>402030</v>
      </c>
      <c r="J2114" t="s">
        <v>2</v>
      </c>
      <c r="K2114" t="s">
        <v>5651</v>
      </c>
      <c r="L2114" t="s">
        <v>5652</v>
      </c>
      <c r="M2114" t="s">
        <v>2608</v>
      </c>
    </row>
    <row r="2115" spans="1:13" hidden="1" x14ac:dyDescent="0.25">
      <c r="A2115" s="24">
        <f t="shared" si="110"/>
        <v>20</v>
      </c>
      <c r="B2115" s="24">
        <v>15</v>
      </c>
      <c r="C2115" s="24">
        <v>91.2</v>
      </c>
      <c r="E2115" s="4">
        <v>375005</v>
      </c>
      <c r="F2115" s="2" t="s">
        <v>2</v>
      </c>
      <c r="G2115" s="2" t="str">
        <f t="shared" si="111"/>
        <v>https://www.oreht.ru/modules.php?name=orehtPriceLS&amp;op=Search&amp;page=1&amp;stext=375005</v>
      </c>
      <c r="I2115">
        <v>375005</v>
      </c>
      <c r="J2115" t="s">
        <v>2</v>
      </c>
      <c r="K2115" t="s">
        <v>5653</v>
      </c>
      <c r="L2115" t="s">
        <v>5654</v>
      </c>
      <c r="M2115" t="s">
        <v>5655</v>
      </c>
    </row>
    <row r="2116" spans="1:13" x14ac:dyDescent="0.25">
      <c r="A2116" s="24">
        <f t="shared" si="110"/>
        <v>20</v>
      </c>
      <c r="B2116" s="24">
        <v>9</v>
      </c>
      <c r="C2116" s="24">
        <v>105.48</v>
      </c>
      <c r="E2116" s="4">
        <v>404144</v>
      </c>
      <c r="F2116" s="2" t="s">
        <v>2</v>
      </c>
      <c r="G2116" s="2" t="str">
        <f t="shared" si="111"/>
        <v>https://www.oreht.ru/modules.php?name=orehtPriceLS&amp;op=Search&amp;page=1&amp;stext=404144</v>
      </c>
      <c r="I2116">
        <v>404144</v>
      </c>
      <c r="J2116" t="s">
        <v>2</v>
      </c>
      <c r="K2116" t="s">
        <v>5656</v>
      </c>
      <c r="L2116" t="s">
        <v>5657</v>
      </c>
      <c r="M2116" t="s">
        <v>649</v>
      </c>
    </row>
    <row r="2117" spans="1:13" hidden="1" x14ac:dyDescent="0.25">
      <c r="A2117" s="24">
        <f t="shared" ref="A2117:A2180" si="112">IF(W2117*0.05&gt;=250,250,IF(W2117*0.05&gt;=20,IF(W2117*0.05&lt;20,20,W2117*0.05),20))</f>
        <v>20</v>
      </c>
      <c r="B2117" s="24">
        <v>9</v>
      </c>
      <c r="C2117" s="24">
        <v>86.2</v>
      </c>
      <c r="E2117" s="4">
        <v>365408</v>
      </c>
      <c r="F2117" s="2" t="s">
        <v>2</v>
      </c>
      <c r="G2117" s="2" t="str">
        <f t="shared" si="111"/>
        <v>https://www.oreht.ru/modules.php?name=orehtPriceLS&amp;op=Search&amp;page=1&amp;stext=365408</v>
      </c>
      <c r="I2117">
        <v>365408</v>
      </c>
      <c r="J2117" t="s">
        <v>2</v>
      </c>
      <c r="K2117" t="s">
        <v>5658</v>
      </c>
      <c r="L2117" t="s">
        <v>5659</v>
      </c>
      <c r="M2117" t="s">
        <v>5660</v>
      </c>
    </row>
    <row r="2118" spans="1:13" hidden="1" x14ac:dyDescent="0.25">
      <c r="A2118" s="24">
        <f t="shared" si="112"/>
        <v>20</v>
      </c>
      <c r="B2118" s="24">
        <v>9</v>
      </c>
      <c r="C2118" s="24">
        <v>104.1</v>
      </c>
      <c r="E2118" s="4">
        <v>434533</v>
      </c>
      <c r="F2118" s="2" t="s">
        <v>2</v>
      </c>
      <c r="G2118" s="2" t="str">
        <f t="shared" si="111"/>
        <v>https://www.oreht.ru/modules.php?name=orehtPriceLS&amp;op=Search&amp;page=1&amp;stext=434533</v>
      </c>
      <c r="I2118">
        <v>434533</v>
      </c>
      <c r="J2118" t="s">
        <v>2</v>
      </c>
      <c r="K2118" t="s">
        <v>5661</v>
      </c>
      <c r="L2118" t="s">
        <v>5662</v>
      </c>
      <c r="M2118" t="s">
        <v>2620</v>
      </c>
    </row>
    <row r="2119" spans="1:13" hidden="1" x14ac:dyDescent="0.25">
      <c r="A2119" s="24">
        <f t="shared" si="112"/>
        <v>20</v>
      </c>
      <c r="B2119" s="24">
        <v>9</v>
      </c>
      <c r="C2119" s="24">
        <v>86.3</v>
      </c>
      <c r="E2119" s="4">
        <v>390701</v>
      </c>
      <c r="F2119" s="2" t="s">
        <v>2</v>
      </c>
      <c r="G2119" s="2" t="str">
        <f t="shared" si="111"/>
        <v>https://www.oreht.ru/modules.php?name=orehtPriceLS&amp;op=Search&amp;page=1&amp;stext=390701</v>
      </c>
      <c r="I2119">
        <v>390701</v>
      </c>
      <c r="J2119" t="s">
        <v>2</v>
      </c>
      <c r="K2119" t="s">
        <v>5663</v>
      </c>
      <c r="L2119" t="s">
        <v>5664</v>
      </c>
      <c r="M2119" t="s">
        <v>5665</v>
      </c>
    </row>
    <row r="2120" spans="1:13" x14ac:dyDescent="0.25">
      <c r="A2120" s="24">
        <f t="shared" si="112"/>
        <v>20</v>
      </c>
      <c r="B2120" s="24">
        <v>9</v>
      </c>
      <c r="C2120" s="24">
        <v>104.34</v>
      </c>
      <c r="E2120" s="4">
        <v>460972</v>
      </c>
      <c r="F2120" s="2" t="s">
        <v>2</v>
      </c>
      <c r="G2120" s="2" t="str">
        <f t="shared" si="111"/>
        <v>https://www.oreht.ru/modules.php?name=orehtPriceLS&amp;op=Search&amp;page=1&amp;stext=460972</v>
      </c>
      <c r="I2120">
        <v>460972</v>
      </c>
      <c r="J2120" t="s">
        <v>2</v>
      </c>
      <c r="K2120" t="s">
        <v>5666</v>
      </c>
      <c r="L2120" t="s">
        <v>5667</v>
      </c>
      <c r="M2120" t="s">
        <v>649</v>
      </c>
    </row>
    <row r="2121" spans="1:13" hidden="1" x14ac:dyDescent="0.25">
      <c r="A2121" s="24">
        <f t="shared" si="112"/>
        <v>20</v>
      </c>
      <c r="B2121" s="24">
        <v>9</v>
      </c>
      <c r="C2121" s="24">
        <v>86.4</v>
      </c>
      <c r="E2121" s="4">
        <v>427848</v>
      </c>
      <c r="F2121" s="2" t="s">
        <v>2</v>
      </c>
      <c r="G2121" s="2" t="str">
        <f t="shared" si="111"/>
        <v>https://www.oreht.ru/modules.php?name=orehtPriceLS&amp;op=Search&amp;page=1&amp;stext=427848</v>
      </c>
      <c r="I2121">
        <v>427848</v>
      </c>
      <c r="J2121" t="s">
        <v>2</v>
      </c>
      <c r="K2121" t="s">
        <v>5668</v>
      </c>
      <c r="L2121" t="s">
        <v>5669</v>
      </c>
      <c r="M2121" t="s">
        <v>5670</v>
      </c>
    </row>
    <row r="2122" spans="1:13" hidden="1" x14ac:dyDescent="0.25">
      <c r="A2122" s="24">
        <f t="shared" si="112"/>
        <v>20</v>
      </c>
      <c r="B2122" s="24">
        <v>9</v>
      </c>
      <c r="C2122" s="24">
        <v>104.52</v>
      </c>
      <c r="E2122" s="4">
        <v>421025</v>
      </c>
      <c r="F2122" s="2" t="s">
        <v>2</v>
      </c>
      <c r="G2122" s="2" t="str">
        <f t="shared" si="111"/>
        <v>https://www.oreht.ru/modules.php?name=orehtPriceLS&amp;op=Search&amp;page=1&amp;stext=421025</v>
      </c>
      <c r="I2122">
        <v>421025</v>
      </c>
      <c r="J2122" t="s">
        <v>2</v>
      </c>
      <c r="K2122" t="s">
        <v>5671</v>
      </c>
      <c r="L2122" t="s">
        <v>5672</v>
      </c>
      <c r="M2122" t="s">
        <v>5673</v>
      </c>
    </row>
    <row r="2123" spans="1:13" hidden="1" x14ac:dyDescent="0.25">
      <c r="A2123" s="24">
        <f t="shared" si="112"/>
        <v>20</v>
      </c>
      <c r="B2123" s="24">
        <v>8</v>
      </c>
      <c r="C2123" s="24">
        <v>83.75</v>
      </c>
      <c r="E2123" s="4">
        <v>394861</v>
      </c>
      <c r="F2123" s="2" t="s">
        <v>2</v>
      </c>
      <c r="G2123" s="2" t="str">
        <f t="shared" si="111"/>
        <v>https://www.oreht.ru/modules.php?name=orehtPriceLS&amp;op=Search&amp;page=1&amp;stext=394861</v>
      </c>
      <c r="I2123">
        <v>394861</v>
      </c>
      <c r="J2123" t="s">
        <v>2</v>
      </c>
      <c r="K2123" t="s">
        <v>5674</v>
      </c>
      <c r="L2123" t="s">
        <v>5675</v>
      </c>
      <c r="M2123" t="s">
        <v>5676</v>
      </c>
    </row>
    <row r="2124" spans="1:13" x14ac:dyDescent="0.25">
      <c r="A2124" s="24">
        <f t="shared" si="112"/>
        <v>20</v>
      </c>
      <c r="B2124" s="24">
        <v>9</v>
      </c>
      <c r="C2124" s="24">
        <v>86.9</v>
      </c>
      <c r="E2124" s="4">
        <v>358013</v>
      </c>
      <c r="F2124" s="2" t="s">
        <v>2</v>
      </c>
      <c r="G2124" s="2" t="str">
        <f t="shared" si="111"/>
        <v>https://www.oreht.ru/modules.php?name=orehtPriceLS&amp;op=Search&amp;page=1&amp;stext=358013</v>
      </c>
      <c r="I2124">
        <v>358013</v>
      </c>
      <c r="J2124" t="s">
        <v>2</v>
      </c>
      <c r="K2124" t="s">
        <v>5677</v>
      </c>
      <c r="L2124" t="s">
        <v>5678</v>
      </c>
      <c r="M2124" t="s">
        <v>649</v>
      </c>
    </row>
    <row r="2125" spans="1:13" hidden="1" x14ac:dyDescent="0.25">
      <c r="A2125" s="24">
        <f t="shared" si="112"/>
        <v>20</v>
      </c>
      <c r="B2125" s="24">
        <v>9</v>
      </c>
      <c r="C2125" s="24">
        <v>86.9</v>
      </c>
      <c r="E2125" s="4">
        <v>358889</v>
      </c>
      <c r="F2125" s="2" t="s">
        <v>2</v>
      </c>
      <c r="G2125" s="2" t="str">
        <f t="shared" si="111"/>
        <v>https://www.oreht.ru/modules.php?name=orehtPriceLS&amp;op=Search&amp;page=1&amp;stext=358889</v>
      </c>
      <c r="I2125">
        <v>358889</v>
      </c>
      <c r="J2125" t="s">
        <v>2</v>
      </c>
      <c r="K2125" t="s">
        <v>5679</v>
      </c>
      <c r="L2125" t="s">
        <v>5680</v>
      </c>
      <c r="M2125" t="s">
        <v>5681</v>
      </c>
    </row>
    <row r="2126" spans="1:13" hidden="1" x14ac:dyDescent="0.25">
      <c r="A2126" s="24">
        <f t="shared" si="112"/>
        <v>20</v>
      </c>
      <c r="B2126" s="24">
        <v>9</v>
      </c>
      <c r="C2126" s="24">
        <v>106.32</v>
      </c>
      <c r="E2126" s="4">
        <v>230778</v>
      </c>
      <c r="F2126" s="2" t="s">
        <v>2</v>
      </c>
      <c r="G2126" s="2" t="str">
        <f t="shared" si="111"/>
        <v>https://www.oreht.ru/modules.php?name=orehtPriceLS&amp;op=Search&amp;page=1&amp;stext=230778</v>
      </c>
      <c r="I2126">
        <v>230778</v>
      </c>
      <c r="J2126" t="s">
        <v>2</v>
      </c>
      <c r="K2126" t="s">
        <v>5682</v>
      </c>
      <c r="L2126" t="s">
        <v>5683</v>
      </c>
      <c r="M2126" t="s">
        <v>5681</v>
      </c>
    </row>
    <row r="2127" spans="1:13" hidden="1" x14ac:dyDescent="0.25">
      <c r="A2127" s="24">
        <f t="shared" si="112"/>
        <v>20</v>
      </c>
      <c r="B2127" s="24">
        <v>9</v>
      </c>
      <c r="C2127" s="24">
        <v>86.8</v>
      </c>
      <c r="E2127" s="4">
        <v>400223</v>
      </c>
      <c r="F2127" s="2" t="s">
        <v>2</v>
      </c>
      <c r="G2127" s="2" t="str">
        <f t="shared" si="111"/>
        <v>https://www.oreht.ru/modules.php?name=orehtPriceLS&amp;op=Search&amp;page=1&amp;stext=400223</v>
      </c>
      <c r="I2127">
        <v>400223</v>
      </c>
      <c r="J2127" t="s">
        <v>2</v>
      </c>
      <c r="K2127" t="s">
        <v>5684</v>
      </c>
      <c r="L2127" t="s">
        <v>5685</v>
      </c>
      <c r="M2127" t="s">
        <v>5686</v>
      </c>
    </row>
    <row r="2128" spans="1:13" hidden="1" x14ac:dyDescent="0.25">
      <c r="A2128" s="24">
        <f t="shared" si="112"/>
        <v>20</v>
      </c>
      <c r="B2128" s="24">
        <v>9</v>
      </c>
      <c r="C2128" s="24">
        <v>105.3</v>
      </c>
      <c r="E2128" s="4">
        <v>429266</v>
      </c>
      <c r="F2128" s="2" t="s">
        <v>2</v>
      </c>
      <c r="G2128" s="2" t="str">
        <f t="shared" si="111"/>
        <v>https://www.oreht.ru/modules.php?name=orehtPriceLS&amp;op=Search&amp;page=1&amp;stext=429266</v>
      </c>
      <c r="I2128">
        <v>429266</v>
      </c>
      <c r="J2128" t="s">
        <v>2</v>
      </c>
      <c r="K2128" t="s">
        <v>5687</v>
      </c>
      <c r="L2128" t="s">
        <v>5688</v>
      </c>
      <c r="M2128" t="s">
        <v>5689</v>
      </c>
    </row>
    <row r="2129" spans="1:13" hidden="1" x14ac:dyDescent="0.25">
      <c r="A2129" s="24">
        <f t="shared" si="112"/>
        <v>20</v>
      </c>
      <c r="B2129" s="24">
        <v>9</v>
      </c>
      <c r="C2129" s="24">
        <v>105.66</v>
      </c>
      <c r="E2129" s="4">
        <v>232406</v>
      </c>
      <c r="F2129" s="2" t="s">
        <v>2</v>
      </c>
      <c r="G2129" s="2" t="str">
        <f t="shared" si="111"/>
        <v>https://www.oreht.ru/modules.php?name=orehtPriceLS&amp;op=Search&amp;page=1&amp;stext=232406</v>
      </c>
      <c r="I2129">
        <v>232406</v>
      </c>
      <c r="J2129" t="s">
        <v>2</v>
      </c>
      <c r="K2129" t="s">
        <v>5690</v>
      </c>
      <c r="L2129" t="s">
        <v>5691</v>
      </c>
      <c r="M2129" t="s">
        <v>5692</v>
      </c>
    </row>
    <row r="2130" spans="1:13" hidden="1" x14ac:dyDescent="0.25">
      <c r="A2130" s="24">
        <f t="shared" si="112"/>
        <v>20</v>
      </c>
      <c r="B2130" s="24">
        <v>6</v>
      </c>
      <c r="C2130" s="24">
        <v>78.8</v>
      </c>
      <c r="E2130" s="4">
        <v>365523</v>
      </c>
      <c r="F2130" s="2" t="s">
        <v>2</v>
      </c>
      <c r="G2130" s="2" t="str">
        <f t="shared" si="111"/>
        <v>https://www.oreht.ru/modules.php?name=orehtPriceLS&amp;op=Search&amp;page=1&amp;stext=365523</v>
      </c>
      <c r="I2130">
        <v>365523</v>
      </c>
      <c r="J2130" t="s">
        <v>2</v>
      </c>
      <c r="K2130" t="s">
        <v>5693</v>
      </c>
      <c r="L2130" t="s">
        <v>5694</v>
      </c>
      <c r="M2130" t="s">
        <v>5695</v>
      </c>
    </row>
    <row r="2131" spans="1:13" hidden="1" x14ac:dyDescent="0.25">
      <c r="A2131" s="24">
        <f t="shared" si="112"/>
        <v>20</v>
      </c>
      <c r="B2131" s="24">
        <v>9</v>
      </c>
      <c r="C2131" s="24">
        <v>87.6</v>
      </c>
      <c r="E2131" s="4">
        <v>452685</v>
      </c>
      <c r="F2131" s="2" t="s">
        <v>2</v>
      </c>
      <c r="G2131" s="2" t="str">
        <f t="shared" si="111"/>
        <v>https://www.oreht.ru/modules.php?name=orehtPriceLS&amp;op=Search&amp;page=1&amp;stext=452685</v>
      </c>
      <c r="I2131">
        <v>452685</v>
      </c>
      <c r="J2131" t="s">
        <v>2</v>
      </c>
      <c r="K2131" t="s">
        <v>5696</v>
      </c>
      <c r="L2131" t="s">
        <v>5697</v>
      </c>
      <c r="M2131" t="s">
        <v>5698</v>
      </c>
    </row>
    <row r="2132" spans="1:13" hidden="1" x14ac:dyDescent="0.25">
      <c r="A2132" s="24">
        <f t="shared" si="112"/>
        <v>20</v>
      </c>
      <c r="B2132" s="24">
        <v>9</v>
      </c>
      <c r="C2132" s="24">
        <v>109.08</v>
      </c>
      <c r="E2132" s="4">
        <v>458722</v>
      </c>
      <c r="F2132" s="2" t="s">
        <v>2</v>
      </c>
      <c r="G2132" s="2" t="str">
        <f t="shared" si="111"/>
        <v>https://www.oreht.ru/modules.php?name=orehtPriceLS&amp;op=Search&amp;page=1&amp;stext=458722</v>
      </c>
      <c r="I2132">
        <v>458722</v>
      </c>
      <c r="J2132" t="s">
        <v>2</v>
      </c>
      <c r="K2132" t="s">
        <v>5699</v>
      </c>
      <c r="L2132" t="s">
        <v>5700</v>
      </c>
      <c r="M2132" t="s">
        <v>5701</v>
      </c>
    </row>
    <row r="2133" spans="1:13" hidden="1" x14ac:dyDescent="0.25">
      <c r="A2133" s="24">
        <f t="shared" si="112"/>
        <v>20</v>
      </c>
      <c r="B2133" s="24">
        <v>9</v>
      </c>
      <c r="C2133" s="24">
        <v>109.08</v>
      </c>
      <c r="E2133" s="4">
        <v>458723</v>
      </c>
      <c r="F2133" s="2" t="s">
        <v>2</v>
      </c>
      <c r="G2133" s="2" t="str">
        <f t="shared" si="111"/>
        <v>https://www.oreht.ru/modules.php?name=orehtPriceLS&amp;op=Search&amp;page=1&amp;stext=458723</v>
      </c>
      <c r="I2133">
        <v>458723</v>
      </c>
      <c r="J2133" t="s">
        <v>2</v>
      </c>
      <c r="K2133" t="s">
        <v>5702</v>
      </c>
      <c r="L2133" t="s">
        <v>5703</v>
      </c>
      <c r="M2133" t="s">
        <v>5701</v>
      </c>
    </row>
    <row r="2134" spans="1:13" hidden="1" x14ac:dyDescent="0.25">
      <c r="A2134" s="24">
        <f t="shared" si="112"/>
        <v>20</v>
      </c>
      <c r="B2134" s="24">
        <v>15</v>
      </c>
      <c r="C2134" s="24">
        <v>93.2</v>
      </c>
      <c r="E2134" s="4">
        <v>429883</v>
      </c>
      <c r="F2134" s="2" t="s">
        <v>2</v>
      </c>
      <c r="G2134" s="2" t="str">
        <f t="shared" si="111"/>
        <v>https://www.oreht.ru/modules.php?name=orehtPriceLS&amp;op=Search&amp;page=1&amp;stext=429883</v>
      </c>
      <c r="I2134">
        <v>429883</v>
      </c>
      <c r="J2134" t="s">
        <v>2</v>
      </c>
      <c r="K2134" t="s">
        <v>5704</v>
      </c>
      <c r="L2134" t="s">
        <v>5705</v>
      </c>
      <c r="M2134" t="s">
        <v>5706</v>
      </c>
    </row>
    <row r="2135" spans="1:13" x14ac:dyDescent="0.25">
      <c r="A2135" s="24">
        <f t="shared" si="112"/>
        <v>20</v>
      </c>
      <c r="B2135" s="24">
        <v>15</v>
      </c>
      <c r="C2135" s="24">
        <v>93.2</v>
      </c>
      <c r="E2135" s="4">
        <v>384402</v>
      </c>
      <c r="F2135" s="2" t="s">
        <v>2</v>
      </c>
      <c r="G2135" s="2" t="str">
        <f t="shared" si="111"/>
        <v>https://www.oreht.ru/modules.php?name=orehtPriceLS&amp;op=Search&amp;page=1&amp;stext=384402</v>
      </c>
      <c r="I2135">
        <v>384402</v>
      </c>
      <c r="J2135" t="s">
        <v>2</v>
      </c>
      <c r="K2135" t="s">
        <v>5707</v>
      </c>
      <c r="L2135" t="s">
        <v>5708</v>
      </c>
      <c r="M2135" t="s">
        <v>649</v>
      </c>
    </row>
    <row r="2136" spans="1:13" hidden="1" x14ac:dyDescent="0.25">
      <c r="A2136" s="24">
        <f t="shared" si="112"/>
        <v>20</v>
      </c>
      <c r="B2136" s="24">
        <v>9</v>
      </c>
      <c r="C2136" s="24">
        <v>88.1</v>
      </c>
      <c r="E2136" s="4">
        <v>452043</v>
      </c>
      <c r="F2136" s="2" t="s">
        <v>2</v>
      </c>
      <c r="G2136" s="2" t="str">
        <f t="shared" si="111"/>
        <v>https://www.oreht.ru/modules.php?name=orehtPriceLS&amp;op=Search&amp;page=1&amp;stext=452043</v>
      </c>
      <c r="I2136">
        <v>452043</v>
      </c>
      <c r="J2136" t="s">
        <v>2</v>
      </c>
      <c r="K2136" t="s">
        <v>5709</v>
      </c>
      <c r="L2136" t="s">
        <v>5710</v>
      </c>
      <c r="M2136" t="s">
        <v>5711</v>
      </c>
    </row>
    <row r="2137" spans="1:13" hidden="1" x14ac:dyDescent="0.25">
      <c r="A2137" s="24">
        <f t="shared" si="112"/>
        <v>20</v>
      </c>
      <c r="B2137" s="24">
        <v>9</v>
      </c>
      <c r="C2137" s="24">
        <v>106.92</v>
      </c>
      <c r="E2137" s="4">
        <v>444455</v>
      </c>
      <c r="F2137" s="2" t="s">
        <v>2</v>
      </c>
      <c r="G2137" s="2" t="str">
        <f t="shared" si="111"/>
        <v>https://www.oreht.ru/modules.php?name=orehtPriceLS&amp;op=Search&amp;page=1&amp;stext=444455</v>
      </c>
      <c r="I2137">
        <v>444455</v>
      </c>
      <c r="J2137" t="s">
        <v>2</v>
      </c>
      <c r="K2137" t="s">
        <v>5712</v>
      </c>
      <c r="L2137" t="s">
        <v>5713</v>
      </c>
      <c r="M2137" t="s">
        <v>5711</v>
      </c>
    </row>
    <row r="2138" spans="1:13" hidden="1" x14ac:dyDescent="0.25">
      <c r="A2138" s="24">
        <f t="shared" si="112"/>
        <v>20</v>
      </c>
      <c r="B2138" s="24">
        <v>9</v>
      </c>
      <c r="C2138" s="24">
        <v>106.86</v>
      </c>
      <c r="E2138" s="4">
        <v>450110</v>
      </c>
      <c r="F2138" s="2" t="s">
        <v>2</v>
      </c>
      <c r="G2138" s="2" t="str">
        <f t="shared" si="111"/>
        <v>https://www.oreht.ru/modules.php?name=orehtPriceLS&amp;op=Search&amp;page=1&amp;stext=450110</v>
      </c>
      <c r="I2138">
        <v>450110</v>
      </c>
      <c r="J2138" t="s">
        <v>2</v>
      </c>
      <c r="K2138" t="s">
        <v>5714</v>
      </c>
      <c r="L2138" t="s">
        <v>5715</v>
      </c>
      <c r="M2138" t="s">
        <v>2655</v>
      </c>
    </row>
    <row r="2139" spans="1:13" hidden="1" x14ac:dyDescent="0.25">
      <c r="A2139" s="24">
        <f t="shared" si="112"/>
        <v>20</v>
      </c>
      <c r="B2139" s="24">
        <v>15</v>
      </c>
      <c r="C2139" s="24">
        <v>113.28</v>
      </c>
      <c r="E2139" s="4">
        <v>365669</v>
      </c>
      <c r="F2139" s="2" t="s">
        <v>2</v>
      </c>
      <c r="G2139" s="2" t="str">
        <f t="shared" si="111"/>
        <v>https://www.oreht.ru/modules.php?name=orehtPriceLS&amp;op=Search&amp;page=1&amp;stext=365669</v>
      </c>
      <c r="I2139">
        <v>365669</v>
      </c>
      <c r="J2139" t="s">
        <v>2</v>
      </c>
      <c r="K2139" t="s">
        <v>321</v>
      </c>
      <c r="L2139" t="s">
        <v>322</v>
      </c>
      <c r="M2139" t="s">
        <v>323</v>
      </c>
    </row>
    <row r="2140" spans="1:13" hidden="1" x14ac:dyDescent="0.25">
      <c r="A2140" s="24">
        <f t="shared" si="112"/>
        <v>20</v>
      </c>
      <c r="B2140" s="24">
        <v>9</v>
      </c>
      <c r="C2140" s="24">
        <v>106.98</v>
      </c>
      <c r="E2140" s="4">
        <v>450112</v>
      </c>
      <c r="F2140" s="2" t="s">
        <v>2</v>
      </c>
      <c r="G2140" s="2" t="str">
        <f t="shared" si="111"/>
        <v>https://www.oreht.ru/modules.php?name=orehtPriceLS&amp;op=Search&amp;page=1&amp;stext=450112</v>
      </c>
      <c r="I2140">
        <v>450112</v>
      </c>
      <c r="J2140" t="s">
        <v>2</v>
      </c>
      <c r="K2140" t="s">
        <v>324</v>
      </c>
      <c r="L2140" t="s">
        <v>325</v>
      </c>
      <c r="M2140" t="s">
        <v>323</v>
      </c>
    </row>
    <row r="2141" spans="1:13" hidden="1" x14ac:dyDescent="0.25">
      <c r="A2141" s="24">
        <f t="shared" si="112"/>
        <v>20</v>
      </c>
      <c r="B2141" s="24">
        <v>9</v>
      </c>
      <c r="C2141" s="24">
        <v>111.18</v>
      </c>
      <c r="E2141" s="4">
        <v>328501</v>
      </c>
      <c r="F2141" s="2" t="s">
        <v>2</v>
      </c>
      <c r="G2141" s="2" t="str">
        <f t="shared" si="111"/>
        <v>https://www.oreht.ru/modules.php?name=orehtPriceLS&amp;op=Search&amp;page=1&amp;stext=328501</v>
      </c>
      <c r="I2141">
        <v>328501</v>
      </c>
      <c r="J2141" t="s">
        <v>2</v>
      </c>
      <c r="K2141" t="s">
        <v>326</v>
      </c>
      <c r="L2141" t="s">
        <v>327</v>
      </c>
      <c r="M2141" t="s">
        <v>328</v>
      </c>
    </row>
    <row r="2142" spans="1:13" hidden="1" x14ac:dyDescent="0.25">
      <c r="A2142" s="24">
        <f t="shared" si="112"/>
        <v>20</v>
      </c>
      <c r="B2142" s="24">
        <v>9</v>
      </c>
      <c r="C2142" s="24">
        <v>88.8</v>
      </c>
      <c r="E2142" s="4">
        <v>413957</v>
      </c>
      <c r="F2142" s="2" t="s">
        <v>2</v>
      </c>
      <c r="G2142" s="2" t="str">
        <f t="shared" si="111"/>
        <v>https://www.oreht.ru/modules.php?name=orehtPriceLS&amp;op=Search&amp;page=1&amp;stext=413957</v>
      </c>
      <c r="I2142">
        <v>413957</v>
      </c>
      <c r="J2142" t="s">
        <v>2</v>
      </c>
      <c r="K2142" t="s">
        <v>329</v>
      </c>
      <c r="L2142" t="s">
        <v>330</v>
      </c>
      <c r="M2142" t="s">
        <v>331</v>
      </c>
    </row>
    <row r="2143" spans="1:13" hidden="1" x14ac:dyDescent="0.25">
      <c r="A2143" s="24">
        <f t="shared" si="112"/>
        <v>20</v>
      </c>
      <c r="B2143" s="24">
        <v>9</v>
      </c>
      <c r="C2143" s="24">
        <v>107.22</v>
      </c>
      <c r="E2143" s="4">
        <v>267550</v>
      </c>
      <c r="F2143" s="2" t="s">
        <v>2</v>
      </c>
      <c r="G2143" s="2" t="str">
        <f t="shared" si="111"/>
        <v>https://www.oreht.ru/modules.php?name=orehtPriceLS&amp;op=Search&amp;page=1&amp;stext=267550</v>
      </c>
      <c r="I2143">
        <v>267550</v>
      </c>
      <c r="J2143" t="s">
        <v>2</v>
      </c>
      <c r="K2143" t="s">
        <v>332</v>
      </c>
      <c r="L2143" t="s">
        <v>333</v>
      </c>
      <c r="M2143" t="s">
        <v>331</v>
      </c>
    </row>
    <row r="2144" spans="1:13" hidden="1" x14ac:dyDescent="0.25">
      <c r="A2144" s="24">
        <f t="shared" si="112"/>
        <v>20</v>
      </c>
      <c r="B2144" s="24">
        <v>9</v>
      </c>
      <c r="C2144" s="24">
        <v>107.82</v>
      </c>
      <c r="E2144" s="4">
        <v>398405</v>
      </c>
      <c r="F2144" s="2" t="s">
        <v>2</v>
      </c>
      <c r="G2144" s="2" t="str">
        <f t="shared" si="111"/>
        <v>https://www.oreht.ru/modules.php?name=orehtPriceLS&amp;op=Search&amp;page=1&amp;stext=398405</v>
      </c>
      <c r="I2144">
        <v>398405</v>
      </c>
      <c r="J2144" t="s">
        <v>2</v>
      </c>
      <c r="K2144" t="s">
        <v>334</v>
      </c>
      <c r="L2144" t="s">
        <v>335</v>
      </c>
      <c r="M2144" t="s">
        <v>318</v>
      </c>
    </row>
    <row r="2145" spans="1:13" hidden="1" x14ac:dyDescent="0.25">
      <c r="A2145" s="24">
        <f t="shared" si="112"/>
        <v>20</v>
      </c>
      <c r="B2145" s="24">
        <v>9</v>
      </c>
      <c r="C2145" s="24">
        <v>107.82</v>
      </c>
      <c r="E2145" s="4">
        <v>446761</v>
      </c>
      <c r="F2145" s="2" t="s">
        <v>2</v>
      </c>
      <c r="G2145" s="2" t="str">
        <f t="shared" si="111"/>
        <v>https://www.oreht.ru/modules.php?name=orehtPriceLS&amp;op=Search&amp;page=1&amp;stext=446761</v>
      </c>
      <c r="I2145">
        <v>446761</v>
      </c>
      <c r="J2145" t="s">
        <v>2</v>
      </c>
      <c r="K2145" t="s">
        <v>336</v>
      </c>
      <c r="L2145" t="s">
        <v>337</v>
      </c>
      <c r="M2145" t="s">
        <v>318</v>
      </c>
    </row>
    <row r="2146" spans="1:13" hidden="1" x14ac:dyDescent="0.25">
      <c r="A2146" s="24">
        <f t="shared" si="112"/>
        <v>20</v>
      </c>
      <c r="B2146" s="24">
        <v>9</v>
      </c>
      <c r="C2146" s="24">
        <v>109.14</v>
      </c>
      <c r="E2146" s="4">
        <v>255909</v>
      </c>
      <c r="F2146" s="2" t="s">
        <v>2</v>
      </c>
      <c r="G2146" s="2" t="str">
        <f t="shared" si="111"/>
        <v>https://www.oreht.ru/modules.php?name=orehtPriceLS&amp;op=Search&amp;page=1&amp;stext=255909</v>
      </c>
      <c r="I2146">
        <v>255909</v>
      </c>
      <c r="J2146" t="s">
        <v>2</v>
      </c>
      <c r="K2146" t="s">
        <v>338</v>
      </c>
      <c r="L2146" t="s">
        <v>339</v>
      </c>
      <c r="M2146" t="s">
        <v>340</v>
      </c>
    </row>
    <row r="2147" spans="1:13" hidden="1" x14ac:dyDescent="0.25">
      <c r="A2147" s="24">
        <f t="shared" si="112"/>
        <v>20</v>
      </c>
      <c r="B2147" s="24">
        <v>9</v>
      </c>
      <c r="C2147" s="24">
        <v>109.92</v>
      </c>
      <c r="E2147" s="4">
        <v>399656</v>
      </c>
      <c r="F2147" s="2" t="s">
        <v>2</v>
      </c>
      <c r="G2147" s="2" t="str">
        <f t="shared" si="111"/>
        <v>https://www.oreht.ru/modules.php?name=orehtPriceLS&amp;op=Search&amp;page=1&amp;stext=399656</v>
      </c>
      <c r="I2147">
        <v>399656</v>
      </c>
      <c r="J2147" t="s">
        <v>2</v>
      </c>
      <c r="K2147" t="s">
        <v>341</v>
      </c>
      <c r="L2147" t="s">
        <v>342</v>
      </c>
      <c r="M2147" t="s">
        <v>343</v>
      </c>
    </row>
    <row r="2148" spans="1:13" hidden="1" x14ac:dyDescent="0.25">
      <c r="A2148" s="24">
        <f t="shared" si="112"/>
        <v>20</v>
      </c>
      <c r="B2148" s="24">
        <v>9</v>
      </c>
      <c r="C2148" s="24">
        <v>109.26</v>
      </c>
      <c r="E2148" s="4">
        <v>241161</v>
      </c>
      <c r="F2148" s="2" t="s">
        <v>2</v>
      </c>
      <c r="G2148" s="2" t="str">
        <f t="shared" si="111"/>
        <v>https://www.oreht.ru/modules.php?name=orehtPriceLS&amp;op=Search&amp;page=1&amp;stext=241161</v>
      </c>
      <c r="I2148">
        <v>241161</v>
      </c>
      <c r="J2148" t="s">
        <v>2</v>
      </c>
      <c r="K2148" t="s">
        <v>344</v>
      </c>
      <c r="L2148" t="s">
        <v>345</v>
      </c>
      <c r="M2148" t="s">
        <v>343</v>
      </c>
    </row>
    <row r="2149" spans="1:13" hidden="1" x14ac:dyDescent="0.25">
      <c r="A2149" s="24">
        <f t="shared" si="112"/>
        <v>20</v>
      </c>
      <c r="B2149" s="24">
        <v>9</v>
      </c>
      <c r="C2149" s="24">
        <v>90.6</v>
      </c>
      <c r="E2149" s="4">
        <v>449277</v>
      </c>
      <c r="F2149" s="2" t="s">
        <v>2</v>
      </c>
      <c r="G2149" s="2" t="str">
        <f t="shared" si="111"/>
        <v>https://www.oreht.ru/modules.php?name=orehtPriceLS&amp;op=Search&amp;page=1&amp;stext=449277</v>
      </c>
      <c r="I2149">
        <v>449277</v>
      </c>
      <c r="J2149" t="s">
        <v>2</v>
      </c>
      <c r="K2149" t="s">
        <v>346</v>
      </c>
      <c r="L2149" t="s">
        <v>347</v>
      </c>
      <c r="M2149" t="s">
        <v>348</v>
      </c>
    </row>
    <row r="2150" spans="1:13" hidden="1" x14ac:dyDescent="0.25">
      <c r="A2150" s="24">
        <f t="shared" si="112"/>
        <v>20</v>
      </c>
      <c r="B2150" s="24">
        <v>9</v>
      </c>
      <c r="C2150" s="24">
        <v>110.34</v>
      </c>
      <c r="E2150" s="4">
        <v>124897</v>
      </c>
      <c r="F2150" s="2" t="s">
        <v>2</v>
      </c>
      <c r="G2150" s="2" t="str">
        <f t="shared" si="111"/>
        <v>https://www.oreht.ru/modules.php?name=orehtPriceLS&amp;op=Search&amp;page=1&amp;stext=124897</v>
      </c>
      <c r="I2150">
        <v>124897</v>
      </c>
      <c r="J2150" t="s">
        <v>2</v>
      </c>
      <c r="K2150" t="s">
        <v>349</v>
      </c>
      <c r="L2150" t="s">
        <v>350</v>
      </c>
      <c r="M2150" t="s">
        <v>351</v>
      </c>
    </row>
    <row r="2151" spans="1:13" hidden="1" x14ac:dyDescent="0.25">
      <c r="A2151" s="24">
        <f t="shared" si="112"/>
        <v>20</v>
      </c>
      <c r="B2151" s="24">
        <v>9</v>
      </c>
      <c r="C2151" s="24">
        <v>110.64</v>
      </c>
      <c r="E2151" s="4">
        <v>459379</v>
      </c>
      <c r="F2151" s="2" t="s">
        <v>2</v>
      </c>
      <c r="G2151" s="2" t="str">
        <f t="shared" si="111"/>
        <v>https://www.oreht.ru/modules.php?name=orehtPriceLS&amp;op=Search&amp;page=1&amp;stext=459379</v>
      </c>
      <c r="I2151">
        <v>459379</v>
      </c>
      <c r="J2151" t="s">
        <v>2</v>
      </c>
      <c r="K2151" t="s">
        <v>352</v>
      </c>
      <c r="L2151" t="s">
        <v>353</v>
      </c>
      <c r="M2151" t="s">
        <v>351</v>
      </c>
    </row>
    <row r="2152" spans="1:13" hidden="1" x14ac:dyDescent="0.25">
      <c r="A2152" s="24">
        <f t="shared" si="112"/>
        <v>20</v>
      </c>
      <c r="B2152" s="24">
        <v>9</v>
      </c>
      <c r="C2152" s="24">
        <v>91.4</v>
      </c>
      <c r="E2152" s="4">
        <v>275152</v>
      </c>
      <c r="F2152" s="2" t="s">
        <v>2</v>
      </c>
      <c r="G2152" s="2" t="str">
        <f t="shared" si="111"/>
        <v>https://www.oreht.ru/modules.php?name=orehtPriceLS&amp;op=Search&amp;page=1&amp;stext=275152</v>
      </c>
      <c r="I2152">
        <v>275152</v>
      </c>
      <c r="J2152" t="s">
        <v>2</v>
      </c>
      <c r="K2152" t="s">
        <v>354</v>
      </c>
      <c r="L2152" t="s">
        <v>355</v>
      </c>
      <c r="M2152" t="s">
        <v>356</v>
      </c>
    </row>
    <row r="2153" spans="1:13" hidden="1" x14ac:dyDescent="0.25">
      <c r="A2153" s="24">
        <f t="shared" si="112"/>
        <v>20</v>
      </c>
      <c r="B2153" s="24">
        <v>15</v>
      </c>
      <c r="C2153" s="24">
        <v>117.96</v>
      </c>
      <c r="E2153" s="4">
        <v>276594</v>
      </c>
      <c r="F2153" s="2" t="s">
        <v>2</v>
      </c>
      <c r="G2153" s="2" t="str">
        <f t="shared" si="111"/>
        <v>https://www.oreht.ru/modules.php?name=orehtPriceLS&amp;op=Search&amp;page=1&amp;stext=276594</v>
      </c>
      <c r="I2153">
        <v>276594</v>
      </c>
      <c r="J2153" t="s">
        <v>2</v>
      </c>
      <c r="K2153" t="s">
        <v>357</v>
      </c>
      <c r="L2153" t="s">
        <v>358</v>
      </c>
      <c r="M2153" t="s">
        <v>359</v>
      </c>
    </row>
    <row r="2154" spans="1:13" hidden="1" x14ac:dyDescent="0.25">
      <c r="A2154" s="24">
        <f t="shared" si="112"/>
        <v>20</v>
      </c>
      <c r="B2154" s="24">
        <v>10</v>
      </c>
      <c r="C2154" s="24">
        <v>110.22</v>
      </c>
      <c r="E2154" s="4">
        <v>281383</v>
      </c>
      <c r="F2154" s="2" t="s">
        <v>2</v>
      </c>
      <c r="G2154" s="2" t="str">
        <f t="shared" si="111"/>
        <v>https://www.oreht.ru/modules.php?name=orehtPriceLS&amp;op=Search&amp;page=1&amp;stext=281383</v>
      </c>
      <c r="I2154">
        <v>281383</v>
      </c>
      <c r="J2154" t="s">
        <v>2</v>
      </c>
      <c r="K2154" t="s">
        <v>360</v>
      </c>
      <c r="L2154" t="s">
        <v>361</v>
      </c>
      <c r="M2154" t="s">
        <v>362</v>
      </c>
    </row>
    <row r="2155" spans="1:13" hidden="1" x14ac:dyDescent="0.25">
      <c r="A2155" s="24">
        <f t="shared" si="112"/>
        <v>20</v>
      </c>
      <c r="B2155" s="24">
        <v>10</v>
      </c>
      <c r="C2155" s="24">
        <v>109.14</v>
      </c>
      <c r="E2155" s="4">
        <v>397079</v>
      </c>
      <c r="F2155" s="2" t="s">
        <v>2</v>
      </c>
      <c r="G2155" s="2" t="str">
        <f t="shared" si="111"/>
        <v>https://www.oreht.ru/modules.php?name=orehtPriceLS&amp;op=Search&amp;page=1&amp;stext=397079</v>
      </c>
      <c r="I2155">
        <v>397079</v>
      </c>
      <c r="J2155" t="s">
        <v>2</v>
      </c>
      <c r="K2155" t="s">
        <v>363</v>
      </c>
      <c r="L2155" t="s">
        <v>364</v>
      </c>
      <c r="M2155" t="s">
        <v>365</v>
      </c>
    </row>
    <row r="2156" spans="1:13" hidden="1" x14ac:dyDescent="0.25">
      <c r="A2156" s="24">
        <f t="shared" si="112"/>
        <v>20</v>
      </c>
      <c r="B2156" s="24">
        <v>9</v>
      </c>
      <c r="C2156" s="24">
        <v>92.2</v>
      </c>
      <c r="E2156" s="4">
        <v>286627</v>
      </c>
      <c r="F2156" s="2" t="s">
        <v>2</v>
      </c>
      <c r="G2156" s="2" t="str">
        <f t="shared" si="111"/>
        <v>https://www.oreht.ru/modules.php?name=orehtPriceLS&amp;op=Search&amp;page=1&amp;stext=286627</v>
      </c>
      <c r="I2156">
        <v>286627</v>
      </c>
      <c r="J2156" t="s">
        <v>2</v>
      </c>
      <c r="K2156" t="s">
        <v>366</v>
      </c>
      <c r="L2156" t="s">
        <v>367</v>
      </c>
      <c r="M2156" t="s">
        <v>368</v>
      </c>
    </row>
    <row r="2157" spans="1:13" hidden="1" x14ac:dyDescent="0.25">
      <c r="A2157" s="24">
        <f t="shared" si="112"/>
        <v>20</v>
      </c>
      <c r="B2157" s="24">
        <v>9</v>
      </c>
      <c r="C2157" s="24">
        <v>120</v>
      </c>
      <c r="E2157" s="4">
        <v>402859</v>
      </c>
      <c r="F2157" s="2" t="s">
        <v>2</v>
      </c>
      <c r="G2157" s="2" t="str">
        <f t="shared" si="111"/>
        <v>https://www.oreht.ru/modules.php?name=orehtPriceLS&amp;op=Search&amp;page=1&amp;stext=402859</v>
      </c>
      <c r="I2157">
        <v>402859</v>
      </c>
      <c r="J2157" t="s">
        <v>2</v>
      </c>
      <c r="K2157" t="s">
        <v>369</v>
      </c>
      <c r="L2157" t="s">
        <v>370</v>
      </c>
      <c r="M2157" t="s">
        <v>320</v>
      </c>
    </row>
    <row r="2158" spans="1:13" hidden="1" x14ac:dyDescent="0.25">
      <c r="A2158" s="24">
        <f t="shared" si="112"/>
        <v>20</v>
      </c>
      <c r="B2158" s="24">
        <v>9</v>
      </c>
      <c r="C2158" s="24">
        <v>92.5</v>
      </c>
      <c r="E2158" s="4">
        <v>176536</v>
      </c>
      <c r="F2158" s="2" t="s">
        <v>2</v>
      </c>
      <c r="G2158" s="2" t="str">
        <f t="shared" si="111"/>
        <v>https://www.oreht.ru/modules.php?name=orehtPriceLS&amp;op=Search&amp;page=1&amp;stext=176536</v>
      </c>
      <c r="I2158">
        <v>176536</v>
      </c>
      <c r="J2158" t="s">
        <v>2</v>
      </c>
      <c r="K2158" t="s">
        <v>371</v>
      </c>
      <c r="L2158" t="s">
        <v>372</v>
      </c>
      <c r="M2158" t="s">
        <v>373</v>
      </c>
    </row>
    <row r="2159" spans="1:13" hidden="1" x14ac:dyDescent="0.25">
      <c r="A2159" s="24">
        <f t="shared" si="112"/>
        <v>20</v>
      </c>
      <c r="B2159" s="24">
        <v>9</v>
      </c>
      <c r="C2159" s="24">
        <v>97.6</v>
      </c>
      <c r="E2159" s="4">
        <v>351570</v>
      </c>
      <c r="F2159" s="2" t="s">
        <v>2</v>
      </c>
      <c r="G2159" s="2" t="str">
        <f t="shared" si="111"/>
        <v>https://www.oreht.ru/modules.php?name=orehtPriceLS&amp;op=Search&amp;page=1&amp;stext=351570</v>
      </c>
      <c r="I2159">
        <v>351570</v>
      </c>
      <c r="J2159" t="s">
        <v>2</v>
      </c>
      <c r="K2159" t="s">
        <v>374</v>
      </c>
      <c r="L2159" t="s">
        <v>375</v>
      </c>
      <c r="M2159" t="s">
        <v>376</v>
      </c>
    </row>
    <row r="2160" spans="1:13" hidden="1" x14ac:dyDescent="0.25">
      <c r="A2160" s="24">
        <f t="shared" si="112"/>
        <v>20</v>
      </c>
      <c r="B2160" s="24">
        <v>9</v>
      </c>
      <c r="C2160" s="24">
        <v>112.56</v>
      </c>
      <c r="E2160" s="4">
        <v>402056</v>
      </c>
      <c r="F2160" s="2" t="s">
        <v>2</v>
      </c>
      <c r="G2160" s="2" t="str">
        <f t="shared" si="111"/>
        <v>https://www.oreht.ru/modules.php?name=orehtPriceLS&amp;op=Search&amp;page=1&amp;stext=402056</v>
      </c>
      <c r="I2160">
        <v>402056</v>
      </c>
      <c r="J2160" t="s">
        <v>2</v>
      </c>
      <c r="K2160" t="s">
        <v>377</v>
      </c>
      <c r="L2160" t="s">
        <v>378</v>
      </c>
      <c r="M2160" t="s">
        <v>379</v>
      </c>
    </row>
    <row r="2161" spans="1:13" hidden="1" x14ac:dyDescent="0.25">
      <c r="A2161" s="24">
        <f t="shared" si="112"/>
        <v>20</v>
      </c>
      <c r="B2161" s="24">
        <v>9</v>
      </c>
      <c r="C2161" s="24">
        <v>112.44</v>
      </c>
      <c r="E2161" s="4">
        <v>416061</v>
      </c>
      <c r="F2161" s="2" t="s">
        <v>2</v>
      </c>
      <c r="G2161" s="2" t="str">
        <f t="shared" si="111"/>
        <v>https://www.oreht.ru/modules.php?name=orehtPriceLS&amp;op=Search&amp;page=1&amp;stext=416061</v>
      </c>
      <c r="I2161">
        <v>416061</v>
      </c>
      <c r="J2161" t="s">
        <v>2</v>
      </c>
      <c r="K2161" t="s">
        <v>380</v>
      </c>
      <c r="L2161" t="s">
        <v>381</v>
      </c>
      <c r="M2161" t="s">
        <v>379</v>
      </c>
    </row>
    <row r="2162" spans="1:13" hidden="1" x14ac:dyDescent="0.25">
      <c r="A2162" s="24">
        <f t="shared" si="112"/>
        <v>20</v>
      </c>
      <c r="B2162" s="24">
        <v>9</v>
      </c>
      <c r="C2162" s="24">
        <v>114.78</v>
      </c>
      <c r="E2162" s="4">
        <v>393625</v>
      </c>
      <c r="F2162" s="2" t="s">
        <v>2</v>
      </c>
      <c r="G2162" s="2" t="str">
        <f t="shared" si="111"/>
        <v>https://www.oreht.ru/modules.php?name=orehtPriceLS&amp;op=Search&amp;page=1&amp;stext=393625</v>
      </c>
      <c r="I2162">
        <v>393625</v>
      </c>
      <c r="J2162" t="s">
        <v>2</v>
      </c>
      <c r="K2162" t="s">
        <v>382</v>
      </c>
      <c r="L2162" t="s">
        <v>383</v>
      </c>
      <c r="M2162" t="s">
        <v>384</v>
      </c>
    </row>
    <row r="2163" spans="1:13" hidden="1" x14ac:dyDescent="0.25">
      <c r="A2163" s="24">
        <f t="shared" si="112"/>
        <v>20</v>
      </c>
      <c r="B2163" s="24">
        <v>9</v>
      </c>
      <c r="C2163" s="24">
        <v>110.64</v>
      </c>
      <c r="E2163" s="4">
        <v>419533</v>
      </c>
      <c r="F2163" s="2" t="s">
        <v>2</v>
      </c>
      <c r="G2163" s="2" t="str">
        <f t="shared" si="111"/>
        <v>https://www.oreht.ru/modules.php?name=orehtPriceLS&amp;op=Search&amp;page=1&amp;stext=419533</v>
      </c>
      <c r="I2163">
        <v>419533</v>
      </c>
      <c r="J2163" t="s">
        <v>2</v>
      </c>
      <c r="K2163" t="s">
        <v>385</v>
      </c>
      <c r="L2163" t="s">
        <v>386</v>
      </c>
      <c r="M2163" t="s">
        <v>387</v>
      </c>
    </row>
    <row r="2164" spans="1:13" hidden="1" x14ac:dyDescent="0.25">
      <c r="A2164" s="24">
        <f t="shared" si="112"/>
        <v>20</v>
      </c>
      <c r="B2164" s="24">
        <v>9</v>
      </c>
      <c r="C2164" s="24">
        <v>113.16</v>
      </c>
      <c r="E2164" s="4">
        <v>306791</v>
      </c>
      <c r="F2164" s="2" t="s">
        <v>2</v>
      </c>
      <c r="G2164" s="2" t="str">
        <f t="shared" si="111"/>
        <v>https://www.oreht.ru/modules.php?name=orehtPriceLS&amp;op=Search&amp;page=1&amp;stext=306791</v>
      </c>
      <c r="I2164">
        <v>306791</v>
      </c>
      <c r="J2164" t="s">
        <v>2</v>
      </c>
      <c r="K2164" t="s">
        <v>388</v>
      </c>
      <c r="L2164" t="s">
        <v>389</v>
      </c>
      <c r="M2164" t="s">
        <v>390</v>
      </c>
    </row>
    <row r="2165" spans="1:13" hidden="1" x14ac:dyDescent="0.25">
      <c r="A2165" s="24">
        <f t="shared" si="112"/>
        <v>20</v>
      </c>
      <c r="B2165" s="24">
        <v>9</v>
      </c>
      <c r="C2165" s="24">
        <v>93.45</v>
      </c>
      <c r="E2165" s="4">
        <v>458850</v>
      </c>
      <c r="F2165" s="2" t="s">
        <v>2</v>
      </c>
      <c r="G2165" s="2" t="str">
        <f t="shared" si="111"/>
        <v>https://www.oreht.ru/modules.php?name=orehtPriceLS&amp;op=Search&amp;page=1&amp;stext=458850</v>
      </c>
      <c r="I2165">
        <v>458850</v>
      </c>
      <c r="J2165" t="s">
        <v>2</v>
      </c>
      <c r="K2165" t="s">
        <v>391</v>
      </c>
      <c r="L2165" t="s">
        <v>392</v>
      </c>
      <c r="M2165" t="s">
        <v>393</v>
      </c>
    </row>
    <row r="2166" spans="1:13" hidden="1" x14ac:dyDescent="0.25">
      <c r="A2166" s="24">
        <f t="shared" si="112"/>
        <v>20</v>
      </c>
      <c r="B2166" s="24">
        <v>9</v>
      </c>
      <c r="C2166" s="24">
        <v>93.45</v>
      </c>
      <c r="E2166" s="4">
        <v>458849</v>
      </c>
      <c r="F2166" s="2" t="s">
        <v>2</v>
      </c>
      <c r="G2166" s="2" t="str">
        <f t="shared" si="111"/>
        <v>https://www.oreht.ru/modules.php?name=orehtPriceLS&amp;op=Search&amp;page=1&amp;stext=458849</v>
      </c>
      <c r="I2166">
        <v>458849</v>
      </c>
      <c r="J2166" t="s">
        <v>2</v>
      </c>
      <c r="K2166" t="s">
        <v>394</v>
      </c>
      <c r="L2166" t="s">
        <v>395</v>
      </c>
      <c r="M2166" t="s">
        <v>393</v>
      </c>
    </row>
    <row r="2167" spans="1:13" hidden="1" x14ac:dyDescent="0.25">
      <c r="A2167" s="24">
        <f t="shared" si="112"/>
        <v>20</v>
      </c>
      <c r="B2167" s="24">
        <v>9</v>
      </c>
      <c r="C2167" s="24">
        <v>113.34</v>
      </c>
      <c r="E2167" s="4">
        <v>399088</v>
      </c>
      <c r="F2167" s="2" t="s">
        <v>2</v>
      </c>
      <c r="G2167" s="2" t="str">
        <f t="shared" si="111"/>
        <v>https://www.oreht.ru/modules.php?name=orehtPriceLS&amp;op=Search&amp;page=1&amp;stext=399088</v>
      </c>
      <c r="I2167">
        <v>399088</v>
      </c>
      <c r="J2167" t="s">
        <v>2</v>
      </c>
      <c r="K2167" t="s">
        <v>396</v>
      </c>
      <c r="L2167" t="s">
        <v>397</v>
      </c>
      <c r="M2167" t="s">
        <v>398</v>
      </c>
    </row>
    <row r="2168" spans="1:13" hidden="1" x14ac:dyDescent="0.25">
      <c r="A2168" s="24">
        <f t="shared" si="112"/>
        <v>20</v>
      </c>
      <c r="B2168" s="24">
        <v>10</v>
      </c>
      <c r="C2168" s="24">
        <v>112.56</v>
      </c>
      <c r="E2168" s="4">
        <v>332090</v>
      </c>
      <c r="F2168" s="2" t="s">
        <v>2</v>
      </c>
      <c r="G2168" s="2" t="str">
        <f t="shared" si="111"/>
        <v>https://www.oreht.ru/modules.php?name=orehtPriceLS&amp;op=Search&amp;page=1&amp;stext=332090</v>
      </c>
      <c r="I2168">
        <v>332090</v>
      </c>
      <c r="J2168" t="s">
        <v>2</v>
      </c>
      <c r="K2168" t="s">
        <v>399</v>
      </c>
      <c r="L2168" t="s">
        <v>400</v>
      </c>
      <c r="M2168" t="s">
        <v>401</v>
      </c>
    </row>
    <row r="2169" spans="1:13" hidden="1" x14ac:dyDescent="0.25">
      <c r="A2169" s="24">
        <f t="shared" si="112"/>
        <v>20</v>
      </c>
      <c r="B2169" s="24">
        <v>9</v>
      </c>
      <c r="C2169" s="24">
        <v>113.34</v>
      </c>
      <c r="E2169" s="4">
        <v>397398</v>
      </c>
      <c r="F2169" s="2" t="s">
        <v>2</v>
      </c>
      <c r="G2169" s="2" t="str">
        <f t="shared" si="111"/>
        <v>https://www.oreht.ru/modules.php?name=orehtPriceLS&amp;op=Search&amp;page=1&amp;stext=397398</v>
      </c>
      <c r="I2169">
        <v>397398</v>
      </c>
      <c r="J2169" t="s">
        <v>2</v>
      </c>
      <c r="K2169" t="s">
        <v>402</v>
      </c>
      <c r="L2169" t="s">
        <v>403</v>
      </c>
      <c r="M2169" t="s">
        <v>401</v>
      </c>
    </row>
    <row r="2170" spans="1:13" hidden="1" x14ac:dyDescent="0.25">
      <c r="A2170" s="24">
        <f t="shared" si="112"/>
        <v>20</v>
      </c>
      <c r="B2170" s="24">
        <v>9</v>
      </c>
      <c r="C2170" s="24">
        <v>113.82</v>
      </c>
      <c r="E2170" s="4">
        <v>399089</v>
      </c>
      <c r="F2170" s="2" t="s">
        <v>2</v>
      </c>
      <c r="G2170" s="2" t="str">
        <f t="shared" si="111"/>
        <v>https://www.oreht.ru/modules.php?name=orehtPriceLS&amp;op=Search&amp;page=1&amp;stext=399089</v>
      </c>
      <c r="I2170">
        <v>399089</v>
      </c>
      <c r="J2170" t="s">
        <v>2</v>
      </c>
      <c r="K2170" t="s">
        <v>404</v>
      </c>
      <c r="L2170" t="s">
        <v>405</v>
      </c>
      <c r="M2170" t="s">
        <v>406</v>
      </c>
    </row>
    <row r="2171" spans="1:13" x14ac:dyDescent="0.25">
      <c r="A2171" s="24">
        <f t="shared" si="112"/>
        <v>20</v>
      </c>
      <c r="B2171" s="24">
        <v>9</v>
      </c>
      <c r="C2171" s="24">
        <v>94.05</v>
      </c>
      <c r="E2171" s="4">
        <v>275786</v>
      </c>
      <c r="F2171" s="2" t="s">
        <v>2</v>
      </c>
      <c r="G2171" s="2" t="str">
        <f t="shared" si="111"/>
        <v>https://www.oreht.ru/modules.php?name=orehtPriceLS&amp;op=Search&amp;page=1&amp;stext=275786</v>
      </c>
      <c r="I2171">
        <v>275786</v>
      </c>
      <c r="J2171" t="s">
        <v>2</v>
      </c>
      <c r="K2171" t="s">
        <v>407</v>
      </c>
      <c r="L2171" t="s">
        <v>408</v>
      </c>
      <c r="M2171" t="s">
        <v>649</v>
      </c>
    </row>
    <row r="2172" spans="1:13" hidden="1" x14ac:dyDescent="0.25">
      <c r="A2172" s="24">
        <f t="shared" si="112"/>
        <v>20</v>
      </c>
      <c r="B2172" s="24">
        <v>9</v>
      </c>
      <c r="C2172" s="24">
        <v>114.3</v>
      </c>
      <c r="E2172" s="4">
        <v>375687</v>
      </c>
      <c r="F2172" s="2" t="s">
        <v>2</v>
      </c>
      <c r="G2172" s="2" t="str">
        <f t="shared" si="111"/>
        <v>https://www.oreht.ru/modules.php?name=orehtPriceLS&amp;op=Search&amp;page=1&amp;stext=375687</v>
      </c>
      <c r="I2172">
        <v>375687</v>
      </c>
      <c r="J2172" t="s">
        <v>2</v>
      </c>
      <c r="K2172" t="s">
        <v>409</v>
      </c>
      <c r="L2172" t="s">
        <v>410</v>
      </c>
      <c r="M2172" t="s">
        <v>411</v>
      </c>
    </row>
    <row r="2173" spans="1:13" hidden="1" x14ac:dyDescent="0.25">
      <c r="A2173" s="24">
        <f t="shared" si="112"/>
        <v>20</v>
      </c>
      <c r="B2173" s="24">
        <v>9</v>
      </c>
      <c r="C2173" s="24">
        <v>113.52</v>
      </c>
      <c r="E2173" s="4">
        <v>460248</v>
      </c>
      <c r="F2173" s="2" t="s">
        <v>2</v>
      </c>
      <c r="G2173" s="2" t="str">
        <f t="shared" si="111"/>
        <v>https://www.oreht.ru/modules.php?name=orehtPriceLS&amp;op=Search&amp;page=1&amp;stext=460248</v>
      </c>
      <c r="I2173">
        <v>460248</v>
      </c>
      <c r="J2173" t="s">
        <v>2</v>
      </c>
      <c r="K2173" t="s">
        <v>412</v>
      </c>
      <c r="L2173" t="s">
        <v>413</v>
      </c>
      <c r="M2173" t="s">
        <v>411</v>
      </c>
    </row>
    <row r="2174" spans="1:13" hidden="1" x14ac:dyDescent="0.25">
      <c r="A2174" s="24">
        <f t="shared" si="112"/>
        <v>20</v>
      </c>
      <c r="B2174" s="24">
        <v>9</v>
      </c>
      <c r="C2174" s="24">
        <v>94.2</v>
      </c>
      <c r="E2174" s="4">
        <v>383826</v>
      </c>
      <c r="F2174" s="2" t="s">
        <v>2</v>
      </c>
      <c r="G2174" s="2" t="str">
        <f t="shared" si="111"/>
        <v>https://www.oreht.ru/modules.php?name=orehtPriceLS&amp;op=Search&amp;page=1&amp;stext=383826</v>
      </c>
      <c r="I2174">
        <v>383826</v>
      </c>
      <c r="J2174" t="s">
        <v>2</v>
      </c>
      <c r="K2174" t="s">
        <v>414</v>
      </c>
      <c r="L2174" t="s">
        <v>415</v>
      </c>
      <c r="M2174" t="s">
        <v>416</v>
      </c>
    </row>
    <row r="2175" spans="1:13" hidden="1" x14ac:dyDescent="0.25">
      <c r="A2175" s="24">
        <f t="shared" si="112"/>
        <v>20</v>
      </c>
      <c r="B2175" s="24">
        <v>15</v>
      </c>
      <c r="C2175" s="24">
        <v>121.14</v>
      </c>
      <c r="E2175" s="4">
        <v>124951</v>
      </c>
      <c r="F2175" s="2" t="s">
        <v>2</v>
      </c>
      <c r="G2175" s="2" t="str">
        <f t="shared" si="111"/>
        <v>https://www.oreht.ru/modules.php?name=orehtPriceLS&amp;op=Search&amp;page=1&amp;stext=124951</v>
      </c>
      <c r="I2175">
        <v>124951</v>
      </c>
      <c r="J2175" t="s">
        <v>2</v>
      </c>
      <c r="K2175" t="s">
        <v>417</v>
      </c>
      <c r="L2175" t="s">
        <v>418</v>
      </c>
      <c r="M2175" t="s">
        <v>419</v>
      </c>
    </row>
    <row r="2176" spans="1:13" hidden="1" x14ac:dyDescent="0.25">
      <c r="A2176" s="24">
        <f t="shared" si="112"/>
        <v>20</v>
      </c>
      <c r="B2176" s="24">
        <v>9</v>
      </c>
      <c r="C2176" s="24">
        <v>118.5</v>
      </c>
      <c r="E2176" s="4">
        <v>91823</v>
      </c>
      <c r="F2176" s="2" t="s">
        <v>2</v>
      </c>
      <c r="G2176" s="2" t="str">
        <f t="shared" si="111"/>
        <v>https://www.oreht.ru/modules.php?name=orehtPriceLS&amp;op=Search&amp;page=1&amp;stext=91823</v>
      </c>
      <c r="I2176">
        <v>91823</v>
      </c>
      <c r="J2176" t="s">
        <v>2</v>
      </c>
      <c r="K2176" t="s">
        <v>420</v>
      </c>
      <c r="L2176" t="s">
        <v>421</v>
      </c>
      <c r="M2176" t="s">
        <v>376</v>
      </c>
    </row>
    <row r="2177" spans="1:13" hidden="1" x14ac:dyDescent="0.25">
      <c r="A2177" s="24">
        <f t="shared" si="112"/>
        <v>20</v>
      </c>
      <c r="B2177" s="24">
        <v>9</v>
      </c>
      <c r="C2177" s="24">
        <v>114.6</v>
      </c>
      <c r="E2177" s="4">
        <v>224758</v>
      </c>
      <c r="F2177" s="2" t="s">
        <v>2</v>
      </c>
      <c r="G2177" s="2" t="str">
        <f t="shared" si="111"/>
        <v>https://www.oreht.ru/modules.php?name=orehtPriceLS&amp;op=Search&amp;page=1&amp;stext=224758</v>
      </c>
      <c r="I2177">
        <v>224758</v>
      </c>
      <c r="J2177" t="s">
        <v>2</v>
      </c>
      <c r="K2177" t="s">
        <v>422</v>
      </c>
      <c r="L2177" t="s">
        <v>423</v>
      </c>
      <c r="M2177" t="s">
        <v>419</v>
      </c>
    </row>
    <row r="2178" spans="1:13" hidden="1" x14ac:dyDescent="0.25">
      <c r="A2178" s="24">
        <f t="shared" si="112"/>
        <v>20</v>
      </c>
      <c r="B2178" s="24">
        <v>8</v>
      </c>
      <c r="C2178" s="24">
        <v>91.3</v>
      </c>
      <c r="E2178" s="4">
        <v>417062</v>
      </c>
      <c r="F2178" s="2" t="s">
        <v>2</v>
      </c>
      <c r="G2178" s="2" t="str">
        <f t="shared" ref="G2178:G2241" si="113">HYPERLINK(F2178&amp;E2178)</f>
        <v>https://www.oreht.ru/modules.php?name=orehtPriceLS&amp;op=Search&amp;page=1&amp;stext=417062</v>
      </c>
      <c r="I2178">
        <v>417062</v>
      </c>
      <c r="J2178" t="s">
        <v>2</v>
      </c>
      <c r="K2178" t="s">
        <v>424</v>
      </c>
      <c r="L2178" t="s">
        <v>425</v>
      </c>
      <c r="M2178" t="s">
        <v>426</v>
      </c>
    </row>
    <row r="2179" spans="1:13" hidden="1" x14ac:dyDescent="0.25">
      <c r="A2179" s="24">
        <f t="shared" si="112"/>
        <v>20</v>
      </c>
      <c r="B2179" s="24">
        <v>9</v>
      </c>
      <c r="C2179" s="24">
        <v>114.06</v>
      </c>
      <c r="E2179" s="4">
        <v>450111</v>
      </c>
      <c r="F2179" s="2" t="s">
        <v>2</v>
      </c>
      <c r="G2179" s="2" t="str">
        <f t="shared" si="113"/>
        <v>https://www.oreht.ru/modules.php?name=orehtPriceLS&amp;op=Search&amp;page=1&amp;stext=450111</v>
      </c>
      <c r="I2179">
        <v>450111</v>
      </c>
      <c r="J2179" t="s">
        <v>2</v>
      </c>
      <c r="K2179" t="s">
        <v>427</v>
      </c>
      <c r="L2179" t="s">
        <v>428</v>
      </c>
      <c r="M2179" t="s">
        <v>429</v>
      </c>
    </row>
    <row r="2180" spans="1:13" hidden="1" x14ac:dyDescent="0.25">
      <c r="A2180" s="24">
        <f t="shared" si="112"/>
        <v>20</v>
      </c>
      <c r="B2180" s="24">
        <v>9</v>
      </c>
      <c r="C2180" s="24">
        <v>114.3</v>
      </c>
      <c r="E2180" s="4">
        <v>335100</v>
      </c>
      <c r="F2180" s="2" t="s">
        <v>2</v>
      </c>
      <c r="G2180" s="2" t="str">
        <f t="shared" si="113"/>
        <v>https://www.oreht.ru/modules.php?name=orehtPriceLS&amp;op=Search&amp;page=1&amp;stext=335100</v>
      </c>
      <c r="I2180">
        <v>335100</v>
      </c>
      <c r="J2180" t="s">
        <v>2</v>
      </c>
      <c r="K2180" t="s">
        <v>430</v>
      </c>
      <c r="L2180" t="s">
        <v>431</v>
      </c>
      <c r="M2180" t="s">
        <v>432</v>
      </c>
    </row>
    <row r="2181" spans="1:13" hidden="1" x14ac:dyDescent="0.25">
      <c r="A2181" s="24">
        <f t="shared" ref="A2181:A2244" si="114">IF(W2181*0.05&gt;=250,250,IF(W2181*0.05&gt;=20,IF(W2181*0.05&lt;20,20,W2181*0.05),20))</f>
        <v>20</v>
      </c>
      <c r="B2181" s="24">
        <v>9</v>
      </c>
      <c r="C2181" s="24">
        <v>94.75</v>
      </c>
      <c r="E2181" s="4">
        <v>450283</v>
      </c>
      <c r="F2181" s="2" t="s">
        <v>2</v>
      </c>
      <c r="G2181" s="2" t="str">
        <f t="shared" si="113"/>
        <v>https://www.oreht.ru/modules.php?name=orehtPriceLS&amp;op=Search&amp;page=1&amp;stext=450283</v>
      </c>
      <c r="I2181">
        <v>450283</v>
      </c>
      <c r="J2181" t="s">
        <v>2</v>
      </c>
      <c r="K2181" t="s">
        <v>433</v>
      </c>
      <c r="L2181" t="s">
        <v>434</v>
      </c>
      <c r="M2181" t="s">
        <v>435</v>
      </c>
    </row>
    <row r="2182" spans="1:13" hidden="1" x14ac:dyDescent="0.25">
      <c r="A2182" s="24">
        <f t="shared" si="114"/>
        <v>20</v>
      </c>
      <c r="B2182" s="24">
        <v>9</v>
      </c>
      <c r="C2182" s="24">
        <v>94.85</v>
      </c>
      <c r="E2182" s="4">
        <v>384113</v>
      </c>
      <c r="F2182" s="2" t="s">
        <v>2</v>
      </c>
      <c r="G2182" s="2" t="str">
        <f t="shared" si="113"/>
        <v>https://www.oreht.ru/modules.php?name=orehtPriceLS&amp;op=Search&amp;page=1&amp;stext=384113</v>
      </c>
      <c r="I2182">
        <v>384113</v>
      </c>
      <c r="J2182" t="s">
        <v>2</v>
      </c>
      <c r="K2182" t="s">
        <v>436</v>
      </c>
      <c r="L2182" t="s">
        <v>437</v>
      </c>
      <c r="M2182" t="s">
        <v>438</v>
      </c>
    </row>
    <row r="2183" spans="1:13" hidden="1" x14ac:dyDescent="0.25">
      <c r="A2183" s="24">
        <f t="shared" si="114"/>
        <v>20</v>
      </c>
      <c r="B2183" s="24">
        <v>9</v>
      </c>
      <c r="C2183" s="24">
        <v>114.9</v>
      </c>
      <c r="E2183" s="4">
        <v>146064</v>
      </c>
      <c r="F2183" s="2" t="s">
        <v>2</v>
      </c>
      <c r="G2183" s="2" t="str">
        <f t="shared" si="113"/>
        <v>https://www.oreht.ru/modules.php?name=orehtPriceLS&amp;op=Search&amp;page=1&amp;stext=146064</v>
      </c>
      <c r="I2183">
        <v>146064</v>
      </c>
      <c r="J2183" t="s">
        <v>2</v>
      </c>
      <c r="K2183" t="s">
        <v>439</v>
      </c>
      <c r="L2183" t="s">
        <v>440</v>
      </c>
      <c r="M2183" t="s">
        <v>438</v>
      </c>
    </row>
    <row r="2184" spans="1:13" x14ac:dyDescent="0.25">
      <c r="A2184" s="24">
        <f t="shared" si="114"/>
        <v>20</v>
      </c>
      <c r="B2184" s="24">
        <v>15</v>
      </c>
      <c r="C2184" s="24">
        <v>130.86000000000001</v>
      </c>
      <c r="E2184" s="4">
        <v>360118</v>
      </c>
      <c r="F2184" s="2" t="s">
        <v>2</v>
      </c>
      <c r="G2184" s="2" t="str">
        <f t="shared" si="113"/>
        <v>https://www.oreht.ru/modules.php?name=orehtPriceLS&amp;op=Search&amp;page=1&amp;stext=360118</v>
      </c>
      <c r="I2184">
        <v>360118</v>
      </c>
      <c r="J2184" t="s">
        <v>2</v>
      </c>
      <c r="K2184" t="s">
        <v>441</v>
      </c>
      <c r="L2184" t="s">
        <v>442</v>
      </c>
      <c r="M2184" t="s">
        <v>649</v>
      </c>
    </row>
    <row r="2185" spans="1:13" hidden="1" x14ac:dyDescent="0.25">
      <c r="A2185" s="24">
        <f t="shared" si="114"/>
        <v>20</v>
      </c>
      <c r="B2185" s="24">
        <v>15</v>
      </c>
      <c r="C2185" s="24">
        <v>121.98</v>
      </c>
      <c r="E2185" s="4">
        <v>377851</v>
      </c>
      <c r="F2185" s="2" t="s">
        <v>2</v>
      </c>
      <c r="G2185" s="2" t="str">
        <f t="shared" si="113"/>
        <v>https://www.oreht.ru/modules.php?name=orehtPriceLS&amp;op=Search&amp;page=1&amp;stext=377851</v>
      </c>
      <c r="I2185">
        <v>377851</v>
      </c>
      <c r="J2185" t="s">
        <v>2</v>
      </c>
      <c r="K2185" t="s">
        <v>443</v>
      </c>
      <c r="L2185" t="s">
        <v>444</v>
      </c>
      <c r="M2185" t="s">
        <v>445</v>
      </c>
    </row>
    <row r="2186" spans="1:13" hidden="1" x14ac:dyDescent="0.25">
      <c r="A2186" s="24">
        <f t="shared" si="114"/>
        <v>20</v>
      </c>
      <c r="B2186" s="24">
        <v>9</v>
      </c>
      <c r="C2186" s="24">
        <v>115.14</v>
      </c>
      <c r="E2186" s="4">
        <v>433210</v>
      </c>
      <c r="F2186" s="2" t="s">
        <v>2</v>
      </c>
      <c r="G2186" s="2" t="str">
        <f t="shared" si="113"/>
        <v>https://www.oreht.ru/modules.php?name=orehtPriceLS&amp;op=Search&amp;page=1&amp;stext=433210</v>
      </c>
      <c r="I2186">
        <v>433210</v>
      </c>
      <c r="J2186" t="s">
        <v>2</v>
      </c>
      <c r="K2186" t="s">
        <v>446</v>
      </c>
      <c r="L2186" t="s">
        <v>447</v>
      </c>
      <c r="M2186" t="s">
        <v>448</v>
      </c>
    </row>
    <row r="2187" spans="1:13" hidden="1" x14ac:dyDescent="0.25">
      <c r="A2187" s="24">
        <f t="shared" si="114"/>
        <v>20</v>
      </c>
      <c r="B2187" s="24">
        <v>9</v>
      </c>
      <c r="C2187" s="24">
        <v>113.4</v>
      </c>
      <c r="E2187" s="4">
        <v>449206</v>
      </c>
      <c r="F2187" s="2" t="s">
        <v>2</v>
      </c>
      <c r="G2187" s="2" t="str">
        <f t="shared" si="113"/>
        <v>https://www.oreht.ru/modules.php?name=orehtPriceLS&amp;op=Search&amp;page=1&amp;stext=449206</v>
      </c>
      <c r="I2187">
        <v>449206</v>
      </c>
      <c r="J2187" t="s">
        <v>2</v>
      </c>
      <c r="K2187" t="s">
        <v>449</v>
      </c>
      <c r="L2187" t="s">
        <v>450</v>
      </c>
      <c r="M2187" t="s">
        <v>451</v>
      </c>
    </row>
    <row r="2188" spans="1:13" hidden="1" x14ac:dyDescent="0.25">
      <c r="A2188" s="24">
        <f t="shared" si="114"/>
        <v>20</v>
      </c>
      <c r="B2188" s="24">
        <v>9</v>
      </c>
      <c r="C2188" s="24">
        <v>115.8</v>
      </c>
      <c r="E2188" s="4">
        <v>432785</v>
      </c>
      <c r="F2188" s="2" t="s">
        <v>2</v>
      </c>
      <c r="G2188" s="2" t="str">
        <f t="shared" si="113"/>
        <v>https://www.oreht.ru/modules.php?name=orehtPriceLS&amp;op=Search&amp;page=1&amp;stext=432785</v>
      </c>
      <c r="I2188">
        <v>432785</v>
      </c>
      <c r="J2188" t="s">
        <v>2</v>
      </c>
      <c r="K2188" t="s">
        <v>452</v>
      </c>
      <c r="L2188" t="s">
        <v>453</v>
      </c>
      <c r="M2188" t="s">
        <v>454</v>
      </c>
    </row>
    <row r="2189" spans="1:13" hidden="1" x14ac:dyDescent="0.25">
      <c r="A2189" s="24">
        <f t="shared" si="114"/>
        <v>20</v>
      </c>
      <c r="B2189" s="24">
        <v>10</v>
      </c>
      <c r="C2189" s="24">
        <v>112.2</v>
      </c>
      <c r="E2189" s="4">
        <v>397090</v>
      </c>
      <c r="F2189" s="2" t="s">
        <v>2</v>
      </c>
      <c r="G2189" s="2" t="str">
        <f t="shared" si="113"/>
        <v>https://www.oreht.ru/modules.php?name=orehtPriceLS&amp;op=Search&amp;page=1&amp;stext=397090</v>
      </c>
      <c r="I2189">
        <v>397090</v>
      </c>
      <c r="J2189" t="s">
        <v>2</v>
      </c>
      <c r="K2189" t="s">
        <v>455</v>
      </c>
      <c r="L2189" t="s">
        <v>456</v>
      </c>
      <c r="M2189" t="s">
        <v>457</v>
      </c>
    </row>
    <row r="2190" spans="1:13" hidden="1" x14ac:dyDescent="0.25">
      <c r="A2190" s="24">
        <f t="shared" si="114"/>
        <v>20</v>
      </c>
      <c r="B2190" s="24">
        <v>15</v>
      </c>
      <c r="C2190" s="24">
        <v>101.65</v>
      </c>
      <c r="E2190" s="4">
        <v>457086</v>
      </c>
      <c r="F2190" s="2" t="s">
        <v>2</v>
      </c>
      <c r="G2190" s="2" t="str">
        <f t="shared" si="113"/>
        <v>https://www.oreht.ru/modules.php?name=orehtPriceLS&amp;op=Search&amp;page=1&amp;stext=457086</v>
      </c>
      <c r="I2190">
        <v>457086</v>
      </c>
      <c r="J2190" t="s">
        <v>2</v>
      </c>
      <c r="K2190" t="s">
        <v>458</v>
      </c>
      <c r="L2190" t="s">
        <v>459</v>
      </c>
      <c r="M2190" t="s">
        <v>460</v>
      </c>
    </row>
    <row r="2191" spans="1:13" hidden="1" x14ac:dyDescent="0.25">
      <c r="A2191" s="24">
        <f t="shared" si="114"/>
        <v>20</v>
      </c>
      <c r="B2191" s="24">
        <v>9</v>
      </c>
      <c r="C2191" s="24">
        <v>117.48</v>
      </c>
      <c r="E2191" s="4">
        <v>241158</v>
      </c>
      <c r="F2191" s="2" t="s">
        <v>2</v>
      </c>
      <c r="G2191" s="2" t="str">
        <f t="shared" si="113"/>
        <v>https://www.oreht.ru/modules.php?name=orehtPriceLS&amp;op=Search&amp;page=1&amp;stext=241158</v>
      </c>
      <c r="I2191">
        <v>241158</v>
      </c>
      <c r="J2191" t="s">
        <v>2</v>
      </c>
      <c r="K2191" t="s">
        <v>461</v>
      </c>
      <c r="L2191" t="s">
        <v>462</v>
      </c>
      <c r="M2191" t="s">
        <v>463</v>
      </c>
    </row>
    <row r="2192" spans="1:13" hidden="1" x14ac:dyDescent="0.25">
      <c r="A2192" s="24">
        <f t="shared" si="114"/>
        <v>20</v>
      </c>
      <c r="B2192" s="24">
        <v>9</v>
      </c>
      <c r="C2192" s="24">
        <v>116.28</v>
      </c>
      <c r="E2192" s="4">
        <v>400224</v>
      </c>
      <c r="F2192" s="2" t="s">
        <v>2</v>
      </c>
      <c r="G2192" s="2" t="str">
        <f t="shared" si="113"/>
        <v>https://www.oreht.ru/modules.php?name=orehtPriceLS&amp;op=Search&amp;page=1&amp;stext=400224</v>
      </c>
      <c r="I2192">
        <v>400224</v>
      </c>
      <c r="J2192" t="s">
        <v>2</v>
      </c>
      <c r="K2192" t="s">
        <v>464</v>
      </c>
      <c r="L2192" t="s">
        <v>465</v>
      </c>
      <c r="M2192" t="s">
        <v>466</v>
      </c>
    </row>
    <row r="2193" spans="1:13" hidden="1" x14ac:dyDescent="0.25">
      <c r="A2193" s="24">
        <f t="shared" si="114"/>
        <v>20</v>
      </c>
      <c r="B2193" s="24">
        <v>9</v>
      </c>
      <c r="C2193" s="24">
        <v>116.4</v>
      </c>
      <c r="E2193" s="4">
        <v>235152</v>
      </c>
      <c r="F2193" s="2" t="s">
        <v>2</v>
      </c>
      <c r="G2193" s="2" t="str">
        <f t="shared" si="113"/>
        <v>https://www.oreht.ru/modules.php?name=orehtPriceLS&amp;op=Search&amp;page=1&amp;stext=235152</v>
      </c>
      <c r="I2193">
        <v>235152</v>
      </c>
      <c r="J2193" t="s">
        <v>2</v>
      </c>
      <c r="K2193" t="s">
        <v>467</v>
      </c>
      <c r="L2193" t="s">
        <v>468</v>
      </c>
      <c r="M2193" t="s">
        <v>469</v>
      </c>
    </row>
    <row r="2194" spans="1:13" hidden="1" x14ac:dyDescent="0.25">
      <c r="A2194" s="24">
        <f t="shared" si="114"/>
        <v>20</v>
      </c>
      <c r="B2194" s="24">
        <v>9</v>
      </c>
      <c r="C2194" s="24">
        <v>116.76</v>
      </c>
      <c r="E2194" s="4">
        <v>241162</v>
      </c>
      <c r="F2194" s="2" t="s">
        <v>2</v>
      </c>
      <c r="G2194" s="2" t="str">
        <f t="shared" si="113"/>
        <v>https://www.oreht.ru/modules.php?name=orehtPriceLS&amp;op=Search&amp;page=1&amp;stext=241162</v>
      </c>
      <c r="I2194">
        <v>241162</v>
      </c>
      <c r="J2194" t="s">
        <v>2</v>
      </c>
      <c r="K2194" t="s">
        <v>470</v>
      </c>
      <c r="L2194" t="s">
        <v>471</v>
      </c>
      <c r="M2194" t="s">
        <v>472</v>
      </c>
    </row>
    <row r="2195" spans="1:13" hidden="1" x14ac:dyDescent="0.25">
      <c r="A2195" s="24">
        <f t="shared" si="114"/>
        <v>20</v>
      </c>
      <c r="B2195" s="24">
        <v>9</v>
      </c>
      <c r="C2195" s="24">
        <v>117.66</v>
      </c>
      <c r="E2195" s="4">
        <v>333752</v>
      </c>
      <c r="F2195" s="2" t="s">
        <v>2</v>
      </c>
      <c r="G2195" s="2" t="str">
        <f t="shared" si="113"/>
        <v>https://www.oreht.ru/modules.php?name=orehtPriceLS&amp;op=Search&amp;page=1&amp;stext=333752</v>
      </c>
      <c r="I2195">
        <v>333752</v>
      </c>
      <c r="J2195" t="s">
        <v>2</v>
      </c>
      <c r="K2195" t="s">
        <v>473</v>
      </c>
      <c r="L2195" t="s">
        <v>474</v>
      </c>
      <c r="M2195" t="s">
        <v>475</v>
      </c>
    </row>
    <row r="2196" spans="1:13" hidden="1" x14ac:dyDescent="0.25">
      <c r="A2196" s="24">
        <f t="shared" si="114"/>
        <v>20</v>
      </c>
      <c r="B2196" s="24">
        <v>9</v>
      </c>
      <c r="C2196" s="24">
        <v>117.6</v>
      </c>
      <c r="E2196" s="4">
        <v>452499</v>
      </c>
      <c r="F2196" s="2" t="s">
        <v>2</v>
      </c>
      <c r="G2196" s="2" t="str">
        <f t="shared" si="113"/>
        <v>https://www.oreht.ru/modules.php?name=orehtPriceLS&amp;op=Search&amp;page=1&amp;stext=452499</v>
      </c>
      <c r="I2196">
        <v>452499</v>
      </c>
      <c r="J2196" t="s">
        <v>2</v>
      </c>
      <c r="K2196" t="s">
        <v>476</v>
      </c>
      <c r="L2196" t="s">
        <v>477</v>
      </c>
      <c r="M2196" t="s">
        <v>475</v>
      </c>
    </row>
    <row r="2197" spans="1:13" hidden="1" x14ac:dyDescent="0.25">
      <c r="A2197" s="24">
        <f t="shared" si="114"/>
        <v>20</v>
      </c>
      <c r="B2197" s="24">
        <v>8</v>
      </c>
      <c r="C2197" s="24">
        <v>94.1</v>
      </c>
      <c r="E2197" s="4">
        <v>310860</v>
      </c>
      <c r="F2197" s="2" t="s">
        <v>2</v>
      </c>
      <c r="G2197" s="2" t="str">
        <f t="shared" si="113"/>
        <v>https://www.oreht.ru/modules.php?name=orehtPriceLS&amp;op=Search&amp;page=1&amp;stext=310860</v>
      </c>
      <c r="I2197">
        <v>310860</v>
      </c>
      <c r="J2197" t="s">
        <v>2</v>
      </c>
      <c r="K2197" t="s">
        <v>478</v>
      </c>
      <c r="L2197" t="s">
        <v>479</v>
      </c>
      <c r="M2197" t="s">
        <v>480</v>
      </c>
    </row>
    <row r="2198" spans="1:13" hidden="1" x14ac:dyDescent="0.25">
      <c r="A2198" s="24">
        <f t="shared" si="114"/>
        <v>20</v>
      </c>
      <c r="B2198" s="24">
        <v>9</v>
      </c>
      <c r="C2198" s="24">
        <v>118.8</v>
      </c>
      <c r="E2198" s="4">
        <v>389709</v>
      </c>
      <c r="F2198" s="2" t="s">
        <v>2</v>
      </c>
      <c r="G2198" s="2" t="str">
        <f t="shared" si="113"/>
        <v>https://www.oreht.ru/modules.php?name=orehtPriceLS&amp;op=Search&amp;page=1&amp;stext=389709</v>
      </c>
      <c r="I2198">
        <v>389709</v>
      </c>
      <c r="J2198" t="s">
        <v>2</v>
      </c>
      <c r="K2198" t="s">
        <v>481</v>
      </c>
      <c r="L2198" t="s">
        <v>482</v>
      </c>
      <c r="M2198" t="s">
        <v>480</v>
      </c>
    </row>
    <row r="2199" spans="1:13" hidden="1" x14ac:dyDescent="0.25">
      <c r="A2199" s="24">
        <f t="shared" si="114"/>
        <v>20</v>
      </c>
      <c r="B2199" s="24">
        <v>6</v>
      </c>
      <c r="C2199" s="24">
        <v>90.35</v>
      </c>
      <c r="E2199" s="4">
        <v>320218</v>
      </c>
      <c r="F2199" s="2" t="s">
        <v>2</v>
      </c>
      <c r="G2199" s="2" t="str">
        <f t="shared" si="113"/>
        <v>https://www.oreht.ru/modules.php?name=orehtPriceLS&amp;op=Search&amp;page=1&amp;stext=320218</v>
      </c>
      <c r="I2199">
        <v>320218</v>
      </c>
      <c r="J2199" t="s">
        <v>2</v>
      </c>
      <c r="K2199" t="s">
        <v>483</v>
      </c>
      <c r="L2199" t="s">
        <v>484</v>
      </c>
      <c r="M2199" t="s">
        <v>485</v>
      </c>
    </row>
    <row r="2200" spans="1:13" hidden="1" x14ac:dyDescent="0.25">
      <c r="A2200" s="24">
        <f t="shared" si="114"/>
        <v>20</v>
      </c>
      <c r="B2200" s="24">
        <v>9</v>
      </c>
      <c r="C2200" s="24">
        <v>97.65</v>
      </c>
      <c r="E2200" s="4">
        <v>456881</v>
      </c>
      <c r="F2200" s="2" t="s">
        <v>2</v>
      </c>
      <c r="G2200" s="2" t="str">
        <f t="shared" si="113"/>
        <v>https://www.oreht.ru/modules.php?name=orehtPriceLS&amp;op=Search&amp;page=1&amp;stext=456881</v>
      </c>
      <c r="I2200">
        <v>456881</v>
      </c>
      <c r="J2200" t="s">
        <v>2</v>
      </c>
      <c r="K2200" t="s">
        <v>486</v>
      </c>
      <c r="L2200" t="s">
        <v>487</v>
      </c>
      <c r="M2200" t="s">
        <v>488</v>
      </c>
    </row>
    <row r="2201" spans="1:13" hidden="1" x14ac:dyDescent="0.25">
      <c r="A2201" s="24">
        <f t="shared" si="114"/>
        <v>20</v>
      </c>
      <c r="B2201" s="24">
        <v>9</v>
      </c>
      <c r="C2201" s="24">
        <v>97.65</v>
      </c>
      <c r="E2201" s="4">
        <v>456882</v>
      </c>
      <c r="F2201" s="2" t="s">
        <v>2</v>
      </c>
      <c r="G2201" s="2" t="str">
        <f t="shared" si="113"/>
        <v>https://www.oreht.ru/modules.php?name=orehtPriceLS&amp;op=Search&amp;page=1&amp;stext=456882</v>
      </c>
      <c r="I2201">
        <v>456882</v>
      </c>
      <c r="J2201" t="s">
        <v>2</v>
      </c>
      <c r="K2201" t="s">
        <v>489</v>
      </c>
      <c r="L2201" t="s">
        <v>490</v>
      </c>
      <c r="M2201" t="s">
        <v>488</v>
      </c>
    </row>
    <row r="2202" spans="1:13" hidden="1" x14ac:dyDescent="0.25">
      <c r="A2202" s="24">
        <f t="shared" si="114"/>
        <v>20</v>
      </c>
      <c r="B2202" s="24">
        <v>9</v>
      </c>
      <c r="C2202" s="24">
        <v>118.56</v>
      </c>
      <c r="E2202" s="4">
        <v>268662</v>
      </c>
      <c r="F2202" s="2" t="s">
        <v>2</v>
      </c>
      <c r="G2202" s="2" t="str">
        <f t="shared" si="113"/>
        <v>https://www.oreht.ru/modules.php?name=orehtPriceLS&amp;op=Search&amp;page=1&amp;stext=268662</v>
      </c>
      <c r="I2202">
        <v>268662</v>
      </c>
      <c r="J2202" t="s">
        <v>2</v>
      </c>
      <c r="K2202" t="s">
        <v>491</v>
      </c>
      <c r="L2202" t="s">
        <v>492</v>
      </c>
      <c r="M2202" t="s">
        <v>488</v>
      </c>
    </row>
    <row r="2203" spans="1:13" hidden="1" x14ac:dyDescent="0.25">
      <c r="A2203" s="24">
        <f t="shared" si="114"/>
        <v>20</v>
      </c>
      <c r="B2203" s="24">
        <v>9</v>
      </c>
      <c r="C2203" s="24">
        <v>118.74</v>
      </c>
      <c r="E2203" s="4">
        <v>268659</v>
      </c>
      <c r="F2203" s="2" t="s">
        <v>2</v>
      </c>
      <c r="G2203" s="2" t="str">
        <f t="shared" si="113"/>
        <v>https://www.oreht.ru/modules.php?name=orehtPriceLS&amp;op=Search&amp;page=1&amp;stext=268659</v>
      </c>
      <c r="I2203">
        <v>268659</v>
      </c>
      <c r="J2203" t="s">
        <v>2</v>
      </c>
      <c r="K2203" t="s">
        <v>493</v>
      </c>
      <c r="L2203" t="s">
        <v>494</v>
      </c>
      <c r="M2203" t="s">
        <v>495</v>
      </c>
    </row>
    <row r="2204" spans="1:13" hidden="1" x14ac:dyDescent="0.25">
      <c r="A2204" s="24">
        <f t="shared" si="114"/>
        <v>20</v>
      </c>
      <c r="B2204" s="24">
        <v>9</v>
      </c>
      <c r="C2204" s="24">
        <v>119.22</v>
      </c>
      <c r="E2204" s="4">
        <v>268660</v>
      </c>
      <c r="F2204" s="2" t="s">
        <v>2</v>
      </c>
      <c r="G2204" s="2" t="str">
        <f t="shared" si="113"/>
        <v>https://www.oreht.ru/modules.php?name=orehtPriceLS&amp;op=Search&amp;page=1&amp;stext=268660</v>
      </c>
      <c r="I2204">
        <v>268660</v>
      </c>
      <c r="J2204" t="s">
        <v>2</v>
      </c>
      <c r="K2204" t="s">
        <v>496</v>
      </c>
      <c r="L2204" t="s">
        <v>497</v>
      </c>
      <c r="M2204" t="s">
        <v>498</v>
      </c>
    </row>
    <row r="2205" spans="1:13" hidden="1" x14ac:dyDescent="0.25">
      <c r="A2205" s="24">
        <f t="shared" si="114"/>
        <v>20</v>
      </c>
      <c r="B2205" s="24">
        <v>8</v>
      </c>
      <c r="C2205" s="24">
        <v>94.75</v>
      </c>
      <c r="E2205" s="4">
        <v>240419</v>
      </c>
      <c r="F2205" s="2" t="s">
        <v>2</v>
      </c>
      <c r="G2205" s="2" t="str">
        <f t="shared" si="113"/>
        <v>https://www.oreht.ru/modules.php?name=orehtPriceLS&amp;op=Search&amp;page=1&amp;stext=240419</v>
      </c>
      <c r="I2205">
        <v>240419</v>
      </c>
      <c r="J2205" t="s">
        <v>2</v>
      </c>
      <c r="K2205" t="s">
        <v>499</v>
      </c>
      <c r="L2205" t="s">
        <v>500</v>
      </c>
      <c r="M2205" t="s">
        <v>501</v>
      </c>
    </row>
    <row r="2206" spans="1:13" hidden="1" x14ac:dyDescent="0.25">
      <c r="A2206" s="24">
        <f t="shared" si="114"/>
        <v>20</v>
      </c>
      <c r="B2206" s="24">
        <v>8</v>
      </c>
      <c r="C2206" s="24">
        <v>94.05</v>
      </c>
      <c r="E2206" s="4">
        <v>452004</v>
      </c>
      <c r="F2206" s="2" t="s">
        <v>2</v>
      </c>
      <c r="G2206" s="2" t="str">
        <f t="shared" si="113"/>
        <v>https://www.oreht.ru/modules.php?name=orehtPriceLS&amp;op=Search&amp;page=1&amp;stext=452004</v>
      </c>
      <c r="I2206">
        <v>452004</v>
      </c>
      <c r="J2206" t="s">
        <v>2</v>
      </c>
      <c r="K2206" t="s">
        <v>502</v>
      </c>
      <c r="L2206" t="s">
        <v>503</v>
      </c>
      <c r="M2206" t="s">
        <v>504</v>
      </c>
    </row>
    <row r="2207" spans="1:13" hidden="1" x14ac:dyDescent="0.25">
      <c r="A2207" s="24">
        <f t="shared" si="114"/>
        <v>20</v>
      </c>
      <c r="B2207" s="24">
        <v>9</v>
      </c>
      <c r="C2207" s="24">
        <v>118.56</v>
      </c>
      <c r="E2207" s="4">
        <v>449267</v>
      </c>
      <c r="F2207" s="2" t="s">
        <v>2</v>
      </c>
      <c r="G2207" s="2" t="str">
        <f t="shared" si="113"/>
        <v>https://www.oreht.ru/modules.php?name=orehtPriceLS&amp;op=Search&amp;page=1&amp;stext=449267</v>
      </c>
      <c r="I2207">
        <v>449267</v>
      </c>
      <c r="J2207" t="s">
        <v>2</v>
      </c>
      <c r="K2207" t="s">
        <v>505</v>
      </c>
      <c r="L2207" t="s">
        <v>506</v>
      </c>
      <c r="M2207" t="s">
        <v>504</v>
      </c>
    </row>
    <row r="2208" spans="1:13" hidden="1" x14ac:dyDescent="0.25">
      <c r="A2208" s="24">
        <f t="shared" si="114"/>
        <v>20</v>
      </c>
      <c r="B2208" s="24">
        <v>9</v>
      </c>
      <c r="C2208" s="24">
        <v>119.22</v>
      </c>
      <c r="E2208" s="4">
        <v>448468</v>
      </c>
      <c r="F2208" s="2" t="s">
        <v>2</v>
      </c>
      <c r="G2208" s="2" t="str">
        <f t="shared" si="113"/>
        <v>https://www.oreht.ru/modules.php?name=orehtPriceLS&amp;op=Search&amp;page=1&amp;stext=448468</v>
      </c>
      <c r="I2208">
        <v>448468</v>
      </c>
      <c r="J2208" t="s">
        <v>2</v>
      </c>
      <c r="K2208" t="s">
        <v>507</v>
      </c>
      <c r="L2208" t="s">
        <v>508</v>
      </c>
      <c r="M2208" t="s">
        <v>504</v>
      </c>
    </row>
    <row r="2209" spans="1:13" x14ac:dyDescent="0.25">
      <c r="A2209" s="24">
        <f t="shared" si="114"/>
        <v>20</v>
      </c>
      <c r="B2209" s="24">
        <v>15</v>
      </c>
      <c r="C2209" s="24">
        <v>126.54</v>
      </c>
      <c r="E2209" s="4">
        <v>360113</v>
      </c>
      <c r="F2209" s="2" t="s">
        <v>2</v>
      </c>
      <c r="G2209" s="2" t="str">
        <f t="shared" si="113"/>
        <v>https://www.oreht.ru/modules.php?name=orehtPriceLS&amp;op=Search&amp;page=1&amp;stext=360113</v>
      </c>
      <c r="I2209">
        <v>360113</v>
      </c>
      <c r="J2209" t="s">
        <v>2</v>
      </c>
      <c r="K2209" t="s">
        <v>509</v>
      </c>
      <c r="L2209" t="s">
        <v>510</v>
      </c>
      <c r="M2209" t="s">
        <v>649</v>
      </c>
    </row>
    <row r="2210" spans="1:13" hidden="1" x14ac:dyDescent="0.25">
      <c r="A2210" s="24">
        <f t="shared" si="114"/>
        <v>20</v>
      </c>
      <c r="B2210" s="24">
        <v>9</v>
      </c>
      <c r="C2210" s="24">
        <v>119.52</v>
      </c>
      <c r="E2210" s="4">
        <v>314857</v>
      </c>
      <c r="F2210" s="2" t="s">
        <v>2</v>
      </c>
      <c r="G2210" s="2" t="str">
        <f t="shared" si="113"/>
        <v>https://www.oreht.ru/modules.php?name=orehtPriceLS&amp;op=Search&amp;page=1&amp;stext=314857</v>
      </c>
      <c r="I2210">
        <v>314857</v>
      </c>
      <c r="J2210" t="s">
        <v>2</v>
      </c>
      <c r="K2210" t="s">
        <v>511</v>
      </c>
      <c r="L2210" t="s">
        <v>512</v>
      </c>
      <c r="M2210" t="s">
        <v>513</v>
      </c>
    </row>
    <row r="2211" spans="1:13" hidden="1" x14ac:dyDescent="0.25">
      <c r="A2211" s="24">
        <f t="shared" si="114"/>
        <v>20</v>
      </c>
      <c r="B2211" s="24">
        <v>9</v>
      </c>
      <c r="C2211" s="24">
        <v>119.58</v>
      </c>
      <c r="E2211" s="4">
        <v>314858</v>
      </c>
      <c r="F2211" s="2" t="s">
        <v>2</v>
      </c>
      <c r="G2211" s="2" t="str">
        <f t="shared" si="113"/>
        <v>https://www.oreht.ru/modules.php?name=orehtPriceLS&amp;op=Search&amp;page=1&amp;stext=314858</v>
      </c>
      <c r="I2211">
        <v>314858</v>
      </c>
      <c r="J2211" t="s">
        <v>2</v>
      </c>
      <c r="K2211" t="s">
        <v>514</v>
      </c>
      <c r="L2211" t="s">
        <v>515</v>
      </c>
      <c r="M2211" t="s">
        <v>513</v>
      </c>
    </row>
    <row r="2212" spans="1:13" x14ac:dyDescent="0.25">
      <c r="A2212" s="24">
        <f t="shared" si="114"/>
        <v>20</v>
      </c>
      <c r="B2212" s="24">
        <v>9</v>
      </c>
      <c r="C2212" s="24">
        <v>125.76</v>
      </c>
      <c r="E2212" s="4">
        <v>314859</v>
      </c>
      <c r="F2212" s="2" t="s">
        <v>2</v>
      </c>
      <c r="G2212" s="2" t="str">
        <f t="shared" si="113"/>
        <v>https://www.oreht.ru/modules.php?name=orehtPriceLS&amp;op=Search&amp;page=1&amp;stext=314859</v>
      </c>
      <c r="I2212">
        <v>314859</v>
      </c>
      <c r="J2212" t="s">
        <v>2</v>
      </c>
      <c r="K2212" t="s">
        <v>516</v>
      </c>
      <c r="L2212" t="s">
        <v>517</v>
      </c>
      <c r="M2212" t="s">
        <v>649</v>
      </c>
    </row>
    <row r="2213" spans="1:13" hidden="1" x14ac:dyDescent="0.25">
      <c r="A2213" s="24">
        <f t="shared" si="114"/>
        <v>20</v>
      </c>
      <c r="B2213" s="24">
        <v>9</v>
      </c>
      <c r="C2213" s="24">
        <v>137.52000000000001</v>
      </c>
      <c r="E2213" s="4">
        <v>314860</v>
      </c>
      <c r="F2213" s="2" t="s">
        <v>2</v>
      </c>
      <c r="G2213" s="2" t="str">
        <f t="shared" si="113"/>
        <v>https://www.oreht.ru/modules.php?name=orehtPriceLS&amp;op=Search&amp;page=1&amp;stext=314860</v>
      </c>
      <c r="I2213">
        <v>314860</v>
      </c>
      <c r="J2213" t="s">
        <v>2</v>
      </c>
      <c r="K2213" t="s">
        <v>518</v>
      </c>
      <c r="L2213" t="s">
        <v>519</v>
      </c>
      <c r="M2213" t="s">
        <v>513</v>
      </c>
    </row>
    <row r="2214" spans="1:13" hidden="1" x14ac:dyDescent="0.25">
      <c r="A2214" s="24">
        <f t="shared" si="114"/>
        <v>20</v>
      </c>
      <c r="B2214" s="24">
        <v>9</v>
      </c>
      <c r="C2214" s="24">
        <v>117.9</v>
      </c>
      <c r="E2214" s="4">
        <v>185400</v>
      </c>
      <c r="F2214" s="2" t="s">
        <v>2</v>
      </c>
      <c r="G2214" s="2" t="str">
        <f t="shared" si="113"/>
        <v>https://www.oreht.ru/modules.php?name=orehtPriceLS&amp;op=Search&amp;page=1&amp;stext=185400</v>
      </c>
      <c r="I2214">
        <v>185400</v>
      </c>
      <c r="J2214" t="s">
        <v>2</v>
      </c>
      <c r="K2214" t="s">
        <v>520</v>
      </c>
      <c r="L2214" t="s">
        <v>521</v>
      </c>
      <c r="M2214" t="s">
        <v>522</v>
      </c>
    </row>
    <row r="2215" spans="1:13" hidden="1" x14ac:dyDescent="0.25">
      <c r="A2215" s="24">
        <f t="shared" si="114"/>
        <v>20</v>
      </c>
      <c r="B2215" s="24">
        <v>9</v>
      </c>
      <c r="C2215" s="24">
        <v>120.42</v>
      </c>
      <c r="E2215" s="4">
        <v>402032</v>
      </c>
      <c r="F2215" s="2" t="s">
        <v>2</v>
      </c>
      <c r="G2215" s="2" t="str">
        <f t="shared" si="113"/>
        <v>https://www.oreht.ru/modules.php?name=orehtPriceLS&amp;op=Search&amp;page=1&amp;stext=402032</v>
      </c>
      <c r="I2215">
        <v>402032</v>
      </c>
      <c r="J2215" t="s">
        <v>2</v>
      </c>
      <c r="K2215" t="s">
        <v>523</v>
      </c>
      <c r="L2215" t="s">
        <v>524</v>
      </c>
      <c r="M2215" t="s">
        <v>522</v>
      </c>
    </row>
    <row r="2216" spans="1:13" hidden="1" x14ac:dyDescent="0.25">
      <c r="A2216" s="24">
        <f t="shared" si="114"/>
        <v>20</v>
      </c>
      <c r="B2216" s="24">
        <v>9</v>
      </c>
      <c r="C2216" s="24">
        <v>98.7</v>
      </c>
      <c r="E2216" s="4">
        <v>181654</v>
      </c>
      <c r="F2216" s="2" t="s">
        <v>2</v>
      </c>
      <c r="G2216" s="2" t="str">
        <f t="shared" si="113"/>
        <v>https://www.oreht.ru/modules.php?name=orehtPriceLS&amp;op=Search&amp;page=1&amp;stext=181654</v>
      </c>
      <c r="I2216">
        <v>181654</v>
      </c>
      <c r="J2216" t="s">
        <v>2</v>
      </c>
      <c r="K2216" t="s">
        <v>525</v>
      </c>
      <c r="L2216" t="s">
        <v>526</v>
      </c>
      <c r="M2216" t="s">
        <v>527</v>
      </c>
    </row>
    <row r="2217" spans="1:13" hidden="1" x14ac:dyDescent="0.25">
      <c r="A2217" s="24">
        <f t="shared" si="114"/>
        <v>20</v>
      </c>
      <c r="B2217" s="24">
        <v>15</v>
      </c>
      <c r="C2217" s="24">
        <v>127.08</v>
      </c>
      <c r="E2217" s="4">
        <v>384400</v>
      </c>
      <c r="F2217" s="2" t="s">
        <v>2</v>
      </c>
      <c r="G2217" s="2" t="str">
        <f t="shared" si="113"/>
        <v>https://www.oreht.ru/modules.php?name=orehtPriceLS&amp;op=Search&amp;page=1&amp;stext=384400</v>
      </c>
      <c r="I2217">
        <v>384400</v>
      </c>
      <c r="J2217" t="s">
        <v>2</v>
      </c>
      <c r="K2217" t="s">
        <v>528</v>
      </c>
      <c r="L2217" t="s">
        <v>529</v>
      </c>
      <c r="M2217" t="s">
        <v>530</v>
      </c>
    </row>
    <row r="2218" spans="1:13" hidden="1" x14ac:dyDescent="0.25">
      <c r="A2218" s="24">
        <f t="shared" si="114"/>
        <v>20</v>
      </c>
      <c r="B2218" s="24">
        <v>9</v>
      </c>
      <c r="C2218" s="24">
        <v>99.45</v>
      </c>
      <c r="E2218" s="4">
        <v>397399</v>
      </c>
      <c r="F2218" s="2" t="s">
        <v>2</v>
      </c>
      <c r="G2218" s="2" t="str">
        <f t="shared" si="113"/>
        <v>https://www.oreht.ru/modules.php?name=orehtPriceLS&amp;op=Search&amp;page=1&amp;stext=397399</v>
      </c>
      <c r="I2218">
        <v>397399</v>
      </c>
      <c r="J2218" t="s">
        <v>2</v>
      </c>
      <c r="K2218" t="s">
        <v>531</v>
      </c>
      <c r="L2218" t="s">
        <v>532</v>
      </c>
      <c r="M2218" t="s">
        <v>533</v>
      </c>
    </row>
    <row r="2219" spans="1:13" hidden="1" x14ac:dyDescent="0.25">
      <c r="A2219" s="24">
        <f t="shared" si="114"/>
        <v>20</v>
      </c>
      <c r="B2219" s="24">
        <v>9</v>
      </c>
      <c r="C2219" s="24">
        <v>119.76</v>
      </c>
      <c r="E2219" s="4">
        <v>419188</v>
      </c>
      <c r="F2219" s="2" t="s">
        <v>2</v>
      </c>
      <c r="G2219" s="2" t="str">
        <f t="shared" si="113"/>
        <v>https://www.oreht.ru/modules.php?name=orehtPriceLS&amp;op=Search&amp;page=1&amp;stext=419188</v>
      </c>
      <c r="I2219">
        <v>419188</v>
      </c>
      <c r="J2219" t="s">
        <v>2</v>
      </c>
      <c r="K2219" t="s">
        <v>534</v>
      </c>
      <c r="L2219" t="s">
        <v>535</v>
      </c>
      <c r="M2219" t="s">
        <v>536</v>
      </c>
    </row>
    <row r="2220" spans="1:13" hidden="1" x14ac:dyDescent="0.25">
      <c r="A2220" s="24">
        <f t="shared" si="114"/>
        <v>20</v>
      </c>
      <c r="B2220" s="24">
        <v>9</v>
      </c>
      <c r="C2220" s="24">
        <v>119.64</v>
      </c>
      <c r="E2220" s="4">
        <v>435313</v>
      </c>
      <c r="F2220" s="2" t="s">
        <v>2</v>
      </c>
      <c r="G2220" s="2" t="str">
        <f t="shared" si="113"/>
        <v>https://www.oreht.ru/modules.php?name=orehtPriceLS&amp;op=Search&amp;page=1&amp;stext=435313</v>
      </c>
      <c r="I2220">
        <v>435313</v>
      </c>
      <c r="J2220" t="s">
        <v>2</v>
      </c>
      <c r="K2220" t="s">
        <v>537</v>
      </c>
      <c r="L2220" t="s">
        <v>538</v>
      </c>
      <c r="M2220" t="s">
        <v>536</v>
      </c>
    </row>
    <row r="2221" spans="1:13" hidden="1" x14ac:dyDescent="0.25">
      <c r="A2221" s="24">
        <f t="shared" si="114"/>
        <v>20</v>
      </c>
      <c r="B2221" s="24">
        <v>9</v>
      </c>
      <c r="C2221" s="24">
        <v>120.24</v>
      </c>
      <c r="E2221" s="4">
        <v>419534</v>
      </c>
      <c r="F2221" s="2" t="s">
        <v>2</v>
      </c>
      <c r="G2221" s="2" t="str">
        <f t="shared" si="113"/>
        <v>https://www.oreht.ru/modules.php?name=orehtPriceLS&amp;op=Search&amp;page=1&amp;stext=419534</v>
      </c>
      <c r="I2221">
        <v>419534</v>
      </c>
      <c r="J2221" t="s">
        <v>2</v>
      </c>
      <c r="K2221" t="s">
        <v>539</v>
      </c>
      <c r="L2221" t="s">
        <v>540</v>
      </c>
      <c r="M2221" t="s">
        <v>541</v>
      </c>
    </row>
    <row r="2222" spans="1:13" hidden="1" x14ac:dyDescent="0.25">
      <c r="A2222" s="24">
        <f t="shared" si="114"/>
        <v>20</v>
      </c>
      <c r="B2222" s="24">
        <v>9</v>
      </c>
      <c r="C2222" s="24">
        <v>99.35</v>
      </c>
      <c r="E2222" s="4">
        <v>400226</v>
      </c>
      <c r="F2222" s="2" t="s">
        <v>2</v>
      </c>
      <c r="G2222" s="2" t="str">
        <f t="shared" si="113"/>
        <v>https://www.oreht.ru/modules.php?name=orehtPriceLS&amp;op=Search&amp;page=1&amp;stext=400226</v>
      </c>
      <c r="I2222">
        <v>400226</v>
      </c>
      <c r="J2222" t="s">
        <v>2</v>
      </c>
      <c r="K2222" t="s">
        <v>542</v>
      </c>
      <c r="L2222" t="s">
        <v>543</v>
      </c>
      <c r="M2222" t="s">
        <v>541</v>
      </c>
    </row>
    <row r="2223" spans="1:13" hidden="1" x14ac:dyDescent="0.25">
      <c r="A2223" s="24">
        <f t="shared" si="114"/>
        <v>20</v>
      </c>
      <c r="B2223" s="24">
        <v>9</v>
      </c>
      <c r="C2223" s="24">
        <v>119.88</v>
      </c>
      <c r="E2223" s="4">
        <v>307078</v>
      </c>
      <c r="F2223" s="2" t="s">
        <v>2</v>
      </c>
      <c r="G2223" s="2" t="str">
        <f t="shared" si="113"/>
        <v>https://www.oreht.ru/modules.php?name=orehtPriceLS&amp;op=Search&amp;page=1&amp;stext=307078</v>
      </c>
      <c r="I2223">
        <v>307078</v>
      </c>
      <c r="J2223" t="s">
        <v>2</v>
      </c>
      <c r="K2223" t="s">
        <v>544</v>
      </c>
      <c r="L2223" t="s">
        <v>545</v>
      </c>
      <c r="M2223" t="s">
        <v>541</v>
      </c>
    </row>
    <row r="2224" spans="1:13" hidden="1" x14ac:dyDescent="0.25">
      <c r="A2224" s="24">
        <f t="shared" si="114"/>
        <v>20</v>
      </c>
      <c r="B2224" s="24">
        <v>15</v>
      </c>
      <c r="C2224" s="24">
        <v>128.58000000000001</v>
      </c>
      <c r="E2224" s="4">
        <v>286724</v>
      </c>
      <c r="F2224" s="2" t="s">
        <v>2</v>
      </c>
      <c r="G2224" s="2" t="str">
        <f t="shared" si="113"/>
        <v>https://www.oreht.ru/modules.php?name=orehtPriceLS&amp;op=Search&amp;page=1&amp;stext=286724</v>
      </c>
      <c r="I2224">
        <v>286724</v>
      </c>
      <c r="J2224" t="s">
        <v>2</v>
      </c>
      <c r="K2224" t="s">
        <v>546</v>
      </c>
      <c r="L2224" t="s">
        <v>547</v>
      </c>
      <c r="M2224" t="s">
        <v>533</v>
      </c>
    </row>
    <row r="2225" spans="1:13" hidden="1" x14ac:dyDescent="0.25">
      <c r="A2225" s="24">
        <f t="shared" si="114"/>
        <v>20</v>
      </c>
      <c r="B2225" s="24">
        <v>15</v>
      </c>
      <c r="C2225" s="24">
        <v>131.63999999999999</v>
      </c>
      <c r="E2225" s="4">
        <v>462604</v>
      </c>
      <c r="F2225" s="2" t="s">
        <v>2</v>
      </c>
      <c r="G2225" s="2" t="str">
        <f t="shared" si="113"/>
        <v>https://www.oreht.ru/modules.php?name=orehtPriceLS&amp;op=Search&amp;page=1&amp;stext=462604</v>
      </c>
      <c r="I2225">
        <v>462604</v>
      </c>
      <c r="J2225" t="s">
        <v>2</v>
      </c>
      <c r="K2225" t="s">
        <v>548</v>
      </c>
      <c r="L2225" t="s">
        <v>549</v>
      </c>
      <c r="M2225" t="s">
        <v>533</v>
      </c>
    </row>
    <row r="2226" spans="1:13" hidden="1" x14ac:dyDescent="0.25">
      <c r="A2226" s="24">
        <f t="shared" si="114"/>
        <v>20</v>
      </c>
      <c r="B2226" s="24">
        <v>15</v>
      </c>
      <c r="C2226" s="24">
        <v>127.56</v>
      </c>
      <c r="E2226" s="4">
        <v>124963</v>
      </c>
      <c r="F2226" s="2" t="s">
        <v>2</v>
      </c>
      <c r="G2226" s="2" t="str">
        <f t="shared" si="113"/>
        <v>https://www.oreht.ru/modules.php?name=orehtPriceLS&amp;op=Search&amp;page=1&amp;stext=124963</v>
      </c>
      <c r="I2226">
        <v>124963</v>
      </c>
      <c r="J2226" t="s">
        <v>2</v>
      </c>
      <c r="K2226" t="s">
        <v>550</v>
      </c>
      <c r="L2226" t="s">
        <v>551</v>
      </c>
      <c r="M2226" t="s">
        <v>533</v>
      </c>
    </row>
    <row r="2227" spans="1:13" hidden="1" x14ac:dyDescent="0.25">
      <c r="A2227" s="24">
        <f t="shared" si="114"/>
        <v>20</v>
      </c>
      <c r="B2227" s="24">
        <v>15</v>
      </c>
      <c r="C2227" s="24">
        <v>127.98</v>
      </c>
      <c r="E2227" s="4">
        <v>124940</v>
      </c>
      <c r="F2227" s="2" t="s">
        <v>2</v>
      </c>
      <c r="G2227" s="2" t="str">
        <f t="shared" si="113"/>
        <v>https://www.oreht.ru/modules.php?name=orehtPriceLS&amp;op=Search&amp;page=1&amp;stext=124940</v>
      </c>
      <c r="I2227">
        <v>124940</v>
      </c>
      <c r="J2227" t="s">
        <v>2</v>
      </c>
      <c r="K2227" t="s">
        <v>552</v>
      </c>
      <c r="L2227" t="s">
        <v>553</v>
      </c>
      <c r="M2227" t="s">
        <v>554</v>
      </c>
    </row>
    <row r="2228" spans="1:13" hidden="1" x14ac:dyDescent="0.25">
      <c r="A2228" s="24">
        <f t="shared" si="114"/>
        <v>20</v>
      </c>
      <c r="B2228" s="24">
        <v>9</v>
      </c>
      <c r="C2228" s="24">
        <v>120.78</v>
      </c>
      <c r="E2228" s="4">
        <v>393627</v>
      </c>
      <c r="F2228" s="2" t="s">
        <v>2</v>
      </c>
      <c r="G2228" s="2" t="str">
        <f t="shared" si="113"/>
        <v>https://www.oreht.ru/modules.php?name=orehtPriceLS&amp;op=Search&amp;page=1&amp;stext=393627</v>
      </c>
      <c r="I2228">
        <v>393627</v>
      </c>
      <c r="J2228" t="s">
        <v>2</v>
      </c>
      <c r="K2228" t="s">
        <v>555</v>
      </c>
      <c r="L2228" t="s">
        <v>556</v>
      </c>
      <c r="M2228" t="s">
        <v>554</v>
      </c>
    </row>
    <row r="2229" spans="1:13" hidden="1" x14ac:dyDescent="0.25">
      <c r="A2229" s="24">
        <f t="shared" si="114"/>
        <v>20</v>
      </c>
      <c r="B2229" s="24">
        <v>6</v>
      </c>
      <c r="C2229" s="24">
        <v>94.55</v>
      </c>
      <c r="E2229" s="4">
        <v>271262</v>
      </c>
      <c r="F2229" s="2" t="s">
        <v>2</v>
      </c>
      <c r="G2229" s="2" t="str">
        <f t="shared" si="113"/>
        <v>https://www.oreht.ru/modules.php?name=orehtPriceLS&amp;op=Search&amp;page=1&amp;stext=271262</v>
      </c>
      <c r="I2229">
        <v>271262</v>
      </c>
      <c r="J2229" t="s">
        <v>2</v>
      </c>
      <c r="K2229" t="s">
        <v>557</v>
      </c>
      <c r="L2229" t="s">
        <v>558</v>
      </c>
      <c r="M2229" t="s">
        <v>559</v>
      </c>
    </row>
    <row r="2230" spans="1:13" hidden="1" x14ac:dyDescent="0.25">
      <c r="A2230" s="24">
        <f t="shared" si="114"/>
        <v>20</v>
      </c>
      <c r="B2230" s="24">
        <v>9</v>
      </c>
      <c r="C2230" s="24">
        <v>121.62</v>
      </c>
      <c r="E2230" s="4">
        <v>241160</v>
      </c>
      <c r="F2230" s="2" t="s">
        <v>2</v>
      </c>
      <c r="G2230" s="2" t="str">
        <f t="shared" si="113"/>
        <v>https://www.oreht.ru/modules.php?name=orehtPriceLS&amp;op=Search&amp;page=1&amp;stext=241160</v>
      </c>
      <c r="I2230">
        <v>241160</v>
      </c>
      <c r="J2230" t="s">
        <v>2</v>
      </c>
      <c r="K2230" t="s">
        <v>560</v>
      </c>
      <c r="L2230" t="s">
        <v>561</v>
      </c>
      <c r="M2230" t="s">
        <v>562</v>
      </c>
    </row>
    <row r="2231" spans="1:13" hidden="1" x14ac:dyDescent="0.25">
      <c r="A2231" s="24">
        <f t="shared" si="114"/>
        <v>20</v>
      </c>
      <c r="B2231" s="24">
        <v>9</v>
      </c>
      <c r="C2231" s="24">
        <v>122.34</v>
      </c>
      <c r="E2231" s="4">
        <v>456348</v>
      </c>
      <c r="F2231" s="2" t="s">
        <v>2</v>
      </c>
      <c r="G2231" s="2" t="str">
        <f t="shared" si="113"/>
        <v>https://www.oreht.ru/modules.php?name=orehtPriceLS&amp;op=Search&amp;page=1&amp;stext=456348</v>
      </c>
      <c r="I2231">
        <v>456348</v>
      </c>
      <c r="J2231" t="s">
        <v>2</v>
      </c>
      <c r="K2231" t="s">
        <v>563</v>
      </c>
      <c r="L2231" t="s">
        <v>564</v>
      </c>
      <c r="M2231" t="s">
        <v>565</v>
      </c>
    </row>
    <row r="2232" spans="1:13" hidden="1" x14ac:dyDescent="0.25">
      <c r="A2232" s="24">
        <f t="shared" si="114"/>
        <v>20</v>
      </c>
      <c r="B2232" s="24">
        <v>9</v>
      </c>
      <c r="C2232" s="24">
        <v>121.98</v>
      </c>
      <c r="E2232" s="4">
        <v>450971</v>
      </c>
      <c r="F2232" s="2" t="s">
        <v>2</v>
      </c>
      <c r="G2232" s="2" t="str">
        <f t="shared" si="113"/>
        <v>https://www.oreht.ru/modules.php?name=orehtPriceLS&amp;op=Search&amp;page=1&amp;stext=450971</v>
      </c>
      <c r="I2232">
        <v>450971</v>
      </c>
      <c r="J2232" t="s">
        <v>2</v>
      </c>
      <c r="K2232" t="s">
        <v>566</v>
      </c>
      <c r="L2232" t="s">
        <v>567</v>
      </c>
      <c r="M2232" t="s">
        <v>568</v>
      </c>
    </row>
    <row r="2233" spans="1:13" hidden="1" x14ac:dyDescent="0.25">
      <c r="A2233" s="24">
        <f t="shared" si="114"/>
        <v>20</v>
      </c>
      <c r="B2233" s="24">
        <v>9</v>
      </c>
      <c r="C2233" s="24">
        <v>101.15</v>
      </c>
      <c r="E2233" s="4">
        <v>421015</v>
      </c>
      <c r="F2233" s="2" t="s">
        <v>2</v>
      </c>
      <c r="G2233" s="2" t="str">
        <f t="shared" si="113"/>
        <v>https://www.oreht.ru/modules.php?name=orehtPriceLS&amp;op=Search&amp;page=1&amp;stext=421015</v>
      </c>
      <c r="I2233">
        <v>421015</v>
      </c>
      <c r="J2233" t="s">
        <v>2</v>
      </c>
      <c r="K2233" t="s">
        <v>569</v>
      </c>
      <c r="L2233" t="s">
        <v>570</v>
      </c>
      <c r="M2233" t="s">
        <v>571</v>
      </c>
    </row>
    <row r="2234" spans="1:13" hidden="1" x14ac:dyDescent="0.25">
      <c r="A2234" s="24">
        <f t="shared" si="114"/>
        <v>20</v>
      </c>
      <c r="B2234" s="24">
        <v>9</v>
      </c>
      <c r="C2234" s="24">
        <v>123.78</v>
      </c>
      <c r="E2234" s="4">
        <v>271275</v>
      </c>
      <c r="F2234" s="2" t="s">
        <v>2</v>
      </c>
      <c r="G2234" s="2" t="str">
        <f t="shared" si="113"/>
        <v>https://www.oreht.ru/modules.php?name=orehtPriceLS&amp;op=Search&amp;page=1&amp;stext=271275</v>
      </c>
      <c r="I2234">
        <v>271275</v>
      </c>
      <c r="J2234" t="s">
        <v>2</v>
      </c>
      <c r="K2234" t="s">
        <v>572</v>
      </c>
      <c r="L2234" t="s">
        <v>573</v>
      </c>
      <c r="M2234" t="s">
        <v>574</v>
      </c>
    </row>
    <row r="2235" spans="1:13" hidden="1" x14ac:dyDescent="0.25">
      <c r="A2235" s="24">
        <f t="shared" si="114"/>
        <v>20</v>
      </c>
      <c r="B2235" s="24">
        <v>9</v>
      </c>
      <c r="C2235" s="24">
        <v>123.12</v>
      </c>
      <c r="E2235" s="4">
        <v>381316</v>
      </c>
      <c r="F2235" s="2" t="s">
        <v>2</v>
      </c>
      <c r="G2235" s="2" t="str">
        <f t="shared" si="113"/>
        <v>https://www.oreht.ru/modules.php?name=orehtPriceLS&amp;op=Search&amp;page=1&amp;stext=381316</v>
      </c>
      <c r="I2235">
        <v>381316</v>
      </c>
      <c r="J2235" t="s">
        <v>2</v>
      </c>
      <c r="K2235" t="s">
        <v>575</v>
      </c>
      <c r="L2235" t="s">
        <v>576</v>
      </c>
      <c r="M2235" t="s">
        <v>574</v>
      </c>
    </row>
    <row r="2236" spans="1:13" hidden="1" x14ac:dyDescent="0.25">
      <c r="A2236" s="24">
        <f t="shared" si="114"/>
        <v>20</v>
      </c>
      <c r="B2236" s="24">
        <v>9</v>
      </c>
      <c r="C2236" s="24">
        <v>123.12</v>
      </c>
      <c r="E2236" s="4">
        <v>376678</v>
      </c>
      <c r="F2236" s="2" t="s">
        <v>2</v>
      </c>
      <c r="G2236" s="2" t="str">
        <f t="shared" si="113"/>
        <v>https://www.oreht.ru/modules.php?name=orehtPriceLS&amp;op=Search&amp;page=1&amp;stext=376678</v>
      </c>
      <c r="I2236">
        <v>376678</v>
      </c>
      <c r="J2236" t="s">
        <v>2</v>
      </c>
      <c r="K2236" t="s">
        <v>577</v>
      </c>
      <c r="L2236" t="s">
        <v>578</v>
      </c>
      <c r="M2236" t="s">
        <v>574</v>
      </c>
    </row>
    <row r="2237" spans="1:13" hidden="1" x14ac:dyDescent="0.25">
      <c r="A2237" s="24">
        <f t="shared" si="114"/>
        <v>20</v>
      </c>
      <c r="B2237" s="24">
        <v>9</v>
      </c>
      <c r="C2237" s="24">
        <v>123.06</v>
      </c>
      <c r="E2237" s="4">
        <v>344024</v>
      </c>
      <c r="F2237" s="2" t="s">
        <v>2</v>
      </c>
      <c r="G2237" s="2" t="str">
        <f t="shared" si="113"/>
        <v>https://www.oreht.ru/modules.php?name=orehtPriceLS&amp;op=Search&amp;page=1&amp;stext=344024</v>
      </c>
      <c r="I2237">
        <v>344024</v>
      </c>
      <c r="J2237" t="s">
        <v>2</v>
      </c>
      <c r="K2237" t="s">
        <v>579</v>
      </c>
      <c r="L2237" t="s">
        <v>580</v>
      </c>
      <c r="M2237" t="s">
        <v>574</v>
      </c>
    </row>
    <row r="2238" spans="1:13" hidden="1" x14ac:dyDescent="0.25">
      <c r="A2238" s="24">
        <f t="shared" si="114"/>
        <v>20</v>
      </c>
      <c r="B2238" s="24">
        <v>9</v>
      </c>
      <c r="C2238" s="24">
        <v>123.12</v>
      </c>
      <c r="E2238" s="4">
        <v>344023</v>
      </c>
      <c r="F2238" s="2" t="s">
        <v>2</v>
      </c>
      <c r="G2238" s="2" t="str">
        <f t="shared" si="113"/>
        <v>https://www.oreht.ru/modules.php?name=orehtPriceLS&amp;op=Search&amp;page=1&amp;stext=344023</v>
      </c>
      <c r="I2238">
        <v>344023</v>
      </c>
      <c r="J2238" t="s">
        <v>2</v>
      </c>
      <c r="K2238" t="s">
        <v>581</v>
      </c>
      <c r="L2238" t="s">
        <v>582</v>
      </c>
      <c r="M2238" t="s">
        <v>574</v>
      </c>
    </row>
    <row r="2239" spans="1:13" hidden="1" x14ac:dyDescent="0.25">
      <c r="A2239" s="24">
        <f t="shared" si="114"/>
        <v>20</v>
      </c>
      <c r="B2239" s="24">
        <v>9</v>
      </c>
      <c r="C2239" s="24">
        <v>123.12</v>
      </c>
      <c r="E2239" s="4">
        <v>440390</v>
      </c>
      <c r="F2239" s="2" t="s">
        <v>2</v>
      </c>
      <c r="G2239" s="2" t="str">
        <f t="shared" si="113"/>
        <v>https://www.oreht.ru/modules.php?name=orehtPriceLS&amp;op=Search&amp;page=1&amp;stext=440390</v>
      </c>
      <c r="I2239">
        <v>440390</v>
      </c>
      <c r="J2239" t="s">
        <v>2</v>
      </c>
      <c r="K2239" t="s">
        <v>583</v>
      </c>
      <c r="L2239" t="s">
        <v>584</v>
      </c>
      <c r="M2239" t="s">
        <v>574</v>
      </c>
    </row>
    <row r="2240" spans="1:13" hidden="1" x14ac:dyDescent="0.25">
      <c r="A2240" s="24">
        <f t="shared" si="114"/>
        <v>20</v>
      </c>
      <c r="B2240" s="24">
        <v>9</v>
      </c>
      <c r="C2240" s="24">
        <v>101.5</v>
      </c>
      <c r="E2240" s="4">
        <v>302971</v>
      </c>
      <c r="F2240" s="2" t="s">
        <v>2</v>
      </c>
      <c r="G2240" s="2" t="str">
        <f t="shared" si="113"/>
        <v>https://www.oreht.ru/modules.php?name=orehtPriceLS&amp;op=Search&amp;page=1&amp;stext=302971</v>
      </c>
      <c r="I2240">
        <v>302971</v>
      </c>
      <c r="J2240" t="s">
        <v>2</v>
      </c>
      <c r="K2240" t="s">
        <v>585</v>
      </c>
      <c r="L2240" t="s">
        <v>586</v>
      </c>
      <c r="M2240" t="s">
        <v>587</v>
      </c>
    </row>
    <row r="2241" spans="1:13" hidden="1" x14ac:dyDescent="0.25">
      <c r="A2241" s="24">
        <f t="shared" si="114"/>
        <v>20</v>
      </c>
      <c r="B2241" s="24">
        <v>9</v>
      </c>
      <c r="C2241" s="24">
        <v>123.54</v>
      </c>
      <c r="E2241" s="4">
        <v>450555</v>
      </c>
      <c r="F2241" s="2" t="s">
        <v>2</v>
      </c>
      <c r="G2241" s="2" t="str">
        <f t="shared" si="113"/>
        <v>https://www.oreht.ru/modules.php?name=orehtPriceLS&amp;op=Search&amp;page=1&amp;stext=450555</v>
      </c>
      <c r="I2241">
        <v>450555</v>
      </c>
      <c r="J2241" t="s">
        <v>2</v>
      </c>
      <c r="K2241" t="s">
        <v>588</v>
      </c>
      <c r="L2241" t="s">
        <v>589</v>
      </c>
      <c r="M2241" t="s">
        <v>590</v>
      </c>
    </row>
    <row r="2242" spans="1:13" hidden="1" x14ac:dyDescent="0.25">
      <c r="A2242" s="24">
        <f t="shared" si="114"/>
        <v>20</v>
      </c>
      <c r="B2242" s="24">
        <v>9</v>
      </c>
      <c r="C2242" s="24">
        <v>123.6</v>
      </c>
      <c r="E2242" s="4">
        <v>452500</v>
      </c>
      <c r="F2242" s="2" t="s">
        <v>2</v>
      </c>
      <c r="G2242" s="2" t="str">
        <f t="shared" ref="G2242:G2305" si="115">HYPERLINK(F2242&amp;E2242)</f>
        <v>https://www.oreht.ru/modules.php?name=orehtPriceLS&amp;op=Search&amp;page=1&amp;stext=452500</v>
      </c>
      <c r="I2242">
        <v>452500</v>
      </c>
      <c r="J2242" t="s">
        <v>2</v>
      </c>
      <c r="K2242" t="s">
        <v>591</v>
      </c>
      <c r="L2242" t="s">
        <v>592</v>
      </c>
      <c r="M2242" t="s">
        <v>590</v>
      </c>
    </row>
    <row r="2243" spans="1:13" hidden="1" x14ac:dyDescent="0.25">
      <c r="A2243" s="24">
        <f t="shared" si="114"/>
        <v>20</v>
      </c>
      <c r="B2243" s="24">
        <v>9</v>
      </c>
      <c r="C2243" s="24">
        <v>123.3</v>
      </c>
      <c r="E2243" s="4">
        <v>450251</v>
      </c>
      <c r="F2243" s="2" t="s">
        <v>2</v>
      </c>
      <c r="G2243" s="2" t="str">
        <f t="shared" si="115"/>
        <v>https://www.oreht.ru/modules.php?name=orehtPriceLS&amp;op=Search&amp;page=1&amp;stext=450251</v>
      </c>
      <c r="I2243">
        <v>450251</v>
      </c>
      <c r="J2243" t="s">
        <v>2</v>
      </c>
      <c r="K2243" t="s">
        <v>593</v>
      </c>
      <c r="L2243" t="s">
        <v>594</v>
      </c>
      <c r="M2243" t="s">
        <v>595</v>
      </c>
    </row>
    <row r="2244" spans="1:13" hidden="1" x14ac:dyDescent="0.25">
      <c r="A2244" s="24">
        <f t="shared" si="114"/>
        <v>20</v>
      </c>
      <c r="B2244" s="24">
        <v>6</v>
      </c>
      <c r="C2244" s="24">
        <v>96.7</v>
      </c>
      <c r="E2244" s="4">
        <v>245373</v>
      </c>
      <c r="F2244" s="2" t="s">
        <v>2</v>
      </c>
      <c r="G2244" s="2" t="str">
        <f t="shared" si="115"/>
        <v>https://www.oreht.ru/modules.php?name=orehtPriceLS&amp;op=Search&amp;page=1&amp;stext=245373</v>
      </c>
      <c r="I2244">
        <v>245373</v>
      </c>
      <c r="J2244" t="s">
        <v>2</v>
      </c>
      <c r="K2244" t="s">
        <v>596</v>
      </c>
      <c r="L2244" t="s">
        <v>597</v>
      </c>
      <c r="M2244" t="s">
        <v>319</v>
      </c>
    </row>
    <row r="2245" spans="1:13" hidden="1" x14ac:dyDescent="0.25">
      <c r="A2245" s="24">
        <f t="shared" ref="A2245:A2308" si="116">IF(W2245*0.05&gt;=250,250,IF(W2245*0.05&gt;=20,IF(W2245*0.05&lt;20,20,W2245*0.05),20))</f>
        <v>20</v>
      </c>
      <c r="B2245" s="24">
        <v>9</v>
      </c>
      <c r="C2245" s="24">
        <v>102.2</v>
      </c>
      <c r="E2245" s="4">
        <v>408670</v>
      </c>
      <c r="F2245" s="2" t="s">
        <v>2</v>
      </c>
      <c r="G2245" s="2" t="str">
        <f t="shared" si="115"/>
        <v>https://www.oreht.ru/modules.php?name=orehtPriceLS&amp;op=Search&amp;page=1&amp;stext=408670</v>
      </c>
      <c r="I2245">
        <v>408670</v>
      </c>
      <c r="J2245" t="s">
        <v>2</v>
      </c>
      <c r="K2245" t="s">
        <v>598</v>
      </c>
      <c r="L2245" t="s">
        <v>599</v>
      </c>
      <c r="M2245" t="s">
        <v>319</v>
      </c>
    </row>
    <row r="2246" spans="1:13" hidden="1" x14ac:dyDescent="0.25">
      <c r="A2246" s="24">
        <f t="shared" si="116"/>
        <v>20</v>
      </c>
      <c r="B2246" s="24">
        <v>15</v>
      </c>
      <c r="C2246" s="24">
        <v>131.63999999999999</v>
      </c>
      <c r="E2246" s="4">
        <v>124933</v>
      </c>
      <c r="F2246" s="2" t="s">
        <v>2</v>
      </c>
      <c r="G2246" s="2" t="str">
        <f t="shared" si="115"/>
        <v>https://www.oreht.ru/modules.php?name=orehtPriceLS&amp;op=Search&amp;page=1&amp;stext=124933</v>
      </c>
      <c r="I2246">
        <v>124933</v>
      </c>
      <c r="J2246" t="s">
        <v>2</v>
      </c>
      <c r="K2246" t="s">
        <v>600</v>
      </c>
      <c r="L2246" t="s">
        <v>601</v>
      </c>
      <c r="M2246" t="s">
        <v>602</v>
      </c>
    </row>
    <row r="2247" spans="1:13" hidden="1" x14ac:dyDescent="0.25">
      <c r="A2247" s="24">
        <f t="shared" si="116"/>
        <v>20</v>
      </c>
      <c r="B2247" s="24">
        <v>15</v>
      </c>
      <c r="C2247" s="24">
        <v>131.63999999999999</v>
      </c>
      <c r="E2247" s="4">
        <v>271736</v>
      </c>
      <c r="F2247" s="2" t="s">
        <v>2</v>
      </c>
      <c r="G2247" s="2" t="str">
        <f t="shared" si="115"/>
        <v>https://www.oreht.ru/modules.php?name=orehtPriceLS&amp;op=Search&amp;page=1&amp;stext=271736</v>
      </c>
      <c r="I2247">
        <v>271736</v>
      </c>
      <c r="J2247" t="s">
        <v>2</v>
      </c>
      <c r="K2247" t="s">
        <v>603</v>
      </c>
      <c r="L2247" t="s">
        <v>604</v>
      </c>
      <c r="M2247" t="s">
        <v>602</v>
      </c>
    </row>
    <row r="2248" spans="1:13" x14ac:dyDescent="0.25">
      <c r="A2248" s="24">
        <f t="shared" si="116"/>
        <v>20</v>
      </c>
      <c r="B2248" s="24">
        <v>15</v>
      </c>
      <c r="C2248" s="24">
        <v>108.65</v>
      </c>
      <c r="E2248" s="4">
        <v>310272</v>
      </c>
      <c r="F2248" s="2" t="s">
        <v>2</v>
      </c>
      <c r="G2248" s="2" t="str">
        <f t="shared" si="115"/>
        <v>https://www.oreht.ru/modules.php?name=orehtPriceLS&amp;op=Search&amp;page=1&amp;stext=310272</v>
      </c>
      <c r="I2248">
        <v>310272</v>
      </c>
      <c r="J2248" t="s">
        <v>2</v>
      </c>
      <c r="K2248" t="s">
        <v>605</v>
      </c>
    </row>
    <row r="2249" spans="1:13" hidden="1" x14ac:dyDescent="0.25">
      <c r="A2249" s="24">
        <f t="shared" si="116"/>
        <v>20</v>
      </c>
      <c r="B2249" s="24">
        <v>9</v>
      </c>
      <c r="C2249" s="24">
        <v>124.38</v>
      </c>
      <c r="E2249" s="4">
        <v>445592</v>
      </c>
      <c r="F2249" s="2" t="s">
        <v>2</v>
      </c>
      <c r="G2249" s="2" t="str">
        <f t="shared" si="115"/>
        <v>https://www.oreht.ru/modules.php?name=orehtPriceLS&amp;op=Search&amp;page=1&amp;stext=445592</v>
      </c>
      <c r="I2249">
        <v>445592</v>
      </c>
      <c r="J2249" t="s">
        <v>2</v>
      </c>
      <c r="K2249" t="s">
        <v>606</v>
      </c>
      <c r="L2249" t="s">
        <v>607</v>
      </c>
      <c r="M2249" t="s">
        <v>608</v>
      </c>
    </row>
    <row r="2250" spans="1:13" hidden="1" x14ac:dyDescent="0.25">
      <c r="A2250" s="24">
        <f t="shared" si="116"/>
        <v>20</v>
      </c>
      <c r="B2250" s="24">
        <v>9</v>
      </c>
      <c r="C2250" s="24">
        <v>124.26</v>
      </c>
      <c r="E2250" s="4">
        <v>432395</v>
      </c>
      <c r="F2250" s="2" t="s">
        <v>2</v>
      </c>
      <c r="G2250" s="2" t="str">
        <f t="shared" si="115"/>
        <v>https://www.oreht.ru/modules.php?name=orehtPriceLS&amp;op=Search&amp;page=1&amp;stext=432395</v>
      </c>
      <c r="I2250">
        <v>432395</v>
      </c>
      <c r="J2250" t="s">
        <v>2</v>
      </c>
      <c r="K2250" t="s">
        <v>609</v>
      </c>
      <c r="L2250" t="s">
        <v>610</v>
      </c>
      <c r="M2250" t="s">
        <v>611</v>
      </c>
    </row>
    <row r="2251" spans="1:13" hidden="1" x14ac:dyDescent="0.25">
      <c r="A2251" s="24">
        <f t="shared" si="116"/>
        <v>20</v>
      </c>
      <c r="B2251" s="24">
        <v>9</v>
      </c>
      <c r="C2251" s="24">
        <v>124.14</v>
      </c>
      <c r="E2251" s="4">
        <v>439967</v>
      </c>
      <c r="F2251" s="2" t="s">
        <v>2</v>
      </c>
      <c r="G2251" s="2" t="str">
        <f t="shared" si="115"/>
        <v>https://www.oreht.ru/modules.php?name=orehtPriceLS&amp;op=Search&amp;page=1&amp;stext=439967</v>
      </c>
      <c r="I2251">
        <v>439967</v>
      </c>
      <c r="J2251" t="s">
        <v>2</v>
      </c>
      <c r="K2251" t="s">
        <v>612</v>
      </c>
      <c r="L2251" t="s">
        <v>613</v>
      </c>
      <c r="M2251" t="s">
        <v>611</v>
      </c>
    </row>
    <row r="2252" spans="1:13" hidden="1" x14ac:dyDescent="0.25">
      <c r="A2252" s="24">
        <f t="shared" si="116"/>
        <v>20</v>
      </c>
      <c r="B2252" s="24">
        <v>9</v>
      </c>
      <c r="C2252" s="24">
        <v>125.46</v>
      </c>
      <c r="E2252" s="4">
        <v>450737</v>
      </c>
      <c r="F2252" s="2" t="s">
        <v>2</v>
      </c>
      <c r="G2252" s="2" t="str">
        <f t="shared" si="115"/>
        <v>https://www.oreht.ru/modules.php?name=orehtPriceLS&amp;op=Search&amp;page=1&amp;stext=450737</v>
      </c>
      <c r="I2252">
        <v>450737</v>
      </c>
      <c r="J2252" t="s">
        <v>2</v>
      </c>
      <c r="K2252" t="s">
        <v>614</v>
      </c>
      <c r="L2252" t="s">
        <v>615</v>
      </c>
      <c r="M2252" t="s">
        <v>611</v>
      </c>
    </row>
    <row r="2253" spans="1:13" hidden="1" x14ac:dyDescent="0.25">
      <c r="A2253" s="24">
        <f t="shared" si="116"/>
        <v>20</v>
      </c>
      <c r="B2253" s="24">
        <v>9</v>
      </c>
      <c r="C2253" s="24">
        <v>124.14</v>
      </c>
      <c r="E2253" s="4">
        <v>450738</v>
      </c>
      <c r="F2253" s="2" t="s">
        <v>2</v>
      </c>
      <c r="G2253" s="2" t="str">
        <f t="shared" si="115"/>
        <v>https://www.oreht.ru/modules.php?name=orehtPriceLS&amp;op=Search&amp;page=1&amp;stext=450738</v>
      </c>
      <c r="I2253">
        <v>450738</v>
      </c>
      <c r="J2253" t="s">
        <v>2</v>
      </c>
      <c r="K2253" t="s">
        <v>616</v>
      </c>
      <c r="L2253" t="s">
        <v>617</v>
      </c>
      <c r="M2253" t="s">
        <v>611</v>
      </c>
    </row>
    <row r="2254" spans="1:13" hidden="1" x14ac:dyDescent="0.25">
      <c r="A2254" s="24">
        <f t="shared" si="116"/>
        <v>20</v>
      </c>
      <c r="B2254" s="24">
        <v>9</v>
      </c>
      <c r="C2254" s="24">
        <v>122.16</v>
      </c>
      <c r="E2254" s="4">
        <v>417906</v>
      </c>
      <c r="F2254" s="2" t="s">
        <v>2</v>
      </c>
      <c r="G2254" s="2" t="str">
        <f t="shared" si="115"/>
        <v>https://www.oreht.ru/modules.php?name=orehtPriceLS&amp;op=Search&amp;page=1&amp;stext=417906</v>
      </c>
      <c r="I2254">
        <v>417906</v>
      </c>
      <c r="J2254" t="s">
        <v>2</v>
      </c>
      <c r="K2254" t="s">
        <v>618</v>
      </c>
      <c r="L2254" t="s">
        <v>619</v>
      </c>
      <c r="M2254" t="s">
        <v>620</v>
      </c>
    </row>
    <row r="2255" spans="1:13" hidden="1" x14ac:dyDescent="0.25">
      <c r="A2255" s="24">
        <f t="shared" si="116"/>
        <v>20</v>
      </c>
      <c r="B2255" s="24">
        <v>9</v>
      </c>
      <c r="C2255" s="24">
        <v>125.46</v>
      </c>
      <c r="E2255" s="4">
        <v>176225</v>
      </c>
      <c r="F2255" s="2" t="s">
        <v>2</v>
      </c>
      <c r="G2255" s="2" t="str">
        <f t="shared" si="115"/>
        <v>https://www.oreht.ru/modules.php?name=orehtPriceLS&amp;op=Search&amp;page=1&amp;stext=176225</v>
      </c>
      <c r="I2255">
        <v>176225</v>
      </c>
      <c r="J2255" t="s">
        <v>2</v>
      </c>
      <c r="K2255" t="s">
        <v>621</v>
      </c>
      <c r="L2255" t="s">
        <v>622</v>
      </c>
      <c r="M2255" t="s">
        <v>623</v>
      </c>
    </row>
    <row r="2256" spans="1:13" hidden="1" x14ac:dyDescent="0.25">
      <c r="A2256" s="24">
        <f t="shared" si="116"/>
        <v>20</v>
      </c>
      <c r="B2256" s="24">
        <v>9</v>
      </c>
      <c r="C2256" s="24">
        <v>123.42</v>
      </c>
      <c r="E2256" s="4">
        <v>91014</v>
      </c>
      <c r="F2256" s="2" t="s">
        <v>2</v>
      </c>
      <c r="G2256" s="2" t="str">
        <f t="shared" si="115"/>
        <v>https://www.oreht.ru/modules.php?name=orehtPriceLS&amp;op=Search&amp;page=1&amp;stext=91014</v>
      </c>
      <c r="I2256">
        <v>91014</v>
      </c>
      <c r="J2256" t="s">
        <v>2</v>
      </c>
      <c r="K2256" t="s">
        <v>624</v>
      </c>
      <c r="L2256" t="s">
        <v>625</v>
      </c>
      <c r="M2256" t="s">
        <v>626</v>
      </c>
    </row>
    <row r="2257" spans="1:13" hidden="1" x14ac:dyDescent="0.25">
      <c r="A2257" s="24">
        <f t="shared" si="116"/>
        <v>20</v>
      </c>
      <c r="B2257" s="24">
        <v>9</v>
      </c>
      <c r="C2257" s="24">
        <v>103.9</v>
      </c>
      <c r="E2257" s="4">
        <v>135291</v>
      </c>
      <c r="F2257" s="2" t="s">
        <v>2</v>
      </c>
      <c r="G2257" s="2" t="str">
        <f t="shared" si="115"/>
        <v>https://www.oreht.ru/modules.php?name=orehtPriceLS&amp;op=Search&amp;page=1&amp;stext=135291</v>
      </c>
      <c r="I2257">
        <v>135291</v>
      </c>
      <c r="J2257" t="s">
        <v>2</v>
      </c>
      <c r="K2257" t="s">
        <v>627</v>
      </c>
      <c r="L2257" t="s">
        <v>628</v>
      </c>
      <c r="M2257" t="s">
        <v>629</v>
      </c>
    </row>
    <row r="2258" spans="1:13" hidden="1" x14ac:dyDescent="0.25">
      <c r="A2258" s="24">
        <f t="shared" si="116"/>
        <v>20</v>
      </c>
      <c r="B2258" s="24">
        <v>9</v>
      </c>
      <c r="C2258" s="24">
        <v>125.94</v>
      </c>
      <c r="E2258" s="4">
        <v>444447</v>
      </c>
      <c r="F2258" s="2" t="s">
        <v>2</v>
      </c>
      <c r="G2258" s="2" t="str">
        <f t="shared" si="115"/>
        <v>https://www.oreht.ru/modules.php?name=orehtPriceLS&amp;op=Search&amp;page=1&amp;stext=444447</v>
      </c>
      <c r="I2258">
        <v>444447</v>
      </c>
      <c r="J2258" t="s">
        <v>2</v>
      </c>
      <c r="K2258" t="s">
        <v>630</v>
      </c>
      <c r="L2258" t="s">
        <v>631</v>
      </c>
      <c r="M2258" t="s">
        <v>632</v>
      </c>
    </row>
    <row r="2259" spans="1:13" hidden="1" x14ac:dyDescent="0.25">
      <c r="A2259" s="24">
        <f t="shared" si="116"/>
        <v>20</v>
      </c>
      <c r="B2259" s="24">
        <v>9</v>
      </c>
      <c r="C2259" s="24">
        <v>104.75</v>
      </c>
      <c r="E2259" s="4">
        <v>274903</v>
      </c>
      <c r="F2259" s="2" t="s">
        <v>2</v>
      </c>
      <c r="G2259" s="2" t="str">
        <f t="shared" si="115"/>
        <v>https://www.oreht.ru/modules.php?name=orehtPriceLS&amp;op=Search&amp;page=1&amp;stext=274903</v>
      </c>
      <c r="I2259">
        <v>274903</v>
      </c>
      <c r="J2259" t="s">
        <v>2</v>
      </c>
      <c r="K2259" t="s">
        <v>633</v>
      </c>
      <c r="L2259" t="s">
        <v>634</v>
      </c>
      <c r="M2259" t="s">
        <v>635</v>
      </c>
    </row>
    <row r="2260" spans="1:13" hidden="1" x14ac:dyDescent="0.25">
      <c r="A2260" s="24">
        <f t="shared" si="116"/>
        <v>20</v>
      </c>
      <c r="B2260" s="24">
        <v>15</v>
      </c>
      <c r="C2260" s="24">
        <v>139.62</v>
      </c>
      <c r="E2260" s="4">
        <v>319064</v>
      </c>
      <c r="F2260" s="2" t="s">
        <v>2</v>
      </c>
      <c r="G2260" s="2" t="str">
        <f t="shared" si="115"/>
        <v>https://www.oreht.ru/modules.php?name=orehtPriceLS&amp;op=Search&amp;page=1&amp;stext=319064</v>
      </c>
      <c r="I2260">
        <v>319064</v>
      </c>
      <c r="J2260" t="s">
        <v>2</v>
      </c>
      <c r="K2260" t="s">
        <v>636</v>
      </c>
      <c r="L2260" t="s">
        <v>637</v>
      </c>
      <c r="M2260" t="s">
        <v>638</v>
      </c>
    </row>
    <row r="2261" spans="1:13" hidden="1" x14ac:dyDescent="0.25">
      <c r="A2261" s="24">
        <f t="shared" si="116"/>
        <v>20</v>
      </c>
      <c r="B2261" s="24">
        <v>9</v>
      </c>
      <c r="C2261" s="24">
        <v>104.9</v>
      </c>
      <c r="E2261" s="4">
        <v>389930</v>
      </c>
      <c r="F2261" s="2" t="s">
        <v>2</v>
      </c>
      <c r="G2261" s="2" t="str">
        <f t="shared" si="115"/>
        <v>https://www.oreht.ru/modules.php?name=orehtPriceLS&amp;op=Search&amp;page=1&amp;stext=389930</v>
      </c>
      <c r="I2261">
        <v>389930</v>
      </c>
      <c r="J2261" t="s">
        <v>2</v>
      </c>
      <c r="K2261" t="s">
        <v>639</v>
      </c>
      <c r="L2261" t="s">
        <v>640</v>
      </c>
      <c r="M2261" t="s">
        <v>641</v>
      </c>
    </row>
    <row r="2262" spans="1:13" hidden="1" x14ac:dyDescent="0.25">
      <c r="A2262" s="24">
        <f t="shared" si="116"/>
        <v>20</v>
      </c>
      <c r="B2262" s="24">
        <v>15</v>
      </c>
      <c r="C2262" s="24">
        <v>134.46</v>
      </c>
      <c r="E2262" s="4">
        <v>270963</v>
      </c>
      <c r="F2262" s="2" t="s">
        <v>2</v>
      </c>
      <c r="G2262" s="2" t="str">
        <f t="shared" si="115"/>
        <v>https://www.oreht.ru/modules.php?name=orehtPriceLS&amp;op=Search&amp;page=1&amp;stext=270963</v>
      </c>
      <c r="I2262">
        <v>270963</v>
      </c>
      <c r="J2262" t="s">
        <v>2</v>
      </c>
      <c r="K2262" t="s">
        <v>642</v>
      </c>
      <c r="L2262" t="s">
        <v>643</v>
      </c>
      <c r="M2262" t="s">
        <v>644</v>
      </c>
    </row>
    <row r="2263" spans="1:13" hidden="1" x14ac:dyDescent="0.25">
      <c r="A2263" s="24">
        <f t="shared" si="116"/>
        <v>20</v>
      </c>
      <c r="B2263" s="24">
        <v>15</v>
      </c>
      <c r="C2263" s="24">
        <v>135.66</v>
      </c>
      <c r="E2263" s="4">
        <v>124941</v>
      </c>
      <c r="F2263" s="2" t="s">
        <v>2</v>
      </c>
      <c r="G2263" s="2" t="str">
        <f t="shared" si="115"/>
        <v>https://www.oreht.ru/modules.php?name=orehtPriceLS&amp;op=Search&amp;page=1&amp;stext=124941</v>
      </c>
      <c r="I2263">
        <v>124941</v>
      </c>
      <c r="J2263" t="s">
        <v>2</v>
      </c>
      <c r="K2263" t="s">
        <v>645</v>
      </c>
      <c r="L2263" t="s">
        <v>646</v>
      </c>
      <c r="M2263" t="s">
        <v>644</v>
      </c>
    </row>
    <row r="2264" spans="1:13" hidden="1" x14ac:dyDescent="0.25">
      <c r="A2264" s="24">
        <f t="shared" si="116"/>
        <v>20</v>
      </c>
      <c r="B2264" s="24">
        <v>9</v>
      </c>
      <c r="C2264" s="24">
        <v>128.1</v>
      </c>
      <c r="E2264" s="4">
        <v>450736</v>
      </c>
      <c r="F2264" s="2" t="s">
        <v>2</v>
      </c>
      <c r="G2264" s="2" t="str">
        <f t="shared" si="115"/>
        <v>https://www.oreht.ru/modules.php?name=orehtPriceLS&amp;op=Search&amp;page=1&amp;stext=450736</v>
      </c>
      <c r="I2264">
        <v>450736</v>
      </c>
      <c r="J2264" t="s">
        <v>2</v>
      </c>
      <c r="K2264" t="s">
        <v>647</v>
      </c>
      <c r="L2264" t="s">
        <v>648</v>
      </c>
      <c r="M2264" t="s">
        <v>644</v>
      </c>
    </row>
    <row r="2265" spans="1:13" hidden="1" x14ac:dyDescent="0.25">
      <c r="A2265" s="24">
        <f t="shared" si="116"/>
        <v>20</v>
      </c>
      <c r="B2265" s="24">
        <v>15</v>
      </c>
      <c r="C2265" s="24">
        <v>79</v>
      </c>
      <c r="E2265" s="4">
        <v>360121</v>
      </c>
      <c r="F2265" s="2" t="s">
        <v>2</v>
      </c>
      <c r="G2265" s="2" t="str">
        <f t="shared" si="115"/>
        <v>https://www.oreht.ru/modules.php?name=orehtPriceLS&amp;op=Search&amp;page=1&amp;stext=360121</v>
      </c>
      <c r="I2265">
        <v>360121</v>
      </c>
      <c r="J2265" t="s">
        <v>2</v>
      </c>
      <c r="K2265" t="s">
        <v>5716</v>
      </c>
      <c r="L2265" t="s">
        <v>5717</v>
      </c>
      <c r="M2265" t="s">
        <v>5718</v>
      </c>
    </row>
    <row r="2266" spans="1:13" hidden="1" x14ac:dyDescent="0.25">
      <c r="A2266" s="24">
        <f t="shared" si="116"/>
        <v>20</v>
      </c>
      <c r="B2266" s="24">
        <v>9</v>
      </c>
      <c r="C2266" s="24">
        <v>50</v>
      </c>
      <c r="E2266" s="4">
        <v>397406</v>
      </c>
      <c r="F2266" s="2" t="s">
        <v>2</v>
      </c>
      <c r="G2266" s="2" t="str">
        <f t="shared" si="115"/>
        <v>https://www.oreht.ru/modules.php?name=orehtPriceLS&amp;op=Search&amp;page=1&amp;stext=397406</v>
      </c>
      <c r="I2266">
        <v>397406</v>
      </c>
      <c r="J2266" t="s">
        <v>2</v>
      </c>
      <c r="K2266" t="s">
        <v>5719</v>
      </c>
      <c r="L2266" t="s">
        <v>5720</v>
      </c>
      <c r="M2266" t="s">
        <v>5721</v>
      </c>
    </row>
    <row r="2267" spans="1:13" hidden="1" x14ac:dyDescent="0.25">
      <c r="A2267" s="24">
        <f t="shared" si="116"/>
        <v>20</v>
      </c>
      <c r="B2267" s="24">
        <v>9</v>
      </c>
      <c r="C2267" s="24">
        <v>79</v>
      </c>
      <c r="E2267" s="4">
        <v>381212</v>
      </c>
      <c r="F2267" s="2" t="s">
        <v>2</v>
      </c>
      <c r="G2267" s="2" t="str">
        <f t="shared" si="115"/>
        <v>https://www.oreht.ru/modules.php?name=orehtPriceLS&amp;op=Search&amp;page=1&amp;stext=381212</v>
      </c>
      <c r="I2267">
        <v>381212</v>
      </c>
      <c r="J2267" t="s">
        <v>2</v>
      </c>
      <c r="K2267" t="s">
        <v>5722</v>
      </c>
      <c r="L2267" t="s">
        <v>5723</v>
      </c>
      <c r="M2267" t="s">
        <v>5721</v>
      </c>
    </row>
    <row r="2268" spans="1:13" x14ac:dyDescent="0.25">
      <c r="A2268" s="24">
        <f t="shared" si="116"/>
        <v>20</v>
      </c>
      <c r="B2268" s="24">
        <v>9</v>
      </c>
      <c r="C2268" s="24">
        <v>79</v>
      </c>
      <c r="E2268" s="4">
        <v>449193</v>
      </c>
      <c r="F2268" s="2" t="s">
        <v>2</v>
      </c>
      <c r="G2268" s="2" t="str">
        <f t="shared" si="115"/>
        <v>https://www.oreht.ru/modules.php?name=orehtPriceLS&amp;op=Search&amp;page=1&amp;stext=449193</v>
      </c>
      <c r="I2268">
        <v>449193</v>
      </c>
      <c r="J2268" t="s">
        <v>2</v>
      </c>
      <c r="K2268" t="s">
        <v>5724</v>
      </c>
      <c r="L2268" t="s">
        <v>5725</v>
      </c>
      <c r="M2268" t="s">
        <v>649</v>
      </c>
    </row>
    <row r="2269" spans="1:13" hidden="1" x14ac:dyDescent="0.25">
      <c r="A2269" s="24">
        <f t="shared" si="116"/>
        <v>20</v>
      </c>
      <c r="B2269" s="24">
        <v>9</v>
      </c>
      <c r="C2269" s="24">
        <v>65</v>
      </c>
      <c r="E2269" s="4">
        <v>448469</v>
      </c>
      <c r="F2269" s="2" t="s">
        <v>2</v>
      </c>
      <c r="G2269" s="2" t="str">
        <f t="shared" si="115"/>
        <v>https://www.oreht.ru/modules.php?name=orehtPriceLS&amp;op=Search&amp;page=1&amp;stext=448469</v>
      </c>
      <c r="I2269">
        <v>448469</v>
      </c>
      <c r="J2269" t="s">
        <v>2</v>
      </c>
      <c r="K2269" t="s">
        <v>5726</v>
      </c>
      <c r="L2269" t="s">
        <v>5727</v>
      </c>
      <c r="M2269" t="s">
        <v>5721</v>
      </c>
    </row>
    <row r="2270" spans="1:13" hidden="1" x14ac:dyDescent="0.25">
      <c r="A2270" s="24">
        <f t="shared" si="116"/>
        <v>20</v>
      </c>
      <c r="B2270" s="24">
        <v>8</v>
      </c>
      <c r="C2270" s="24">
        <v>120</v>
      </c>
      <c r="E2270" s="4">
        <v>271263</v>
      </c>
      <c r="F2270" s="2" t="s">
        <v>2</v>
      </c>
      <c r="G2270" s="2" t="str">
        <f t="shared" si="115"/>
        <v>https://www.oreht.ru/modules.php?name=orehtPriceLS&amp;op=Search&amp;page=1&amp;stext=271263</v>
      </c>
      <c r="I2270">
        <v>271263</v>
      </c>
      <c r="J2270" t="s">
        <v>2</v>
      </c>
      <c r="K2270" t="s">
        <v>5728</v>
      </c>
      <c r="L2270" t="s">
        <v>5729</v>
      </c>
      <c r="M2270" t="s">
        <v>644</v>
      </c>
    </row>
    <row r="2271" spans="1:13" hidden="1" x14ac:dyDescent="0.25">
      <c r="A2271" s="24">
        <f t="shared" si="116"/>
        <v>20</v>
      </c>
      <c r="B2271" s="24">
        <v>9</v>
      </c>
      <c r="C2271" s="24">
        <v>69</v>
      </c>
      <c r="E2271" s="4">
        <v>124898</v>
      </c>
      <c r="F2271" s="2" t="s">
        <v>2</v>
      </c>
      <c r="G2271" s="2" t="str">
        <f t="shared" si="115"/>
        <v>https://www.oreht.ru/modules.php?name=orehtPriceLS&amp;op=Search&amp;page=1&amp;stext=124898</v>
      </c>
      <c r="I2271">
        <v>124898</v>
      </c>
      <c r="J2271" t="s">
        <v>2</v>
      </c>
      <c r="K2271" t="s">
        <v>5730</v>
      </c>
      <c r="L2271" t="s">
        <v>5731</v>
      </c>
      <c r="M2271" t="s">
        <v>5732</v>
      </c>
    </row>
    <row r="2272" spans="1:13" hidden="1" x14ac:dyDescent="0.25">
      <c r="A2272" s="24">
        <f t="shared" si="116"/>
        <v>20</v>
      </c>
      <c r="B2272" s="24">
        <v>9</v>
      </c>
      <c r="C2272" s="24">
        <v>79</v>
      </c>
      <c r="E2272" s="4">
        <v>273264</v>
      </c>
      <c r="F2272" s="2" t="s">
        <v>2</v>
      </c>
      <c r="G2272" s="2" t="str">
        <f t="shared" si="115"/>
        <v>https://www.oreht.ru/modules.php?name=orehtPriceLS&amp;op=Search&amp;page=1&amp;stext=273264</v>
      </c>
      <c r="I2272">
        <v>273264</v>
      </c>
      <c r="J2272" t="s">
        <v>2</v>
      </c>
      <c r="K2272" t="s">
        <v>5733</v>
      </c>
      <c r="L2272" t="s">
        <v>5734</v>
      </c>
      <c r="M2272" t="s">
        <v>5735</v>
      </c>
    </row>
    <row r="2273" spans="1:13" hidden="1" x14ac:dyDescent="0.25">
      <c r="A2273" s="24">
        <f t="shared" si="116"/>
        <v>20</v>
      </c>
      <c r="B2273" s="24">
        <v>9</v>
      </c>
      <c r="C2273" s="24">
        <v>50</v>
      </c>
      <c r="E2273" s="4">
        <v>279721</v>
      </c>
      <c r="F2273" s="2" t="s">
        <v>2</v>
      </c>
      <c r="G2273" s="2" t="str">
        <f t="shared" si="115"/>
        <v>https://www.oreht.ru/modules.php?name=orehtPriceLS&amp;op=Search&amp;page=1&amp;stext=279721</v>
      </c>
      <c r="I2273">
        <v>279721</v>
      </c>
      <c r="J2273" t="s">
        <v>2</v>
      </c>
      <c r="K2273" t="s">
        <v>5736</v>
      </c>
      <c r="L2273" t="s">
        <v>5737</v>
      </c>
      <c r="M2273" t="s">
        <v>5738</v>
      </c>
    </row>
    <row r="2274" spans="1:13" hidden="1" x14ac:dyDescent="0.25">
      <c r="A2274" s="24">
        <f t="shared" si="116"/>
        <v>20</v>
      </c>
      <c r="B2274" s="24">
        <v>9</v>
      </c>
      <c r="C2274" s="24">
        <v>50</v>
      </c>
      <c r="E2274" s="4">
        <v>273263</v>
      </c>
      <c r="F2274" s="2" t="s">
        <v>2</v>
      </c>
      <c r="G2274" s="2" t="str">
        <f t="shared" si="115"/>
        <v>https://www.oreht.ru/modules.php?name=orehtPriceLS&amp;op=Search&amp;page=1&amp;stext=273263</v>
      </c>
      <c r="I2274">
        <v>273263</v>
      </c>
      <c r="J2274" t="s">
        <v>2</v>
      </c>
      <c r="K2274" t="s">
        <v>5739</v>
      </c>
      <c r="L2274" t="s">
        <v>5740</v>
      </c>
      <c r="M2274" t="s">
        <v>5738</v>
      </c>
    </row>
    <row r="2275" spans="1:13" hidden="1" x14ac:dyDescent="0.25">
      <c r="A2275" s="24">
        <f t="shared" si="116"/>
        <v>20</v>
      </c>
      <c r="B2275" s="24">
        <v>5</v>
      </c>
      <c r="C2275" s="24">
        <v>79</v>
      </c>
      <c r="E2275" s="4">
        <v>323171</v>
      </c>
      <c r="F2275" s="2" t="s">
        <v>2</v>
      </c>
      <c r="G2275" s="2" t="str">
        <f t="shared" si="115"/>
        <v>https://www.oreht.ru/modules.php?name=orehtPriceLS&amp;op=Search&amp;page=1&amp;stext=323171</v>
      </c>
      <c r="I2275">
        <v>323171</v>
      </c>
      <c r="J2275" t="s">
        <v>2</v>
      </c>
      <c r="K2275" t="s">
        <v>5741</v>
      </c>
      <c r="L2275" t="s">
        <v>5742</v>
      </c>
      <c r="M2275" t="s">
        <v>5738</v>
      </c>
    </row>
    <row r="2276" spans="1:13" hidden="1" x14ac:dyDescent="0.25">
      <c r="A2276" s="24">
        <f t="shared" si="116"/>
        <v>20</v>
      </c>
      <c r="B2276" s="24">
        <v>9</v>
      </c>
      <c r="C2276" s="24">
        <v>65</v>
      </c>
      <c r="E2276" s="4">
        <v>225648</v>
      </c>
      <c r="F2276" s="2" t="s">
        <v>2</v>
      </c>
      <c r="G2276" s="2" t="str">
        <f t="shared" si="115"/>
        <v>https://www.oreht.ru/modules.php?name=orehtPriceLS&amp;op=Search&amp;page=1&amp;stext=225648</v>
      </c>
      <c r="I2276">
        <v>225648</v>
      </c>
      <c r="J2276" t="s">
        <v>2</v>
      </c>
      <c r="K2276" t="s">
        <v>5743</v>
      </c>
      <c r="L2276" t="s">
        <v>5744</v>
      </c>
      <c r="M2276" t="s">
        <v>5745</v>
      </c>
    </row>
    <row r="2277" spans="1:13" hidden="1" x14ac:dyDescent="0.25">
      <c r="A2277" s="24">
        <f t="shared" si="116"/>
        <v>20</v>
      </c>
      <c r="B2277" s="24">
        <v>9</v>
      </c>
      <c r="C2277" s="24">
        <v>63</v>
      </c>
      <c r="E2277" s="4">
        <v>452157</v>
      </c>
      <c r="F2277" s="2" t="s">
        <v>2</v>
      </c>
      <c r="G2277" s="2" t="str">
        <f t="shared" si="115"/>
        <v>https://www.oreht.ru/modules.php?name=orehtPriceLS&amp;op=Search&amp;page=1&amp;stext=452157</v>
      </c>
      <c r="I2277">
        <v>452157</v>
      </c>
      <c r="J2277" t="s">
        <v>2</v>
      </c>
      <c r="K2277" t="s">
        <v>5746</v>
      </c>
      <c r="L2277" t="s">
        <v>5747</v>
      </c>
      <c r="M2277" t="s">
        <v>5748</v>
      </c>
    </row>
    <row r="2278" spans="1:13" hidden="1" x14ac:dyDescent="0.25">
      <c r="A2278" s="24">
        <f t="shared" si="116"/>
        <v>20</v>
      </c>
      <c r="B2278" s="24">
        <v>9</v>
      </c>
      <c r="C2278" s="24">
        <v>50</v>
      </c>
      <c r="E2278" s="4">
        <v>403226</v>
      </c>
      <c r="F2278" s="2" t="s">
        <v>2</v>
      </c>
      <c r="G2278" s="2" t="str">
        <f t="shared" si="115"/>
        <v>https://www.oreht.ru/modules.php?name=orehtPriceLS&amp;op=Search&amp;page=1&amp;stext=403226</v>
      </c>
      <c r="I2278">
        <v>403226</v>
      </c>
      <c r="J2278" t="s">
        <v>2</v>
      </c>
      <c r="K2278" t="s">
        <v>5749</v>
      </c>
      <c r="L2278" t="s">
        <v>5750</v>
      </c>
      <c r="M2278" t="s">
        <v>5751</v>
      </c>
    </row>
    <row r="2279" spans="1:13" hidden="1" x14ac:dyDescent="0.25">
      <c r="A2279" s="24">
        <f t="shared" si="116"/>
        <v>20</v>
      </c>
      <c r="B2279" s="24">
        <v>5</v>
      </c>
      <c r="C2279" s="24">
        <v>69</v>
      </c>
      <c r="E2279" s="4">
        <v>397411</v>
      </c>
      <c r="F2279" s="2" t="s">
        <v>2</v>
      </c>
      <c r="G2279" s="2" t="str">
        <f t="shared" si="115"/>
        <v>https://www.oreht.ru/modules.php?name=orehtPriceLS&amp;op=Search&amp;page=1&amp;stext=397411</v>
      </c>
      <c r="I2279">
        <v>397411</v>
      </c>
      <c r="J2279" t="s">
        <v>2</v>
      </c>
      <c r="K2279" t="s">
        <v>5752</v>
      </c>
      <c r="L2279" t="s">
        <v>5753</v>
      </c>
      <c r="M2279" t="s">
        <v>5754</v>
      </c>
    </row>
    <row r="2280" spans="1:13" x14ac:dyDescent="0.25">
      <c r="A2280" s="24">
        <f t="shared" si="116"/>
        <v>20</v>
      </c>
      <c r="B2280" s="24">
        <v>9</v>
      </c>
      <c r="C2280" s="24">
        <v>50</v>
      </c>
      <c r="E2280" s="4">
        <v>419186</v>
      </c>
      <c r="F2280" s="2" t="s">
        <v>2</v>
      </c>
      <c r="G2280" s="2" t="str">
        <f t="shared" si="115"/>
        <v>https://www.oreht.ru/modules.php?name=orehtPriceLS&amp;op=Search&amp;page=1&amp;stext=419186</v>
      </c>
      <c r="I2280">
        <v>419186</v>
      </c>
      <c r="J2280" t="s">
        <v>2</v>
      </c>
      <c r="K2280" t="s">
        <v>5755</v>
      </c>
      <c r="L2280" t="s">
        <v>5756</v>
      </c>
      <c r="M2280" t="s">
        <v>649</v>
      </c>
    </row>
    <row r="2281" spans="1:13" hidden="1" x14ac:dyDescent="0.25">
      <c r="A2281" s="24">
        <f t="shared" si="116"/>
        <v>20</v>
      </c>
      <c r="B2281" s="24">
        <v>9</v>
      </c>
      <c r="C2281" s="24">
        <v>225</v>
      </c>
      <c r="E2281" s="4">
        <v>452812</v>
      </c>
      <c r="F2281" s="2" t="s">
        <v>2</v>
      </c>
      <c r="G2281" s="2" t="str">
        <f t="shared" si="115"/>
        <v>https://www.oreht.ru/modules.php?name=orehtPriceLS&amp;op=Search&amp;page=1&amp;stext=452812</v>
      </c>
      <c r="I2281">
        <v>452812</v>
      </c>
      <c r="J2281" t="s">
        <v>2</v>
      </c>
      <c r="K2281" t="s">
        <v>5757</v>
      </c>
      <c r="L2281" t="s">
        <v>5758</v>
      </c>
      <c r="M2281" t="s">
        <v>5759</v>
      </c>
    </row>
    <row r="2282" spans="1:13" hidden="1" x14ac:dyDescent="0.25">
      <c r="A2282" s="24">
        <f t="shared" si="116"/>
        <v>20</v>
      </c>
      <c r="B2282" s="24">
        <v>15</v>
      </c>
      <c r="C2282" s="24">
        <v>79</v>
      </c>
      <c r="E2282" s="4">
        <v>124967</v>
      </c>
      <c r="F2282" s="2" t="s">
        <v>2</v>
      </c>
      <c r="G2282" s="2" t="str">
        <f t="shared" si="115"/>
        <v>https://www.oreht.ru/modules.php?name=orehtPriceLS&amp;op=Search&amp;page=1&amp;stext=124967</v>
      </c>
      <c r="I2282">
        <v>124967</v>
      </c>
      <c r="J2282" t="s">
        <v>2</v>
      </c>
      <c r="K2282" t="s">
        <v>5760</v>
      </c>
      <c r="L2282" t="s">
        <v>5761</v>
      </c>
      <c r="M2282" t="s">
        <v>5762</v>
      </c>
    </row>
    <row r="2283" spans="1:13" hidden="1" x14ac:dyDescent="0.25">
      <c r="A2283" s="24">
        <f t="shared" si="116"/>
        <v>20</v>
      </c>
      <c r="B2283" s="24">
        <v>9</v>
      </c>
      <c r="C2283" s="24">
        <v>50</v>
      </c>
      <c r="E2283" s="4">
        <v>229829</v>
      </c>
      <c r="F2283" s="2" t="s">
        <v>2</v>
      </c>
      <c r="G2283" s="2" t="str">
        <f t="shared" si="115"/>
        <v>https://www.oreht.ru/modules.php?name=orehtPriceLS&amp;op=Search&amp;page=1&amp;stext=229829</v>
      </c>
      <c r="I2283">
        <v>229829</v>
      </c>
      <c r="J2283" t="s">
        <v>2</v>
      </c>
      <c r="K2283" t="s">
        <v>5763</v>
      </c>
      <c r="L2283" t="s">
        <v>5764</v>
      </c>
      <c r="M2283" t="s">
        <v>5765</v>
      </c>
    </row>
    <row r="2284" spans="1:13" x14ac:dyDescent="0.25">
      <c r="A2284" s="24">
        <f t="shared" si="116"/>
        <v>20</v>
      </c>
      <c r="B2284" s="24">
        <v>9</v>
      </c>
      <c r="C2284" s="24">
        <v>79</v>
      </c>
      <c r="E2284" s="4">
        <v>393243</v>
      </c>
      <c r="F2284" s="2" t="s">
        <v>2</v>
      </c>
      <c r="G2284" s="2" t="str">
        <f t="shared" si="115"/>
        <v>https://www.oreht.ru/modules.php?name=orehtPriceLS&amp;op=Search&amp;page=1&amp;stext=393243</v>
      </c>
      <c r="I2284">
        <v>393243</v>
      </c>
      <c r="J2284" t="s">
        <v>2</v>
      </c>
      <c r="K2284" t="s">
        <v>5766</v>
      </c>
    </row>
    <row r="2285" spans="1:13" hidden="1" x14ac:dyDescent="0.25">
      <c r="A2285" s="24">
        <f t="shared" si="116"/>
        <v>20</v>
      </c>
      <c r="B2285" s="24">
        <v>9</v>
      </c>
      <c r="C2285" s="24">
        <v>50</v>
      </c>
      <c r="E2285" s="4">
        <v>393097</v>
      </c>
      <c r="F2285" s="2" t="s">
        <v>2</v>
      </c>
      <c r="G2285" s="2" t="str">
        <f t="shared" si="115"/>
        <v>https://www.oreht.ru/modules.php?name=orehtPriceLS&amp;op=Search&amp;page=1&amp;stext=393097</v>
      </c>
      <c r="I2285">
        <v>393097</v>
      </c>
      <c r="J2285" t="s">
        <v>2</v>
      </c>
      <c r="K2285" t="s">
        <v>5767</v>
      </c>
      <c r="L2285" t="s">
        <v>5768</v>
      </c>
      <c r="M2285" t="s">
        <v>3826</v>
      </c>
    </row>
    <row r="2286" spans="1:13" hidden="1" x14ac:dyDescent="0.25">
      <c r="A2286" s="24">
        <f t="shared" si="116"/>
        <v>20</v>
      </c>
      <c r="B2286" s="24">
        <v>9</v>
      </c>
      <c r="C2286" s="24">
        <v>50</v>
      </c>
      <c r="E2286" s="4">
        <v>442673</v>
      </c>
      <c r="F2286" s="2" t="s">
        <v>2</v>
      </c>
      <c r="G2286" s="2" t="str">
        <f t="shared" si="115"/>
        <v>https://www.oreht.ru/modules.php?name=orehtPriceLS&amp;op=Search&amp;page=1&amp;stext=442673</v>
      </c>
      <c r="I2286">
        <v>442673</v>
      </c>
      <c r="J2286" t="s">
        <v>2</v>
      </c>
      <c r="K2286" t="s">
        <v>5769</v>
      </c>
      <c r="L2286" t="s">
        <v>5770</v>
      </c>
      <c r="M2286" t="s">
        <v>5771</v>
      </c>
    </row>
    <row r="2287" spans="1:13" hidden="1" x14ac:dyDescent="0.25">
      <c r="A2287" s="24">
        <f t="shared" si="116"/>
        <v>20</v>
      </c>
      <c r="B2287" s="24">
        <v>5</v>
      </c>
      <c r="C2287" s="24">
        <v>61</v>
      </c>
      <c r="E2287" s="4">
        <v>397409</v>
      </c>
      <c r="F2287" s="2" t="s">
        <v>2</v>
      </c>
      <c r="G2287" s="2" t="str">
        <f t="shared" si="115"/>
        <v>https://www.oreht.ru/modules.php?name=orehtPriceLS&amp;op=Search&amp;page=1&amp;stext=397409</v>
      </c>
      <c r="I2287">
        <v>397409</v>
      </c>
      <c r="J2287" t="s">
        <v>2</v>
      </c>
      <c r="K2287" t="s">
        <v>5772</v>
      </c>
      <c r="L2287" t="s">
        <v>5773</v>
      </c>
      <c r="M2287" t="s">
        <v>5774</v>
      </c>
    </row>
    <row r="2288" spans="1:13" hidden="1" x14ac:dyDescent="0.25">
      <c r="A2288" s="24">
        <f t="shared" si="116"/>
        <v>20</v>
      </c>
      <c r="B2288" s="24">
        <v>15</v>
      </c>
      <c r="C2288" s="24">
        <v>50</v>
      </c>
      <c r="E2288" s="4">
        <v>417064</v>
      </c>
      <c r="F2288" s="2" t="s">
        <v>2</v>
      </c>
      <c r="G2288" s="2" t="str">
        <f t="shared" si="115"/>
        <v>https://www.oreht.ru/modules.php?name=orehtPriceLS&amp;op=Search&amp;page=1&amp;stext=417064</v>
      </c>
      <c r="I2288">
        <v>417064</v>
      </c>
      <c r="J2288" t="s">
        <v>2</v>
      </c>
      <c r="K2288" t="s">
        <v>5775</v>
      </c>
      <c r="L2288" t="s">
        <v>5776</v>
      </c>
      <c r="M2288" t="s">
        <v>5777</v>
      </c>
    </row>
    <row r="2289" spans="1:13" hidden="1" x14ac:dyDescent="0.25">
      <c r="A2289" s="24">
        <f t="shared" si="116"/>
        <v>20</v>
      </c>
      <c r="B2289" s="24">
        <v>9</v>
      </c>
      <c r="C2289" s="24">
        <v>50</v>
      </c>
      <c r="E2289" s="4">
        <v>279350</v>
      </c>
      <c r="F2289" s="2" t="s">
        <v>2</v>
      </c>
      <c r="G2289" s="2" t="str">
        <f t="shared" si="115"/>
        <v>https://www.oreht.ru/modules.php?name=orehtPriceLS&amp;op=Search&amp;page=1&amp;stext=279350</v>
      </c>
      <c r="I2289">
        <v>279350</v>
      </c>
      <c r="J2289" t="s">
        <v>2</v>
      </c>
      <c r="K2289" t="s">
        <v>5778</v>
      </c>
      <c r="L2289" t="s">
        <v>5779</v>
      </c>
      <c r="M2289" t="s">
        <v>5780</v>
      </c>
    </row>
    <row r="2290" spans="1:13" hidden="1" x14ac:dyDescent="0.25">
      <c r="A2290" s="24">
        <f t="shared" si="116"/>
        <v>20</v>
      </c>
      <c r="B2290" s="24">
        <v>9</v>
      </c>
      <c r="C2290" s="24">
        <v>71</v>
      </c>
      <c r="E2290" s="4">
        <v>461999</v>
      </c>
      <c r="F2290" s="2" t="s">
        <v>2</v>
      </c>
      <c r="G2290" s="2" t="str">
        <f t="shared" si="115"/>
        <v>https://www.oreht.ru/modules.php?name=orehtPriceLS&amp;op=Search&amp;page=1&amp;stext=461999</v>
      </c>
      <c r="I2290">
        <v>461999</v>
      </c>
      <c r="J2290" t="s">
        <v>2</v>
      </c>
      <c r="K2290" t="s">
        <v>5781</v>
      </c>
      <c r="L2290" t="s">
        <v>5782</v>
      </c>
      <c r="M2290" t="s">
        <v>5783</v>
      </c>
    </row>
    <row r="2291" spans="1:13" x14ac:dyDescent="0.25">
      <c r="A2291" s="24">
        <f t="shared" si="116"/>
        <v>20</v>
      </c>
      <c r="B2291" s="24">
        <v>9</v>
      </c>
      <c r="C2291" s="24">
        <v>65</v>
      </c>
      <c r="E2291" s="4">
        <v>408668</v>
      </c>
      <c r="F2291" s="2" t="s">
        <v>2</v>
      </c>
      <c r="G2291" s="2" t="str">
        <f t="shared" si="115"/>
        <v>https://www.oreht.ru/modules.php?name=orehtPriceLS&amp;op=Search&amp;page=1&amp;stext=408668</v>
      </c>
      <c r="I2291">
        <v>408668</v>
      </c>
      <c r="J2291" t="s">
        <v>2</v>
      </c>
      <c r="K2291" t="s">
        <v>5784</v>
      </c>
    </row>
    <row r="2292" spans="1:13" hidden="1" x14ac:dyDescent="0.25">
      <c r="A2292" s="24">
        <f t="shared" si="116"/>
        <v>20</v>
      </c>
      <c r="B2292" s="24">
        <v>9</v>
      </c>
      <c r="C2292" s="24">
        <v>79</v>
      </c>
      <c r="E2292" s="4">
        <v>335695</v>
      </c>
      <c r="F2292" s="2" t="s">
        <v>2</v>
      </c>
      <c r="G2292" s="2" t="str">
        <f t="shared" si="115"/>
        <v>https://www.oreht.ru/modules.php?name=orehtPriceLS&amp;op=Search&amp;page=1&amp;stext=335695</v>
      </c>
      <c r="I2292">
        <v>335695</v>
      </c>
      <c r="J2292" t="s">
        <v>2</v>
      </c>
      <c r="K2292" t="s">
        <v>5785</v>
      </c>
      <c r="L2292" t="s">
        <v>5786</v>
      </c>
      <c r="M2292" t="s">
        <v>5783</v>
      </c>
    </row>
    <row r="2293" spans="1:13" hidden="1" x14ac:dyDescent="0.25">
      <c r="A2293" s="24">
        <f t="shared" si="116"/>
        <v>20</v>
      </c>
      <c r="B2293" s="24">
        <v>9</v>
      </c>
      <c r="C2293" s="24">
        <v>79</v>
      </c>
      <c r="E2293" s="4">
        <v>443208</v>
      </c>
      <c r="F2293" s="2" t="s">
        <v>2</v>
      </c>
      <c r="G2293" s="2" t="str">
        <f t="shared" si="115"/>
        <v>https://www.oreht.ru/modules.php?name=orehtPriceLS&amp;op=Search&amp;page=1&amp;stext=443208</v>
      </c>
      <c r="I2293">
        <v>443208</v>
      </c>
      <c r="J2293" t="s">
        <v>2</v>
      </c>
      <c r="K2293" t="s">
        <v>5787</v>
      </c>
      <c r="L2293" t="s">
        <v>5788</v>
      </c>
      <c r="M2293" t="s">
        <v>5783</v>
      </c>
    </row>
    <row r="2294" spans="1:13" hidden="1" x14ac:dyDescent="0.25">
      <c r="A2294" s="24">
        <f t="shared" si="116"/>
        <v>20</v>
      </c>
      <c r="B2294" s="24">
        <v>9</v>
      </c>
      <c r="C2294" s="24">
        <v>79</v>
      </c>
      <c r="E2294" s="4">
        <v>419195</v>
      </c>
      <c r="F2294" s="2" t="s">
        <v>2</v>
      </c>
      <c r="G2294" s="2" t="str">
        <f t="shared" si="115"/>
        <v>https://www.oreht.ru/modules.php?name=orehtPriceLS&amp;op=Search&amp;page=1&amp;stext=419195</v>
      </c>
      <c r="I2294">
        <v>419195</v>
      </c>
      <c r="J2294" t="s">
        <v>2</v>
      </c>
      <c r="K2294" t="s">
        <v>5789</v>
      </c>
      <c r="L2294" t="s">
        <v>5790</v>
      </c>
      <c r="M2294" t="s">
        <v>5791</v>
      </c>
    </row>
    <row r="2295" spans="1:13" hidden="1" x14ac:dyDescent="0.25">
      <c r="A2295" s="24">
        <f t="shared" si="116"/>
        <v>20</v>
      </c>
      <c r="B2295" s="24">
        <v>9</v>
      </c>
      <c r="C2295" s="24">
        <v>60</v>
      </c>
      <c r="E2295" s="4">
        <v>419196</v>
      </c>
      <c r="F2295" s="2" t="s">
        <v>2</v>
      </c>
      <c r="G2295" s="2" t="str">
        <f t="shared" si="115"/>
        <v>https://www.oreht.ru/modules.php?name=orehtPriceLS&amp;op=Search&amp;page=1&amp;stext=419196</v>
      </c>
      <c r="I2295">
        <v>419196</v>
      </c>
      <c r="J2295" t="s">
        <v>2</v>
      </c>
      <c r="K2295" t="s">
        <v>5792</v>
      </c>
      <c r="L2295" t="s">
        <v>5793</v>
      </c>
      <c r="M2295" t="s">
        <v>5794</v>
      </c>
    </row>
    <row r="2296" spans="1:13" hidden="1" x14ac:dyDescent="0.25">
      <c r="A2296" s="24">
        <f t="shared" si="116"/>
        <v>20</v>
      </c>
      <c r="B2296" s="24">
        <v>9</v>
      </c>
      <c r="C2296" s="24">
        <v>70</v>
      </c>
      <c r="E2296" s="4">
        <v>461997</v>
      </c>
      <c r="F2296" s="2" t="s">
        <v>2</v>
      </c>
      <c r="G2296" s="2" t="str">
        <f t="shared" si="115"/>
        <v>https://www.oreht.ru/modules.php?name=orehtPriceLS&amp;op=Search&amp;page=1&amp;stext=461997</v>
      </c>
      <c r="I2296">
        <v>461997</v>
      </c>
      <c r="J2296" t="s">
        <v>2</v>
      </c>
      <c r="K2296" t="s">
        <v>5795</v>
      </c>
      <c r="L2296" t="s">
        <v>5796</v>
      </c>
      <c r="M2296" t="s">
        <v>5797</v>
      </c>
    </row>
    <row r="2297" spans="1:13" hidden="1" x14ac:dyDescent="0.25">
      <c r="A2297" s="24">
        <f t="shared" si="116"/>
        <v>20</v>
      </c>
      <c r="B2297" s="24">
        <v>9</v>
      </c>
      <c r="C2297" s="24">
        <v>50</v>
      </c>
      <c r="E2297" s="4">
        <v>434764</v>
      </c>
      <c r="F2297" s="2" t="s">
        <v>2</v>
      </c>
      <c r="G2297" s="2" t="str">
        <f t="shared" si="115"/>
        <v>https://www.oreht.ru/modules.php?name=orehtPriceLS&amp;op=Search&amp;page=1&amp;stext=434764</v>
      </c>
      <c r="I2297">
        <v>434764</v>
      </c>
      <c r="J2297" t="s">
        <v>2</v>
      </c>
      <c r="K2297" t="s">
        <v>5798</v>
      </c>
      <c r="L2297" t="s">
        <v>5799</v>
      </c>
      <c r="M2297" t="s">
        <v>5800</v>
      </c>
    </row>
    <row r="2298" spans="1:13" x14ac:dyDescent="0.25">
      <c r="A2298" s="24">
        <f t="shared" si="116"/>
        <v>20</v>
      </c>
      <c r="B2298" s="24">
        <v>9</v>
      </c>
      <c r="C2298" s="24">
        <v>71</v>
      </c>
      <c r="E2298" s="4">
        <v>416997</v>
      </c>
      <c r="F2298" s="2" t="s">
        <v>2</v>
      </c>
      <c r="G2298" s="2" t="str">
        <f t="shared" si="115"/>
        <v>https://www.oreht.ru/modules.php?name=orehtPriceLS&amp;op=Search&amp;page=1&amp;stext=416997</v>
      </c>
      <c r="I2298">
        <v>416997</v>
      </c>
      <c r="J2298" t="s">
        <v>2</v>
      </c>
      <c r="K2298" t="s">
        <v>5801</v>
      </c>
      <c r="L2298" t="s">
        <v>5802</v>
      </c>
      <c r="M2298" t="s">
        <v>649</v>
      </c>
    </row>
    <row r="2299" spans="1:13" hidden="1" x14ac:dyDescent="0.25">
      <c r="A2299" s="24">
        <f t="shared" si="116"/>
        <v>20</v>
      </c>
      <c r="B2299" s="24">
        <v>9</v>
      </c>
      <c r="C2299" s="24">
        <v>50</v>
      </c>
      <c r="E2299" s="4">
        <v>138567</v>
      </c>
      <c r="F2299" s="2" t="s">
        <v>2</v>
      </c>
      <c r="G2299" s="2" t="str">
        <f t="shared" si="115"/>
        <v>https://www.oreht.ru/modules.php?name=orehtPriceLS&amp;op=Search&amp;page=1&amp;stext=138567</v>
      </c>
      <c r="I2299">
        <v>138567</v>
      </c>
      <c r="J2299" t="s">
        <v>2</v>
      </c>
      <c r="K2299" t="s">
        <v>5803</v>
      </c>
      <c r="L2299" t="s">
        <v>5804</v>
      </c>
      <c r="M2299" t="s">
        <v>5805</v>
      </c>
    </row>
    <row r="2300" spans="1:13" hidden="1" x14ac:dyDescent="0.25">
      <c r="A2300" s="24">
        <f t="shared" si="116"/>
        <v>20</v>
      </c>
      <c r="B2300" s="24">
        <v>9</v>
      </c>
      <c r="C2300" s="24">
        <v>50</v>
      </c>
      <c r="E2300" s="4">
        <v>429284</v>
      </c>
      <c r="F2300" s="2" t="s">
        <v>2</v>
      </c>
      <c r="G2300" s="2" t="str">
        <f t="shared" si="115"/>
        <v>https://www.oreht.ru/modules.php?name=orehtPriceLS&amp;op=Search&amp;page=1&amp;stext=429284</v>
      </c>
      <c r="I2300">
        <v>429284</v>
      </c>
      <c r="J2300" t="s">
        <v>2</v>
      </c>
      <c r="K2300" t="s">
        <v>5806</v>
      </c>
      <c r="L2300" t="s">
        <v>5807</v>
      </c>
      <c r="M2300" t="s">
        <v>5805</v>
      </c>
    </row>
    <row r="2301" spans="1:13" hidden="1" x14ac:dyDescent="0.25">
      <c r="A2301" s="24">
        <f t="shared" si="116"/>
        <v>20</v>
      </c>
      <c r="B2301" s="24">
        <v>8</v>
      </c>
      <c r="C2301" s="24">
        <v>61</v>
      </c>
      <c r="E2301" s="4">
        <v>273886</v>
      </c>
      <c r="F2301" s="2" t="s">
        <v>2</v>
      </c>
      <c r="G2301" s="2" t="str">
        <f t="shared" si="115"/>
        <v>https://www.oreht.ru/modules.php?name=orehtPriceLS&amp;op=Search&amp;page=1&amp;stext=273886</v>
      </c>
      <c r="I2301">
        <v>273886</v>
      </c>
      <c r="J2301" t="s">
        <v>2</v>
      </c>
      <c r="K2301" t="s">
        <v>5808</v>
      </c>
      <c r="L2301" t="s">
        <v>5809</v>
      </c>
      <c r="M2301" t="s">
        <v>5810</v>
      </c>
    </row>
    <row r="2302" spans="1:13" hidden="1" x14ac:dyDescent="0.25">
      <c r="A2302" s="24">
        <f t="shared" si="116"/>
        <v>20</v>
      </c>
      <c r="B2302" s="24">
        <v>15</v>
      </c>
      <c r="C2302" s="24">
        <v>50</v>
      </c>
      <c r="E2302" s="4">
        <v>458908</v>
      </c>
      <c r="F2302" s="2" t="s">
        <v>2</v>
      </c>
      <c r="G2302" s="2" t="str">
        <f t="shared" si="115"/>
        <v>https://www.oreht.ru/modules.php?name=orehtPriceLS&amp;op=Search&amp;page=1&amp;stext=458908</v>
      </c>
      <c r="I2302">
        <v>458908</v>
      </c>
      <c r="J2302" t="s">
        <v>2</v>
      </c>
      <c r="K2302" t="s">
        <v>5811</v>
      </c>
      <c r="L2302" t="s">
        <v>5812</v>
      </c>
      <c r="M2302" t="s">
        <v>5813</v>
      </c>
    </row>
    <row r="2303" spans="1:13" hidden="1" x14ac:dyDescent="0.25">
      <c r="A2303" s="24">
        <f t="shared" si="116"/>
        <v>20</v>
      </c>
      <c r="B2303" s="24">
        <v>9</v>
      </c>
      <c r="C2303" s="24">
        <v>61</v>
      </c>
      <c r="E2303" s="4">
        <v>409573</v>
      </c>
      <c r="F2303" s="2" t="s">
        <v>2</v>
      </c>
      <c r="G2303" s="2" t="str">
        <f t="shared" si="115"/>
        <v>https://www.oreht.ru/modules.php?name=orehtPriceLS&amp;op=Search&amp;page=1&amp;stext=409573</v>
      </c>
      <c r="I2303">
        <v>409573</v>
      </c>
      <c r="J2303" t="s">
        <v>2</v>
      </c>
      <c r="K2303" t="s">
        <v>5814</v>
      </c>
      <c r="L2303" t="s">
        <v>5815</v>
      </c>
      <c r="M2303" t="s">
        <v>5816</v>
      </c>
    </row>
    <row r="2304" spans="1:13" hidden="1" x14ac:dyDescent="0.25">
      <c r="A2304" s="24">
        <f t="shared" si="116"/>
        <v>20</v>
      </c>
      <c r="B2304" s="24">
        <v>9</v>
      </c>
      <c r="C2304" s="24">
        <v>61</v>
      </c>
      <c r="E2304" s="4">
        <v>299798</v>
      </c>
      <c r="F2304" s="2" t="s">
        <v>2</v>
      </c>
      <c r="G2304" s="2" t="str">
        <f t="shared" si="115"/>
        <v>https://www.oreht.ru/modules.php?name=orehtPriceLS&amp;op=Search&amp;page=1&amp;stext=299798</v>
      </c>
      <c r="I2304">
        <v>299798</v>
      </c>
      <c r="J2304" t="s">
        <v>2</v>
      </c>
      <c r="K2304" t="s">
        <v>5817</v>
      </c>
      <c r="L2304" t="s">
        <v>5818</v>
      </c>
      <c r="M2304" t="s">
        <v>5819</v>
      </c>
    </row>
    <row r="2305" spans="1:13" hidden="1" x14ac:dyDescent="0.25">
      <c r="A2305" s="24">
        <f t="shared" si="116"/>
        <v>20</v>
      </c>
      <c r="B2305" s="24">
        <v>10</v>
      </c>
      <c r="C2305" s="24">
        <v>50</v>
      </c>
      <c r="E2305" s="4">
        <v>397101</v>
      </c>
      <c r="F2305" s="2" t="s">
        <v>2</v>
      </c>
      <c r="G2305" s="2" t="str">
        <f t="shared" si="115"/>
        <v>https://www.oreht.ru/modules.php?name=orehtPriceLS&amp;op=Search&amp;page=1&amp;stext=397101</v>
      </c>
      <c r="I2305">
        <v>397101</v>
      </c>
      <c r="J2305" t="s">
        <v>2</v>
      </c>
      <c r="K2305" t="s">
        <v>5820</v>
      </c>
      <c r="L2305" t="s">
        <v>5821</v>
      </c>
      <c r="M2305" t="s">
        <v>5822</v>
      </c>
    </row>
    <row r="2306" spans="1:13" hidden="1" x14ac:dyDescent="0.25">
      <c r="A2306" s="24">
        <f t="shared" si="116"/>
        <v>20</v>
      </c>
      <c r="B2306" s="24">
        <v>9</v>
      </c>
      <c r="C2306" s="24">
        <v>50</v>
      </c>
      <c r="E2306" s="4">
        <v>419462</v>
      </c>
      <c r="F2306" s="2" t="s">
        <v>2</v>
      </c>
      <c r="G2306" s="2" t="str">
        <f t="shared" ref="G2306:G2369" si="117">HYPERLINK(F2306&amp;E2306)</f>
        <v>https://www.oreht.ru/modules.php?name=orehtPriceLS&amp;op=Search&amp;page=1&amp;stext=419462</v>
      </c>
      <c r="I2306">
        <v>419462</v>
      </c>
      <c r="J2306" t="s">
        <v>2</v>
      </c>
      <c r="K2306" t="s">
        <v>5823</v>
      </c>
      <c r="L2306" t="s">
        <v>5824</v>
      </c>
      <c r="M2306" t="s">
        <v>5822</v>
      </c>
    </row>
    <row r="2307" spans="1:13" hidden="1" x14ac:dyDescent="0.25">
      <c r="A2307" s="24">
        <f t="shared" si="116"/>
        <v>20</v>
      </c>
      <c r="B2307" s="24">
        <v>9</v>
      </c>
      <c r="C2307" s="24">
        <v>63</v>
      </c>
      <c r="E2307" s="4">
        <v>444300</v>
      </c>
      <c r="F2307" s="2" t="s">
        <v>2</v>
      </c>
      <c r="G2307" s="2" t="str">
        <f t="shared" si="117"/>
        <v>https://www.oreht.ru/modules.php?name=orehtPriceLS&amp;op=Search&amp;page=1&amp;stext=444300</v>
      </c>
      <c r="I2307">
        <v>444300</v>
      </c>
      <c r="J2307" t="s">
        <v>2</v>
      </c>
      <c r="K2307" t="s">
        <v>5825</v>
      </c>
      <c r="L2307" t="s">
        <v>5826</v>
      </c>
      <c r="M2307" t="s">
        <v>5827</v>
      </c>
    </row>
    <row r="2308" spans="1:13" hidden="1" x14ac:dyDescent="0.25">
      <c r="A2308" s="24">
        <f t="shared" si="116"/>
        <v>20</v>
      </c>
      <c r="B2308" s="24">
        <v>9</v>
      </c>
      <c r="C2308" s="24">
        <v>50</v>
      </c>
      <c r="E2308" s="4">
        <v>193551</v>
      </c>
      <c r="F2308" s="2" t="s">
        <v>2</v>
      </c>
      <c r="G2308" s="2" t="str">
        <f t="shared" si="117"/>
        <v>https://www.oreht.ru/modules.php?name=orehtPriceLS&amp;op=Search&amp;page=1&amp;stext=193551</v>
      </c>
      <c r="I2308">
        <v>193551</v>
      </c>
      <c r="J2308" t="s">
        <v>2</v>
      </c>
      <c r="K2308" t="s">
        <v>5828</v>
      </c>
      <c r="L2308" t="s">
        <v>5829</v>
      </c>
      <c r="M2308" t="s">
        <v>5830</v>
      </c>
    </row>
    <row r="2309" spans="1:13" hidden="1" x14ac:dyDescent="0.25">
      <c r="A2309" s="24">
        <f t="shared" ref="A2309:A2372" si="118">IF(W2309*0.05&gt;=250,250,IF(W2309*0.05&gt;=20,IF(W2309*0.05&lt;20,20,W2309*0.05),20))</f>
        <v>20</v>
      </c>
      <c r="B2309" s="24">
        <v>9</v>
      </c>
      <c r="C2309" s="24">
        <v>79</v>
      </c>
      <c r="E2309" s="4">
        <v>283415</v>
      </c>
      <c r="F2309" s="2" t="s">
        <v>2</v>
      </c>
      <c r="G2309" s="2" t="str">
        <f t="shared" si="117"/>
        <v>https://www.oreht.ru/modules.php?name=orehtPriceLS&amp;op=Search&amp;page=1&amp;stext=283415</v>
      </c>
      <c r="I2309">
        <v>283415</v>
      </c>
      <c r="J2309" t="s">
        <v>2</v>
      </c>
      <c r="K2309" t="s">
        <v>5831</v>
      </c>
      <c r="L2309" t="s">
        <v>5832</v>
      </c>
      <c r="M2309" t="s">
        <v>5830</v>
      </c>
    </row>
    <row r="2310" spans="1:13" hidden="1" x14ac:dyDescent="0.25">
      <c r="A2310" s="24">
        <f t="shared" si="118"/>
        <v>20</v>
      </c>
      <c r="B2310" s="24">
        <v>9</v>
      </c>
      <c r="C2310" s="24">
        <v>50</v>
      </c>
      <c r="E2310" s="4">
        <v>420023</v>
      </c>
      <c r="F2310" s="2" t="s">
        <v>2</v>
      </c>
      <c r="G2310" s="2" t="str">
        <f t="shared" si="117"/>
        <v>https://www.oreht.ru/modules.php?name=orehtPriceLS&amp;op=Search&amp;page=1&amp;stext=420023</v>
      </c>
      <c r="I2310">
        <v>420023</v>
      </c>
      <c r="J2310" t="s">
        <v>2</v>
      </c>
      <c r="K2310" t="s">
        <v>5833</v>
      </c>
      <c r="L2310" t="s">
        <v>5834</v>
      </c>
      <c r="M2310" t="s">
        <v>5835</v>
      </c>
    </row>
    <row r="2311" spans="1:13" hidden="1" x14ac:dyDescent="0.25">
      <c r="A2311" s="24">
        <f t="shared" si="118"/>
        <v>20</v>
      </c>
      <c r="B2311" s="24">
        <v>9</v>
      </c>
      <c r="C2311" s="24">
        <v>70</v>
      </c>
      <c r="E2311" s="4">
        <v>374695</v>
      </c>
      <c r="F2311" s="2" t="s">
        <v>2</v>
      </c>
      <c r="G2311" s="2" t="str">
        <f t="shared" si="117"/>
        <v>https://www.oreht.ru/modules.php?name=orehtPriceLS&amp;op=Search&amp;page=1&amp;stext=374695</v>
      </c>
      <c r="I2311">
        <v>374695</v>
      </c>
      <c r="J2311" t="s">
        <v>2</v>
      </c>
      <c r="K2311" t="s">
        <v>5836</v>
      </c>
      <c r="L2311" t="s">
        <v>5837</v>
      </c>
      <c r="M2311" t="s">
        <v>5838</v>
      </c>
    </row>
    <row r="2312" spans="1:13" hidden="1" x14ac:dyDescent="0.25">
      <c r="A2312" s="24">
        <f t="shared" si="118"/>
        <v>20</v>
      </c>
      <c r="B2312" s="24">
        <v>9</v>
      </c>
      <c r="C2312" s="24">
        <v>67</v>
      </c>
      <c r="E2312" s="4">
        <v>413996</v>
      </c>
      <c r="F2312" s="2" t="s">
        <v>2</v>
      </c>
      <c r="G2312" s="2" t="str">
        <f t="shared" si="117"/>
        <v>https://www.oreht.ru/modules.php?name=orehtPriceLS&amp;op=Search&amp;page=1&amp;stext=413996</v>
      </c>
      <c r="I2312">
        <v>413996</v>
      </c>
      <c r="J2312" t="s">
        <v>2</v>
      </c>
      <c r="K2312" t="s">
        <v>5839</v>
      </c>
      <c r="L2312" t="s">
        <v>5840</v>
      </c>
      <c r="M2312" t="s">
        <v>5841</v>
      </c>
    </row>
    <row r="2313" spans="1:13" x14ac:dyDescent="0.25">
      <c r="A2313" s="24">
        <f t="shared" si="118"/>
        <v>20</v>
      </c>
      <c r="B2313" s="24">
        <v>9</v>
      </c>
      <c r="C2313" s="24">
        <v>60</v>
      </c>
      <c r="E2313" s="4">
        <v>351747</v>
      </c>
      <c r="F2313" s="2" t="s">
        <v>2</v>
      </c>
      <c r="G2313" s="2" t="str">
        <f t="shared" si="117"/>
        <v>https://www.oreht.ru/modules.php?name=orehtPriceLS&amp;op=Search&amp;page=1&amp;stext=351747</v>
      </c>
      <c r="I2313">
        <v>351747</v>
      </c>
      <c r="J2313" t="s">
        <v>2</v>
      </c>
      <c r="K2313" t="s">
        <v>5842</v>
      </c>
      <c r="L2313" t="s">
        <v>5843</v>
      </c>
      <c r="M2313" t="s">
        <v>649</v>
      </c>
    </row>
    <row r="2314" spans="1:13" hidden="1" x14ac:dyDescent="0.25">
      <c r="A2314" s="24">
        <f t="shared" si="118"/>
        <v>20</v>
      </c>
      <c r="B2314" s="24">
        <v>8</v>
      </c>
      <c r="C2314" s="24">
        <v>50</v>
      </c>
      <c r="E2314" s="4">
        <v>442353</v>
      </c>
      <c r="F2314" s="2" t="s">
        <v>2</v>
      </c>
      <c r="G2314" s="2" t="str">
        <f t="shared" si="117"/>
        <v>https://www.oreht.ru/modules.php?name=orehtPriceLS&amp;op=Search&amp;page=1&amp;stext=442353</v>
      </c>
      <c r="I2314">
        <v>442353</v>
      </c>
      <c r="J2314" t="s">
        <v>2</v>
      </c>
      <c r="K2314" t="s">
        <v>5844</v>
      </c>
      <c r="L2314" t="s">
        <v>5845</v>
      </c>
      <c r="M2314" t="s">
        <v>5846</v>
      </c>
    </row>
    <row r="2315" spans="1:13" hidden="1" x14ac:dyDescent="0.25">
      <c r="A2315" s="24">
        <f t="shared" si="118"/>
        <v>20</v>
      </c>
      <c r="B2315" s="24">
        <v>8</v>
      </c>
      <c r="C2315" s="24">
        <v>50</v>
      </c>
      <c r="E2315" s="4">
        <v>442354</v>
      </c>
      <c r="F2315" s="2" t="s">
        <v>2</v>
      </c>
      <c r="G2315" s="2" t="str">
        <f t="shared" si="117"/>
        <v>https://www.oreht.ru/modules.php?name=orehtPriceLS&amp;op=Search&amp;page=1&amp;stext=442354</v>
      </c>
      <c r="I2315">
        <v>442354</v>
      </c>
      <c r="J2315" t="s">
        <v>2</v>
      </c>
      <c r="K2315" t="s">
        <v>5847</v>
      </c>
      <c r="L2315" t="s">
        <v>5848</v>
      </c>
      <c r="M2315" t="s">
        <v>5846</v>
      </c>
    </row>
    <row r="2316" spans="1:13" hidden="1" x14ac:dyDescent="0.25">
      <c r="A2316" s="24">
        <f t="shared" si="118"/>
        <v>20</v>
      </c>
      <c r="B2316" s="24">
        <v>9</v>
      </c>
      <c r="C2316" s="24">
        <v>160</v>
      </c>
      <c r="E2316" s="4">
        <v>372136</v>
      </c>
      <c r="F2316" s="2" t="s">
        <v>2</v>
      </c>
      <c r="G2316" s="2" t="str">
        <f t="shared" si="117"/>
        <v>https://www.oreht.ru/modules.php?name=orehtPriceLS&amp;op=Search&amp;page=1&amp;stext=372136</v>
      </c>
      <c r="I2316">
        <v>372136</v>
      </c>
      <c r="J2316" t="s">
        <v>2</v>
      </c>
      <c r="K2316" t="s">
        <v>5849</v>
      </c>
      <c r="L2316" t="s">
        <v>5850</v>
      </c>
      <c r="M2316" t="s">
        <v>5851</v>
      </c>
    </row>
    <row r="2317" spans="1:13" hidden="1" x14ac:dyDescent="0.25">
      <c r="A2317" s="24">
        <f t="shared" si="118"/>
        <v>20</v>
      </c>
      <c r="B2317" s="24">
        <v>9</v>
      </c>
      <c r="C2317" s="24">
        <v>50</v>
      </c>
      <c r="E2317" s="4">
        <v>375831</v>
      </c>
      <c r="F2317" s="2" t="s">
        <v>2</v>
      </c>
      <c r="G2317" s="2" t="str">
        <f t="shared" si="117"/>
        <v>https://www.oreht.ru/modules.php?name=orehtPriceLS&amp;op=Search&amp;page=1&amp;stext=375831</v>
      </c>
      <c r="I2317">
        <v>375831</v>
      </c>
      <c r="J2317" t="s">
        <v>2</v>
      </c>
      <c r="K2317" t="s">
        <v>5852</v>
      </c>
      <c r="L2317" t="s">
        <v>5853</v>
      </c>
      <c r="M2317" t="s">
        <v>5851</v>
      </c>
    </row>
    <row r="2318" spans="1:13" hidden="1" x14ac:dyDescent="0.25">
      <c r="A2318" s="24">
        <f t="shared" si="118"/>
        <v>20</v>
      </c>
      <c r="B2318" s="24">
        <v>10</v>
      </c>
      <c r="C2318" s="24">
        <v>61</v>
      </c>
      <c r="E2318" s="4">
        <v>397093</v>
      </c>
      <c r="F2318" s="2" t="s">
        <v>2</v>
      </c>
      <c r="G2318" s="2" t="str">
        <f t="shared" si="117"/>
        <v>https://www.oreht.ru/modules.php?name=orehtPriceLS&amp;op=Search&amp;page=1&amp;stext=397093</v>
      </c>
      <c r="I2318">
        <v>397093</v>
      </c>
      <c r="J2318" t="s">
        <v>2</v>
      </c>
      <c r="K2318" t="s">
        <v>5854</v>
      </c>
      <c r="L2318" t="s">
        <v>5855</v>
      </c>
      <c r="M2318" t="s">
        <v>5856</v>
      </c>
    </row>
    <row r="2319" spans="1:13" hidden="1" x14ac:dyDescent="0.25">
      <c r="A2319" s="24">
        <f t="shared" si="118"/>
        <v>20</v>
      </c>
      <c r="B2319" s="24">
        <v>9</v>
      </c>
      <c r="C2319" s="24">
        <v>79</v>
      </c>
      <c r="E2319" s="4">
        <v>419094</v>
      </c>
      <c r="F2319" s="2" t="s">
        <v>2</v>
      </c>
      <c r="G2319" s="2" t="str">
        <f t="shared" si="117"/>
        <v>https://www.oreht.ru/modules.php?name=orehtPriceLS&amp;op=Search&amp;page=1&amp;stext=419094</v>
      </c>
      <c r="I2319">
        <v>419094</v>
      </c>
      <c r="J2319" t="s">
        <v>2</v>
      </c>
      <c r="K2319" t="s">
        <v>5857</v>
      </c>
      <c r="L2319" t="s">
        <v>5858</v>
      </c>
      <c r="M2319" t="s">
        <v>5856</v>
      </c>
    </row>
    <row r="2320" spans="1:13" hidden="1" x14ac:dyDescent="0.25">
      <c r="A2320" s="24">
        <f t="shared" si="118"/>
        <v>20</v>
      </c>
      <c r="B2320" s="24">
        <v>9</v>
      </c>
      <c r="C2320" s="24">
        <v>65</v>
      </c>
      <c r="E2320" s="4">
        <v>421029</v>
      </c>
      <c r="F2320" s="2" t="s">
        <v>2</v>
      </c>
      <c r="G2320" s="2" t="str">
        <f t="shared" si="117"/>
        <v>https://www.oreht.ru/modules.php?name=orehtPriceLS&amp;op=Search&amp;page=1&amp;stext=421029</v>
      </c>
      <c r="I2320">
        <v>421029</v>
      </c>
      <c r="J2320" t="s">
        <v>2</v>
      </c>
      <c r="K2320" t="s">
        <v>5859</v>
      </c>
      <c r="L2320" t="s">
        <v>5860</v>
      </c>
      <c r="M2320" t="s">
        <v>5856</v>
      </c>
    </row>
    <row r="2321" spans="1:13" hidden="1" x14ac:dyDescent="0.25">
      <c r="A2321" s="24">
        <f t="shared" si="118"/>
        <v>20</v>
      </c>
      <c r="B2321" s="24">
        <v>9</v>
      </c>
      <c r="C2321" s="24">
        <v>50</v>
      </c>
      <c r="E2321" s="4">
        <v>262428</v>
      </c>
      <c r="F2321" s="2" t="s">
        <v>2</v>
      </c>
      <c r="G2321" s="2" t="str">
        <f t="shared" si="117"/>
        <v>https://www.oreht.ru/modules.php?name=orehtPriceLS&amp;op=Search&amp;page=1&amp;stext=262428</v>
      </c>
      <c r="I2321">
        <v>262428</v>
      </c>
      <c r="J2321" t="s">
        <v>2</v>
      </c>
      <c r="K2321" t="s">
        <v>5861</v>
      </c>
      <c r="L2321" t="s">
        <v>5862</v>
      </c>
      <c r="M2321" t="s">
        <v>5863</v>
      </c>
    </row>
    <row r="2322" spans="1:13" hidden="1" x14ac:dyDescent="0.25">
      <c r="A2322" s="24">
        <f t="shared" si="118"/>
        <v>20</v>
      </c>
      <c r="B2322" s="24">
        <v>15</v>
      </c>
      <c r="C2322" s="24">
        <v>50</v>
      </c>
      <c r="E2322" s="4">
        <v>271258</v>
      </c>
      <c r="F2322" s="2" t="s">
        <v>2</v>
      </c>
      <c r="G2322" s="2" t="str">
        <f t="shared" si="117"/>
        <v>https://www.oreht.ru/modules.php?name=orehtPriceLS&amp;op=Search&amp;page=1&amp;stext=271258</v>
      </c>
      <c r="I2322">
        <v>271258</v>
      </c>
      <c r="J2322" t="s">
        <v>2</v>
      </c>
      <c r="K2322" t="s">
        <v>5864</v>
      </c>
      <c r="L2322" t="s">
        <v>5865</v>
      </c>
      <c r="M2322" t="s">
        <v>5851</v>
      </c>
    </row>
    <row r="2323" spans="1:13" hidden="1" x14ac:dyDescent="0.25">
      <c r="A2323" s="24">
        <f t="shared" si="118"/>
        <v>20</v>
      </c>
      <c r="B2323" s="24">
        <v>9</v>
      </c>
      <c r="C2323" s="24">
        <v>50</v>
      </c>
      <c r="E2323" s="4">
        <v>107958</v>
      </c>
      <c r="F2323" s="2" t="s">
        <v>2</v>
      </c>
      <c r="G2323" s="2" t="str">
        <f t="shared" si="117"/>
        <v>https://www.oreht.ru/modules.php?name=orehtPriceLS&amp;op=Search&amp;page=1&amp;stext=107958</v>
      </c>
      <c r="I2323">
        <v>107958</v>
      </c>
      <c r="J2323" t="s">
        <v>2</v>
      </c>
      <c r="K2323" t="s">
        <v>5866</v>
      </c>
      <c r="L2323" t="s">
        <v>5867</v>
      </c>
      <c r="M2323" t="s">
        <v>5868</v>
      </c>
    </row>
    <row r="2324" spans="1:13" hidden="1" x14ac:dyDescent="0.25">
      <c r="A2324" s="24">
        <f t="shared" si="118"/>
        <v>20</v>
      </c>
      <c r="B2324" s="24">
        <v>8</v>
      </c>
      <c r="C2324" s="24">
        <v>60</v>
      </c>
      <c r="E2324" s="4">
        <v>411560</v>
      </c>
      <c r="F2324" s="2" t="s">
        <v>2</v>
      </c>
      <c r="G2324" s="2" t="str">
        <f t="shared" si="117"/>
        <v>https://www.oreht.ru/modules.php?name=orehtPriceLS&amp;op=Search&amp;page=1&amp;stext=411560</v>
      </c>
      <c r="I2324">
        <v>411560</v>
      </c>
      <c r="J2324" t="s">
        <v>2</v>
      </c>
      <c r="K2324" t="s">
        <v>5869</v>
      </c>
      <c r="L2324" t="s">
        <v>5870</v>
      </c>
      <c r="M2324" t="s">
        <v>5871</v>
      </c>
    </row>
    <row r="2325" spans="1:13" hidden="1" x14ac:dyDescent="0.25">
      <c r="A2325" s="24">
        <f t="shared" si="118"/>
        <v>20</v>
      </c>
      <c r="B2325" s="24">
        <v>8</v>
      </c>
      <c r="C2325" s="24">
        <v>79</v>
      </c>
      <c r="E2325" s="4">
        <v>374199</v>
      </c>
      <c r="F2325" s="2" t="s">
        <v>2</v>
      </c>
      <c r="G2325" s="2" t="str">
        <f t="shared" si="117"/>
        <v>https://www.oreht.ru/modules.php?name=orehtPriceLS&amp;op=Search&amp;page=1&amp;stext=374199</v>
      </c>
      <c r="I2325">
        <v>374199</v>
      </c>
      <c r="J2325" t="s">
        <v>2</v>
      </c>
      <c r="K2325" t="s">
        <v>5872</v>
      </c>
      <c r="L2325" t="s">
        <v>5873</v>
      </c>
      <c r="M2325" t="s">
        <v>5874</v>
      </c>
    </row>
    <row r="2326" spans="1:13" hidden="1" x14ac:dyDescent="0.25">
      <c r="A2326" s="24">
        <f t="shared" si="118"/>
        <v>20</v>
      </c>
      <c r="B2326" s="24">
        <v>9</v>
      </c>
      <c r="C2326" s="24">
        <v>50</v>
      </c>
      <c r="E2326" s="4">
        <v>452686</v>
      </c>
      <c r="F2326" s="2" t="s">
        <v>2</v>
      </c>
      <c r="G2326" s="2" t="str">
        <f t="shared" si="117"/>
        <v>https://www.oreht.ru/modules.php?name=orehtPriceLS&amp;op=Search&amp;page=1&amp;stext=452686</v>
      </c>
      <c r="I2326">
        <v>452686</v>
      </c>
      <c r="J2326" t="s">
        <v>2</v>
      </c>
      <c r="K2326" t="s">
        <v>5875</v>
      </c>
      <c r="L2326" t="s">
        <v>5876</v>
      </c>
      <c r="M2326" t="s">
        <v>5877</v>
      </c>
    </row>
    <row r="2327" spans="1:13" hidden="1" x14ac:dyDescent="0.25">
      <c r="A2327" s="24">
        <f t="shared" si="118"/>
        <v>20</v>
      </c>
      <c r="B2327" s="24">
        <v>9</v>
      </c>
      <c r="C2327" s="24">
        <v>70</v>
      </c>
      <c r="E2327" s="4">
        <v>185401</v>
      </c>
      <c r="F2327" s="2" t="s">
        <v>2</v>
      </c>
      <c r="G2327" s="2" t="str">
        <f t="shared" si="117"/>
        <v>https://www.oreht.ru/modules.php?name=orehtPriceLS&amp;op=Search&amp;page=1&amp;stext=185401</v>
      </c>
      <c r="I2327">
        <v>185401</v>
      </c>
      <c r="J2327" t="s">
        <v>2</v>
      </c>
      <c r="K2327" t="s">
        <v>5878</v>
      </c>
      <c r="L2327" t="s">
        <v>5879</v>
      </c>
      <c r="M2327" t="s">
        <v>5877</v>
      </c>
    </row>
    <row r="2328" spans="1:13" hidden="1" x14ac:dyDescent="0.25">
      <c r="A2328" s="24">
        <f t="shared" si="118"/>
        <v>20</v>
      </c>
      <c r="B2328" s="24">
        <v>9</v>
      </c>
      <c r="C2328" s="24">
        <v>65</v>
      </c>
      <c r="E2328" s="4">
        <v>304673</v>
      </c>
      <c r="F2328" s="2" t="s">
        <v>2</v>
      </c>
      <c r="G2328" s="2" t="str">
        <f t="shared" si="117"/>
        <v>https://www.oreht.ru/modules.php?name=orehtPriceLS&amp;op=Search&amp;page=1&amp;stext=304673</v>
      </c>
      <c r="I2328">
        <v>304673</v>
      </c>
      <c r="J2328" t="s">
        <v>2</v>
      </c>
      <c r="K2328" t="s">
        <v>5880</v>
      </c>
      <c r="L2328" t="s">
        <v>5881</v>
      </c>
      <c r="M2328" t="s">
        <v>5877</v>
      </c>
    </row>
    <row r="2329" spans="1:13" hidden="1" x14ac:dyDescent="0.25">
      <c r="A2329" s="24">
        <f t="shared" si="118"/>
        <v>20</v>
      </c>
      <c r="B2329" s="24">
        <v>9</v>
      </c>
      <c r="C2329" s="24">
        <v>50</v>
      </c>
      <c r="E2329" s="4">
        <v>302720</v>
      </c>
      <c r="F2329" s="2" t="s">
        <v>2</v>
      </c>
      <c r="G2329" s="2" t="str">
        <f t="shared" si="117"/>
        <v>https://www.oreht.ru/modules.php?name=orehtPriceLS&amp;op=Search&amp;page=1&amp;stext=302720</v>
      </c>
      <c r="I2329">
        <v>302720</v>
      </c>
      <c r="J2329" t="s">
        <v>2</v>
      </c>
      <c r="K2329" t="s">
        <v>5882</v>
      </c>
      <c r="L2329" t="s">
        <v>5883</v>
      </c>
      <c r="M2329" t="s">
        <v>5884</v>
      </c>
    </row>
    <row r="2330" spans="1:13" hidden="1" x14ac:dyDescent="0.25">
      <c r="A2330" s="24">
        <f t="shared" si="118"/>
        <v>20</v>
      </c>
      <c r="B2330" s="24">
        <v>9</v>
      </c>
      <c r="C2330" s="24">
        <v>65</v>
      </c>
      <c r="E2330" s="4">
        <v>460968</v>
      </c>
      <c r="F2330" s="2" t="s">
        <v>2</v>
      </c>
      <c r="G2330" s="2" t="str">
        <f t="shared" si="117"/>
        <v>https://www.oreht.ru/modules.php?name=orehtPriceLS&amp;op=Search&amp;page=1&amp;stext=460968</v>
      </c>
      <c r="I2330">
        <v>460968</v>
      </c>
      <c r="J2330" t="s">
        <v>2</v>
      </c>
      <c r="K2330" t="s">
        <v>5885</v>
      </c>
      <c r="L2330" t="s">
        <v>5886</v>
      </c>
      <c r="M2330" t="s">
        <v>5887</v>
      </c>
    </row>
    <row r="2331" spans="1:13" hidden="1" x14ac:dyDescent="0.25">
      <c r="A2331" s="24">
        <f t="shared" si="118"/>
        <v>20</v>
      </c>
      <c r="B2331" s="24">
        <v>9</v>
      </c>
      <c r="C2331" s="24">
        <v>79</v>
      </c>
      <c r="E2331" s="4">
        <v>402026</v>
      </c>
      <c r="F2331" s="2" t="s">
        <v>2</v>
      </c>
      <c r="G2331" s="2" t="str">
        <f t="shared" si="117"/>
        <v>https://www.oreht.ru/modules.php?name=orehtPriceLS&amp;op=Search&amp;page=1&amp;stext=402026</v>
      </c>
      <c r="I2331">
        <v>402026</v>
      </c>
      <c r="J2331" t="s">
        <v>2</v>
      </c>
      <c r="K2331" t="s">
        <v>5888</v>
      </c>
      <c r="L2331" t="s">
        <v>5889</v>
      </c>
      <c r="M2331" t="s">
        <v>5890</v>
      </c>
    </row>
    <row r="2332" spans="1:13" hidden="1" x14ac:dyDescent="0.25">
      <c r="A2332" s="24">
        <f t="shared" si="118"/>
        <v>20</v>
      </c>
      <c r="B2332" s="24">
        <v>9</v>
      </c>
      <c r="C2332" s="24">
        <v>63</v>
      </c>
      <c r="E2332" s="4">
        <v>133409</v>
      </c>
      <c r="F2332" s="2" t="s">
        <v>2</v>
      </c>
      <c r="G2332" s="2" t="str">
        <f t="shared" si="117"/>
        <v>https://www.oreht.ru/modules.php?name=orehtPriceLS&amp;op=Search&amp;page=1&amp;stext=133409</v>
      </c>
      <c r="I2332">
        <v>133409</v>
      </c>
      <c r="J2332" t="s">
        <v>2</v>
      </c>
      <c r="K2332" t="s">
        <v>5891</v>
      </c>
      <c r="L2332" t="s">
        <v>5892</v>
      </c>
      <c r="M2332" t="s">
        <v>5893</v>
      </c>
    </row>
    <row r="2333" spans="1:13" hidden="1" x14ac:dyDescent="0.25">
      <c r="A2333" s="24">
        <f t="shared" si="118"/>
        <v>20</v>
      </c>
      <c r="B2333" s="24">
        <v>9</v>
      </c>
      <c r="C2333" s="24">
        <v>61</v>
      </c>
      <c r="E2333" s="4">
        <v>460249</v>
      </c>
      <c r="F2333" s="2" t="s">
        <v>2</v>
      </c>
      <c r="G2333" s="2" t="str">
        <f t="shared" si="117"/>
        <v>https://www.oreht.ru/modules.php?name=orehtPriceLS&amp;op=Search&amp;page=1&amp;stext=460249</v>
      </c>
      <c r="I2333">
        <v>460249</v>
      </c>
      <c r="J2333" t="s">
        <v>2</v>
      </c>
      <c r="K2333" t="s">
        <v>5894</v>
      </c>
      <c r="L2333" t="s">
        <v>5895</v>
      </c>
      <c r="M2333" t="s">
        <v>5893</v>
      </c>
    </row>
    <row r="2334" spans="1:13" hidden="1" x14ac:dyDescent="0.25">
      <c r="A2334" s="24">
        <f t="shared" si="118"/>
        <v>20</v>
      </c>
      <c r="B2334" s="24">
        <v>9</v>
      </c>
      <c r="C2334" s="24">
        <v>50</v>
      </c>
      <c r="E2334" s="4">
        <v>432999</v>
      </c>
      <c r="F2334" s="2" t="s">
        <v>2</v>
      </c>
      <c r="G2334" s="2" t="str">
        <f t="shared" si="117"/>
        <v>https://www.oreht.ru/modules.php?name=orehtPriceLS&amp;op=Search&amp;page=1&amp;stext=432999</v>
      </c>
      <c r="I2334">
        <v>432999</v>
      </c>
      <c r="J2334" t="s">
        <v>2</v>
      </c>
      <c r="K2334" t="s">
        <v>5896</v>
      </c>
      <c r="L2334" t="s">
        <v>5897</v>
      </c>
      <c r="M2334" t="s">
        <v>5898</v>
      </c>
    </row>
    <row r="2335" spans="1:13" hidden="1" x14ac:dyDescent="0.25">
      <c r="A2335" s="24">
        <f t="shared" si="118"/>
        <v>20</v>
      </c>
      <c r="B2335" s="24">
        <v>9</v>
      </c>
      <c r="C2335" s="24">
        <v>225</v>
      </c>
      <c r="E2335" s="4">
        <v>433000</v>
      </c>
      <c r="F2335" s="2" t="s">
        <v>2</v>
      </c>
      <c r="G2335" s="2" t="str">
        <f t="shared" si="117"/>
        <v>https://www.oreht.ru/modules.php?name=orehtPriceLS&amp;op=Search&amp;page=1&amp;stext=433000</v>
      </c>
      <c r="I2335">
        <v>433000</v>
      </c>
      <c r="J2335" t="s">
        <v>2</v>
      </c>
      <c r="K2335" t="s">
        <v>5899</v>
      </c>
      <c r="L2335" t="s">
        <v>5900</v>
      </c>
      <c r="M2335" t="s">
        <v>5898</v>
      </c>
    </row>
    <row r="2336" spans="1:13" hidden="1" x14ac:dyDescent="0.25">
      <c r="A2336" s="24">
        <f t="shared" si="118"/>
        <v>20</v>
      </c>
      <c r="B2336" s="24">
        <v>9</v>
      </c>
      <c r="C2336" s="24">
        <v>225</v>
      </c>
      <c r="E2336" s="4">
        <v>433001</v>
      </c>
      <c r="F2336" s="2" t="s">
        <v>2</v>
      </c>
      <c r="G2336" s="2" t="str">
        <f t="shared" si="117"/>
        <v>https://www.oreht.ru/modules.php?name=orehtPriceLS&amp;op=Search&amp;page=1&amp;stext=433001</v>
      </c>
      <c r="I2336">
        <v>433001</v>
      </c>
      <c r="J2336" t="s">
        <v>2</v>
      </c>
      <c r="K2336" t="s">
        <v>5901</v>
      </c>
      <c r="L2336" t="s">
        <v>5902</v>
      </c>
      <c r="M2336" t="s">
        <v>5898</v>
      </c>
    </row>
    <row r="2337" spans="1:13" hidden="1" x14ac:dyDescent="0.25">
      <c r="A2337" s="24">
        <f t="shared" si="118"/>
        <v>20</v>
      </c>
      <c r="B2337" s="24">
        <v>9</v>
      </c>
      <c r="C2337" s="24">
        <v>63</v>
      </c>
      <c r="E2337" s="4">
        <v>452504</v>
      </c>
      <c r="F2337" s="2" t="s">
        <v>2</v>
      </c>
      <c r="G2337" s="2" t="str">
        <f t="shared" si="117"/>
        <v>https://www.oreht.ru/modules.php?name=orehtPriceLS&amp;op=Search&amp;page=1&amp;stext=452504</v>
      </c>
      <c r="I2337">
        <v>452504</v>
      </c>
      <c r="J2337" t="s">
        <v>2</v>
      </c>
      <c r="K2337" t="s">
        <v>5903</v>
      </c>
      <c r="L2337" t="s">
        <v>5904</v>
      </c>
      <c r="M2337" t="s">
        <v>5905</v>
      </c>
    </row>
    <row r="2338" spans="1:13" hidden="1" x14ac:dyDescent="0.25">
      <c r="A2338" s="24">
        <f t="shared" si="118"/>
        <v>20</v>
      </c>
      <c r="B2338" s="24">
        <v>9</v>
      </c>
      <c r="C2338" s="24">
        <v>63</v>
      </c>
      <c r="E2338" s="4">
        <v>452505</v>
      </c>
      <c r="F2338" s="2" t="s">
        <v>2</v>
      </c>
      <c r="G2338" s="2" t="str">
        <f t="shared" si="117"/>
        <v>https://www.oreht.ru/modules.php?name=orehtPriceLS&amp;op=Search&amp;page=1&amp;stext=452505</v>
      </c>
      <c r="I2338">
        <v>452505</v>
      </c>
      <c r="J2338" t="s">
        <v>2</v>
      </c>
      <c r="K2338" t="s">
        <v>5906</v>
      </c>
      <c r="L2338" t="s">
        <v>5907</v>
      </c>
      <c r="M2338" t="s">
        <v>5905</v>
      </c>
    </row>
    <row r="2339" spans="1:13" hidden="1" x14ac:dyDescent="0.25">
      <c r="A2339" s="24">
        <f t="shared" si="118"/>
        <v>20</v>
      </c>
      <c r="B2339" s="24">
        <v>9</v>
      </c>
      <c r="C2339" s="24">
        <v>69</v>
      </c>
      <c r="E2339" s="4">
        <v>362646</v>
      </c>
      <c r="F2339" s="2" t="s">
        <v>2</v>
      </c>
      <c r="G2339" s="2" t="str">
        <f t="shared" si="117"/>
        <v>https://www.oreht.ru/modules.php?name=orehtPriceLS&amp;op=Search&amp;page=1&amp;stext=362646</v>
      </c>
      <c r="I2339">
        <v>362646</v>
      </c>
      <c r="J2339" t="s">
        <v>2</v>
      </c>
      <c r="K2339" t="s">
        <v>5908</v>
      </c>
      <c r="L2339" t="s">
        <v>5909</v>
      </c>
      <c r="M2339" t="s">
        <v>5910</v>
      </c>
    </row>
    <row r="2340" spans="1:13" x14ac:dyDescent="0.25">
      <c r="A2340" s="24">
        <f t="shared" si="118"/>
        <v>20</v>
      </c>
      <c r="B2340" s="24">
        <v>9</v>
      </c>
      <c r="C2340" s="24">
        <v>79</v>
      </c>
      <c r="E2340" s="4">
        <v>411823</v>
      </c>
      <c r="F2340" s="2" t="s">
        <v>2</v>
      </c>
      <c r="G2340" s="2" t="str">
        <f t="shared" si="117"/>
        <v>https://www.oreht.ru/modules.php?name=orehtPriceLS&amp;op=Search&amp;page=1&amp;stext=411823</v>
      </c>
      <c r="I2340">
        <v>411823</v>
      </c>
      <c r="J2340" t="s">
        <v>2</v>
      </c>
      <c r="K2340" t="s">
        <v>5911</v>
      </c>
    </row>
    <row r="2341" spans="1:13" hidden="1" x14ac:dyDescent="0.25">
      <c r="A2341" s="24">
        <f t="shared" si="118"/>
        <v>20</v>
      </c>
      <c r="B2341" s="24">
        <v>9</v>
      </c>
      <c r="C2341" s="24">
        <v>50</v>
      </c>
      <c r="E2341" s="4">
        <v>337661</v>
      </c>
      <c r="F2341" s="2" t="s">
        <v>2</v>
      </c>
      <c r="G2341" s="2" t="str">
        <f t="shared" si="117"/>
        <v>https://www.oreht.ru/modules.php?name=orehtPriceLS&amp;op=Search&amp;page=1&amp;stext=337661</v>
      </c>
      <c r="I2341">
        <v>337661</v>
      </c>
      <c r="J2341" t="s">
        <v>2</v>
      </c>
      <c r="K2341" t="s">
        <v>5912</v>
      </c>
      <c r="L2341" t="s">
        <v>5913</v>
      </c>
      <c r="M2341" t="s">
        <v>5914</v>
      </c>
    </row>
    <row r="2342" spans="1:13" hidden="1" x14ac:dyDescent="0.25">
      <c r="A2342" s="24">
        <f t="shared" si="118"/>
        <v>20</v>
      </c>
      <c r="B2342" s="24">
        <v>9</v>
      </c>
      <c r="C2342" s="24">
        <v>67</v>
      </c>
      <c r="E2342" s="4">
        <v>342049</v>
      </c>
      <c r="F2342" s="2" t="s">
        <v>2</v>
      </c>
      <c r="G2342" s="2" t="str">
        <f t="shared" si="117"/>
        <v>https://www.oreht.ru/modules.php?name=orehtPriceLS&amp;op=Search&amp;page=1&amp;stext=342049</v>
      </c>
      <c r="I2342">
        <v>342049</v>
      </c>
      <c r="J2342" t="s">
        <v>2</v>
      </c>
      <c r="K2342" t="s">
        <v>5915</v>
      </c>
      <c r="L2342" t="s">
        <v>5916</v>
      </c>
      <c r="M2342" t="s">
        <v>5917</v>
      </c>
    </row>
    <row r="2343" spans="1:13" hidden="1" x14ac:dyDescent="0.25">
      <c r="A2343" s="24">
        <f t="shared" si="118"/>
        <v>20</v>
      </c>
      <c r="B2343" s="24">
        <v>9</v>
      </c>
      <c r="C2343" s="24">
        <v>50</v>
      </c>
      <c r="E2343" s="4">
        <v>451170</v>
      </c>
      <c r="F2343" s="2" t="s">
        <v>2</v>
      </c>
      <c r="G2343" s="2" t="str">
        <f t="shared" si="117"/>
        <v>https://www.oreht.ru/modules.php?name=orehtPriceLS&amp;op=Search&amp;page=1&amp;stext=451170</v>
      </c>
      <c r="I2343">
        <v>451170</v>
      </c>
      <c r="J2343" t="s">
        <v>2</v>
      </c>
      <c r="K2343" t="s">
        <v>5918</v>
      </c>
      <c r="L2343" t="s">
        <v>5919</v>
      </c>
      <c r="M2343" t="s">
        <v>5920</v>
      </c>
    </row>
    <row r="2344" spans="1:13" hidden="1" x14ac:dyDescent="0.25">
      <c r="A2344" s="24">
        <f t="shared" si="118"/>
        <v>20</v>
      </c>
      <c r="B2344" s="24">
        <v>9</v>
      </c>
      <c r="C2344" s="24">
        <v>60</v>
      </c>
      <c r="E2344" s="4">
        <v>263086</v>
      </c>
      <c r="F2344" s="2" t="s">
        <v>2</v>
      </c>
      <c r="G2344" s="2" t="str">
        <f t="shared" si="117"/>
        <v>https://www.oreht.ru/modules.php?name=orehtPriceLS&amp;op=Search&amp;page=1&amp;stext=263086</v>
      </c>
      <c r="I2344">
        <v>263086</v>
      </c>
      <c r="J2344" t="s">
        <v>2</v>
      </c>
      <c r="K2344" t="s">
        <v>5921</v>
      </c>
      <c r="L2344" t="s">
        <v>5922</v>
      </c>
      <c r="M2344" t="s">
        <v>5923</v>
      </c>
    </row>
    <row r="2345" spans="1:13" hidden="1" x14ac:dyDescent="0.25">
      <c r="A2345" s="24">
        <f t="shared" si="118"/>
        <v>20</v>
      </c>
      <c r="B2345" s="24">
        <v>10</v>
      </c>
      <c r="C2345" s="24">
        <v>60</v>
      </c>
      <c r="E2345" s="4">
        <v>417345</v>
      </c>
      <c r="F2345" s="2" t="s">
        <v>2</v>
      </c>
      <c r="G2345" s="2" t="str">
        <f t="shared" si="117"/>
        <v>https://www.oreht.ru/modules.php?name=orehtPriceLS&amp;op=Search&amp;page=1&amp;stext=417345</v>
      </c>
      <c r="I2345">
        <v>417345</v>
      </c>
      <c r="J2345" t="s">
        <v>2</v>
      </c>
      <c r="K2345" t="s">
        <v>5924</v>
      </c>
      <c r="L2345" t="s">
        <v>5925</v>
      </c>
      <c r="M2345" t="s">
        <v>5926</v>
      </c>
    </row>
    <row r="2346" spans="1:13" hidden="1" x14ac:dyDescent="0.25">
      <c r="A2346" s="24">
        <f t="shared" si="118"/>
        <v>20</v>
      </c>
      <c r="B2346" s="24">
        <v>9</v>
      </c>
      <c r="C2346" s="24">
        <v>79</v>
      </c>
      <c r="E2346" s="4">
        <v>283403</v>
      </c>
      <c r="F2346" s="2" t="s">
        <v>2</v>
      </c>
      <c r="G2346" s="2" t="str">
        <f t="shared" si="117"/>
        <v>https://www.oreht.ru/modules.php?name=orehtPriceLS&amp;op=Search&amp;page=1&amp;stext=283403</v>
      </c>
      <c r="I2346">
        <v>283403</v>
      </c>
      <c r="J2346" t="s">
        <v>2</v>
      </c>
      <c r="K2346" t="s">
        <v>5927</v>
      </c>
      <c r="L2346" t="s">
        <v>5928</v>
      </c>
      <c r="M2346" t="s">
        <v>5926</v>
      </c>
    </row>
    <row r="2347" spans="1:13" hidden="1" x14ac:dyDescent="0.25">
      <c r="A2347" s="24">
        <f t="shared" si="118"/>
        <v>20</v>
      </c>
      <c r="B2347" s="24">
        <v>9</v>
      </c>
      <c r="C2347" s="24">
        <v>71</v>
      </c>
      <c r="E2347" s="4">
        <v>400157</v>
      </c>
      <c r="F2347" s="2" t="s">
        <v>2</v>
      </c>
      <c r="G2347" s="2" t="str">
        <f t="shared" si="117"/>
        <v>https://www.oreht.ru/modules.php?name=orehtPriceLS&amp;op=Search&amp;page=1&amp;stext=400157</v>
      </c>
      <c r="I2347">
        <v>400157</v>
      </c>
      <c r="J2347" t="s">
        <v>2</v>
      </c>
      <c r="K2347" t="s">
        <v>5929</v>
      </c>
      <c r="L2347" t="s">
        <v>5930</v>
      </c>
      <c r="M2347" t="s">
        <v>5931</v>
      </c>
    </row>
    <row r="2348" spans="1:13" hidden="1" x14ac:dyDescent="0.25">
      <c r="A2348" s="24">
        <f t="shared" si="118"/>
        <v>20</v>
      </c>
      <c r="B2348" s="24">
        <v>9</v>
      </c>
      <c r="C2348" s="24">
        <v>61</v>
      </c>
      <c r="E2348" s="4">
        <v>378769</v>
      </c>
      <c r="F2348" s="2" t="s">
        <v>2</v>
      </c>
      <c r="G2348" s="2" t="str">
        <f t="shared" si="117"/>
        <v>https://www.oreht.ru/modules.php?name=orehtPriceLS&amp;op=Search&amp;page=1&amp;stext=378769</v>
      </c>
      <c r="I2348">
        <v>378769</v>
      </c>
      <c r="J2348" t="s">
        <v>2</v>
      </c>
      <c r="K2348" t="s">
        <v>5932</v>
      </c>
      <c r="L2348" t="s">
        <v>5933</v>
      </c>
      <c r="M2348" t="s">
        <v>5934</v>
      </c>
    </row>
    <row r="2349" spans="1:13" x14ac:dyDescent="0.25">
      <c r="A2349" s="24">
        <f t="shared" si="118"/>
        <v>20</v>
      </c>
      <c r="B2349" s="24">
        <v>15</v>
      </c>
      <c r="C2349" s="24">
        <v>61</v>
      </c>
      <c r="E2349" s="4">
        <v>312069</v>
      </c>
      <c r="F2349" s="2" t="s">
        <v>2</v>
      </c>
      <c r="G2349" s="2" t="str">
        <f t="shared" si="117"/>
        <v>https://www.oreht.ru/modules.php?name=orehtPriceLS&amp;op=Search&amp;page=1&amp;stext=312069</v>
      </c>
      <c r="I2349">
        <v>312069</v>
      </c>
      <c r="J2349" t="s">
        <v>2</v>
      </c>
      <c r="K2349" t="s">
        <v>5935</v>
      </c>
      <c r="L2349" t="s">
        <v>5936</v>
      </c>
      <c r="M2349" t="s">
        <v>649</v>
      </c>
    </row>
    <row r="2350" spans="1:13" x14ac:dyDescent="0.25">
      <c r="A2350" s="24">
        <f t="shared" si="118"/>
        <v>20</v>
      </c>
      <c r="B2350" s="24">
        <v>9</v>
      </c>
      <c r="C2350" s="24">
        <v>79</v>
      </c>
      <c r="E2350" s="4">
        <v>438687</v>
      </c>
      <c r="F2350" s="2" t="s">
        <v>2</v>
      </c>
      <c r="G2350" s="2" t="str">
        <f t="shared" si="117"/>
        <v>https://www.oreht.ru/modules.php?name=orehtPriceLS&amp;op=Search&amp;page=1&amp;stext=438687</v>
      </c>
      <c r="I2350">
        <v>438687</v>
      </c>
      <c r="J2350" t="s">
        <v>2</v>
      </c>
      <c r="K2350" t="s">
        <v>5937</v>
      </c>
      <c r="L2350" t="s">
        <v>5938</v>
      </c>
      <c r="M2350" t="s">
        <v>649</v>
      </c>
    </row>
    <row r="2351" spans="1:13" hidden="1" x14ac:dyDescent="0.25">
      <c r="A2351" s="24">
        <f t="shared" si="118"/>
        <v>20</v>
      </c>
      <c r="B2351" s="24">
        <v>9</v>
      </c>
      <c r="C2351" s="24">
        <v>135</v>
      </c>
      <c r="E2351" s="4">
        <v>328502</v>
      </c>
      <c r="F2351" s="2" t="s">
        <v>2</v>
      </c>
      <c r="G2351" s="2" t="str">
        <f t="shared" si="117"/>
        <v>https://www.oreht.ru/modules.php?name=orehtPriceLS&amp;op=Search&amp;page=1&amp;stext=328502</v>
      </c>
      <c r="I2351">
        <v>328502</v>
      </c>
      <c r="J2351" t="s">
        <v>2</v>
      </c>
      <c r="K2351" t="s">
        <v>5939</v>
      </c>
      <c r="L2351" t="s">
        <v>5940</v>
      </c>
      <c r="M2351" t="s">
        <v>5941</v>
      </c>
    </row>
    <row r="2352" spans="1:13" hidden="1" x14ac:dyDescent="0.25">
      <c r="A2352" s="24">
        <f t="shared" si="118"/>
        <v>20</v>
      </c>
      <c r="B2352" s="24">
        <v>15</v>
      </c>
      <c r="C2352" s="24">
        <v>79</v>
      </c>
      <c r="E2352" s="4">
        <v>442350</v>
      </c>
      <c r="F2352" s="2" t="s">
        <v>2</v>
      </c>
      <c r="G2352" s="2" t="str">
        <f t="shared" si="117"/>
        <v>https://www.oreht.ru/modules.php?name=orehtPriceLS&amp;op=Search&amp;page=1&amp;stext=442350</v>
      </c>
      <c r="I2352">
        <v>442350</v>
      </c>
      <c r="J2352" t="s">
        <v>2</v>
      </c>
      <c r="K2352" t="s">
        <v>5942</v>
      </c>
      <c r="L2352" t="s">
        <v>5943</v>
      </c>
      <c r="M2352" t="s">
        <v>5944</v>
      </c>
    </row>
    <row r="2353" spans="1:13" x14ac:dyDescent="0.25">
      <c r="A2353" s="24">
        <f t="shared" si="118"/>
        <v>20</v>
      </c>
      <c r="B2353" s="24">
        <v>15</v>
      </c>
      <c r="C2353" s="24">
        <v>185</v>
      </c>
      <c r="E2353" s="4">
        <v>255716</v>
      </c>
      <c r="F2353" s="2" t="s">
        <v>2</v>
      </c>
      <c r="G2353" s="2" t="str">
        <f t="shared" si="117"/>
        <v>https://www.oreht.ru/modules.php?name=orehtPriceLS&amp;op=Search&amp;page=1&amp;stext=255716</v>
      </c>
      <c r="I2353">
        <v>255716</v>
      </c>
      <c r="J2353" t="s">
        <v>2</v>
      </c>
      <c r="K2353" t="s">
        <v>5945</v>
      </c>
      <c r="L2353" t="s">
        <v>5946</v>
      </c>
      <c r="M2353" t="s">
        <v>649</v>
      </c>
    </row>
    <row r="2354" spans="1:13" hidden="1" x14ac:dyDescent="0.25">
      <c r="A2354" s="24">
        <f t="shared" si="118"/>
        <v>20</v>
      </c>
      <c r="B2354" s="24">
        <v>9</v>
      </c>
      <c r="C2354" s="24">
        <v>60</v>
      </c>
      <c r="E2354" s="4">
        <v>390696</v>
      </c>
      <c r="F2354" s="2" t="s">
        <v>2</v>
      </c>
      <c r="G2354" s="2" t="str">
        <f t="shared" si="117"/>
        <v>https://www.oreht.ru/modules.php?name=orehtPriceLS&amp;op=Search&amp;page=1&amp;stext=390696</v>
      </c>
      <c r="I2354">
        <v>390696</v>
      </c>
      <c r="J2354" t="s">
        <v>2</v>
      </c>
      <c r="K2354" t="s">
        <v>5947</v>
      </c>
      <c r="L2354" t="s">
        <v>5948</v>
      </c>
      <c r="M2354" t="s">
        <v>5949</v>
      </c>
    </row>
    <row r="2355" spans="1:13" hidden="1" x14ac:dyDescent="0.25">
      <c r="A2355" s="24">
        <f t="shared" si="118"/>
        <v>20</v>
      </c>
      <c r="B2355" s="24">
        <v>9</v>
      </c>
      <c r="C2355" s="24">
        <v>50</v>
      </c>
      <c r="E2355" s="4">
        <v>371504</v>
      </c>
      <c r="F2355" s="2" t="s">
        <v>2</v>
      </c>
      <c r="G2355" s="2" t="str">
        <f t="shared" si="117"/>
        <v>https://www.oreht.ru/modules.php?name=orehtPriceLS&amp;op=Search&amp;page=1&amp;stext=371504</v>
      </c>
      <c r="I2355">
        <v>371504</v>
      </c>
      <c r="J2355" t="s">
        <v>2</v>
      </c>
      <c r="K2355" t="s">
        <v>5950</v>
      </c>
      <c r="L2355" t="s">
        <v>5951</v>
      </c>
      <c r="M2355" t="s">
        <v>5952</v>
      </c>
    </row>
    <row r="2356" spans="1:13" hidden="1" x14ac:dyDescent="0.25">
      <c r="A2356" s="24">
        <f t="shared" si="118"/>
        <v>20</v>
      </c>
      <c r="B2356" s="24">
        <v>9</v>
      </c>
      <c r="C2356" s="24">
        <v>50</v>
      </c>
      <c r="E2356" s="4">
        <v>455244</v>
      </c>
      <c r="F2356" s="2" t="s">
        <v>2</v>
      </c>
      <c r="G2356" s="2" t="str">
        <f t="shared" si="117"/>
        <v>https://www.oreht.ru/modules.php?name=orehtPriceLS&amp;op=Search&amp;page=1&amp;stext=455244</v>
      </c>
      <c r="I2356">
        <v>455244</v>
      </c>
      <c r="J2356" t="s">
        <v>2</v>
      </c>
      <c r="K2356" t="s">
        <v>5953</v>
      </c>
      <c r="L2356" t="s">
        <v>5954</v>
      </c>
      <c r="M2356" t="s">
        <v>5955</v>
      </c>
    </row>
    <row r="2357" spans="1:13" hidden="1" x14ac:dyDescent="0.25">
      <c r="A2357" s="24">
        <f t="shared" si="118"/>
        <v>20</v>
      </c>
      <c r="B2357" s="24">
        <v>9</v>
      </c>
      <c r="C2357" s="24">
        <v>60</v>
      </c>
      <c r="E2357" s="4">
        <v>268391</v>
      </c>
      <c r="F2357" s="2" t="s">
        <v>2</v>
      </c>
      <c r="G2357" s="2" t="str">
        <f t="shared" si="117"/>
        <v>https://www.oreht.ru/modules.php?name=orehtPriceLS&amp;op=Search&amp;page=1&amp;stext=268391</v>
      </c>
      <c r="I2357">
        <v>268391</v>
      </c>
      <c r="J2357" t="s">
        <v>2</v>
      </c>
      <c r="K2357" t="s">
        <v>5956</v>
      </c>
      <c r="L2357" t="s">
        <v>5957</v>
      </c>
      <c r="M2357" t="s">
        <v>5958</v>
      </c>
    </row>
    <row r="2358" spans="1:13" hidden="1" x14ac:dyDescent="0.25">
      <c r="A2358" s="24">
        <f t="shared" si="118"/>
        <v>20</v>
      </c>
      <c r="B2358" s="24">
        <v>9</v>
      </c>
      <c r="C2358" s="24">
        <v>79</v>
      </c>
      <c r="E2358" s="4">
        <v>445595</v>
      </c>
      <c r="F2358" s="2" t="s">
        <v>2</v>
      </c>
      <c r="G2358" s="2" t="str">
        <f t="shared" si="117"/>
        <v>https://www.oreht.ru/modules.php?name=orehtPriceLS&amp;op=Search&amp;page=1&amp;stext=445595</v>
      </c>
      <c r="I2358">
        <v>445595</v>
      </c>
      <c r="J2358" t="s">
        <v>2</v>
      </c>
      <c r="K2358" t="s">
        <v>5959</v>
      </c>
      <c r="L2358" t="s">
        <v>5960</v>
      </c>
      <c r="M2358" t="s">
        <v>5961</v>
      </c>
    </row>
    <row r="2359" spans="1:13" hidden="1" x14ac:dyDescent="0.25">
      <c r="A2359" s="24">
        <f t="shared" si="118"/>
        <v>20</v>
      </c>
      <c r="B2359" s="24">
        <v>9</v>
      </c>
      <c r="C2359" s="24">
        <v>71</v>
      </c>
      <c r="E2359" s="4">
        <v>415164</v>
      </c>
      <c r="F2359" s="2" t="s">
        <v>2</v>
      </c>
      <c r="G2359" s="2" t="str">
        <f t="shared" si="117"/>
        <v>https://www.oreht.ru/modules.php?name=orehtPriceLS&amp;op=Search&amp;page=1&amp;stext=415164</v>
      </c>
      <c r="I2359">
        <v>415164</v>
      </c>
      <c r="J2359" t="s">
        <v>2</v>
      </c>
      <c r="K2359" t="s">
        <v>5962</v>
      </c>
      <c r="L2359" t="s">
        <v>5963</v>
      </c>
      <c r="M2359" t="s">
        <v>5964</v>
      </c>
    </row>
    <row r="2360" spans="1:13" hidden="1" x14ac:dyDescent="0.25">
      <c r="A2360" s="24">
        <f t="shared" si="118"/>
        <v>20</v>
      </c>
      <c r="B2360" s="24">
        <v>9</v>
      </c>
      <c r="C2360" s="24">
        <v>60</v>
      </c>
      <c r="E2360" s="4">
        <v>138147</v>
      </c>
      <c r="F2360" s="2" t="s">
        <v>2</v>
      </c>
      <c r="G2360" s="2" t="str">
        <f t="shared" si="117"/>
        <v>https://www.oreht.ru/modules.php?name=orehtPriceLS&amp;op=Search&amp;page=1&amp;stext=138147</v>
      </c>
      <c r="I2360">
        <v>138147</v>
      </c>
      <c r="J2360" t="s">
        <v>2</v>
      </c>
      <c r="K2360" t="s">
        <v>5965</v>
      </c>
      <c r="L2360" t="s">
        <v>5966</v>
      </c>
      <c r="M2360" t="s">
        <v>5967</v>
      </c>
    </row>
    <row r="2361" spans="1:13" hidden="1" x14ac:dyDescent="0.25">
      <c r="A2361" s="24">
        <f t="shared" si="118"/>
        <v>20</v>
      </c>
      <c r="B2361" s="24">
        <v>8</v>
      </c>
      <c r="C2361" s="24">
        <v>50</v>
      </c>
      <c r="E2361" s="4">
        <v>350164</v>
      </c>
      <c r="F2361" s="2" t="s">
        <v>2</v>
      </c>
      <c r="G2361" s="2" t="str">
        <f t="shared" si="117"/>
        <v>https://www.oreht.ru/modules.php?name=orehtPriceLS&amp;op=Search&amp;page=1&amp;stext=350164</v>
      </c>
      <c r="I2361">
        <v>350164</v>
      </c>
      <c r="J2361" t="s">
        <v>2</v>
      </c>
      <c r="K2361" t="s">
        <v>5968</v>
      </c>
      <c r="L2361" t="s">
        <v>5969</v>
      </c>
      <c r="M2361" t="s">
        <v>5970</v>
      </c>
    </row>
    <row r="2362" spans="1:13" hidden="1" x14ac:dyDescent="0.25">
      <c r="A2362" s="24">
        <f t="shared" si="118"/>
        <v>20</v>
      </c>
      <c r="B2362" s="24">
        <v>9</v>
      </c>
      <c r="C2362" s="24">
        <v>79</v>
      </c>
      <c r="E2362" s="4">
        <v>333756</v>
      </c>
      <c r="F2362" s="2" t="s">
        <v>2</v>
      </c>
      <c r="G2362" s="2" t="str">
        <f t="shared" si="117"/>
        <v>https://www.oreht.ru/modules.php?name=orehtPriceLS&amp;op=Search&amp;page=1&amp;stext=333756</v>
      </c>
      <c r="I2362">
        <v>333756</v>
      </c>
      <c r="J2362" t="s">
        <v>2</v>
      </c>
      <c r="K2362" t="s">
        <v>5971</v>
      </c>
      <c r="L2362" t="s">
        <v>5972</v>
      </c>
      <c r="M2362" t="s">
        <v>5973</v>
      </c>
    </row>
    <row r="2363" spans="1:13" hidden="1" x14ac:dyDescent="0.25">
      <c r="A2363" s="24">
        <f t="shared" si="118"/>
        <v>20</v>
      </c>
      <c r="B2363" s="24">
        <v>9</v>
      </c>
      <c r="C2363" s="24">
        <v>60</v>
      </c>
      <c r="E2363" s="4">
        <v>420024</v>
      </c>
      <c r="F2363" s="2" t="s">
        <v>2</v>
      </c>
      <c r="G2363" s="2" t="str">
        <f t="shared" si="117"/>
        <v>https://www.oreht.ru/modules.php?name=orehtPriceLS&amp;op=Search&amp;page=1&amp;stext=420024</v>
      </c>
      <c r="I2363">
        <v>420024</v>
      </c>
      <c r="J2363" t="s">
        <v>2</v>
      </c>
      <c r="K2363" t="s">
        <v>5974</v>
      </c>
      <c r="L2363" t="s">
        <v>5975</v>
      </c>
      <c r="M2363" t="s">
        <v>5976</v>
      </c>
    </row>
    <row r="2364" spans="1:13" x14ac:dyDescent="0.25">
      <c r="A2364" s="24">
        <f t="shared" si="118"/>
        <v>20</v>
      </c>
      <c r="B2364" s="24">
        <v>9</v>
      </c>
      <c r="C2364" s="24">
        <v>70</v>
      </c>
      <c r="E2364" s="4">
        <v>402020</v>
      </c>
      <c r="F2364" s="2" t="s">
        <v>2</v>
      </c>
      <c r="G2364" s="2" t="str">
        <f t="shared" si="117"/>
        <v>https://www.oreht.ru/modules.php?name=orehtPriceLS&amp;op=Search&amp;page=1&amp;stext=402020</v>
      </c>
      <c r="I2364">
        <v>402020</v>
      </c>
      <c r="J2364" t="s">
        <v>2</v>
      </c>
      <c r="K2364" t="s">
        <v>5977</v>
      </c>
    </row>
    <row r="2365" spans="1:13" hidden="1" x14ac:dyDescent="0.25">
      <c r="A2365" s="24">
        <f t="shared" si="118"/>
        <v>20</v>
      </c>
      <c r="B2365" s="24">
        <v>15</v>
      </c>
      <c r="C2365" s="24">
        <v>60</v>
      </c>
      <c r="E2365" s="4">
        <v>314815</v>
      </c>
      <c r="F2365" s="2" t="s">
        <v>2</v>
      </c>
      <c r="G2365" s="2" t="str">
        <f t="shared" si="117"/>
        <v>https://www.oreht.ru/modules.php?name=orehtPriceLS&amp;op=Search&amp;page=1&amp;stext=314815</v>
      </c>
      <c r="I2365">
        <v>314815</v>
      </c>
      <c r="J2365" t="s">
        <v>2</v>
      </c>
      <c r="K2365" t="s">
        <v>5978</v>
      </c>
      <c r="L2365" t="s">
        <v>5979</v>
      </c>
      <c r="M2365" t="s">
        <v>5980</v>
      </c>
    </row>
    <row r="2366" spans="1:13" hidden="1" x14ac:dyDescent="0.25">
      <c r="A2366" s="24">
        <f t="shared" si="118"/>
        <v>20</v>
      </c>
      <c r="B2366" s="24">
        <v>9</v>
      </c>
      <c r="C2366" s="24">
        <v>50</v>
      </c>
      <c r="E2366" s="4">
        <v>262429</v>
      </c>
      <c r="F2366" s="2" t="s">
        <v>2</v>
      </c>
      <c r="G2366" s="2" t="str">
        <f t="shared" si="117"/>
        <v>https://www.oreht.ru/modules.php?name=orehtPriceLS&amp;op=Search&amp;page=1&amp;stext=262429</v>
      </c>
      <c r="I2366">
        <v>262429</v>
      </c>
      <c r="J2366" t="s">
        <v>2</v>
      </c>
      <c r="K2366" t="s">
        <v>5981</v>
      </c>
      <c r="L2366" t="s">
        <v>5982</v>
      </c>
      <c r="M2366" t="s">
        <v>5983</v>
      </c>
    </row>
    <row r="2367" spans="1:13" hidden="1" x14ac:dyDescent="0.25">
      <c r="A2367" s="24">
        <f t="shared" si="118"/>
        <v>20</v>
      </c>
      <c r="B2367" s="24">
        <v>9</v>
      </c>
      <c r="C2367" s="24">
        <v>69</v>
      </c>
      <c r="E2367" s="4">
        <v>415161</v>
      </c>
      <c r="F2367" s="2" t="s">
        <v>2</v>
      </c>
      <c r="G2367" s="2" t="str">
        <f t="shared" si="117"/>
        <v>https://www.oreht.ru/modules.php?name=orehtPriceLS&amp;op=Search&amp;page=1&amp;stext=415161</v>
      </c>
      <c r="I2367">
        <v>415161</v>
      </c>
      <c r="J2367" t="s">
        <v>2</v>
      </c>
      <c r="K2367" t="s">
        <v>5984</v>
      </c>
      <c r="L2367" t="s">
        <v>5985</v>
      </c>
      <c r="M2367" t="s">
        <v>5986</v>
      </c>
    </row>
    <row r="2368" spans="1:13" hidden="1" x14ac:dyDescent="0.25">
      <c r="A2368" s="24">
        <f t="shared" si="118"/>
        <v>20</v>
      </c>
      <c r="B2368" s="24">
        <v>15</v>
      </c>
      <c r="C2368" s="24">
        <v>70</v>
      </c>
      <c r="E2368" s="4">
        <v>185609</v>
      </c>
      <c r="F2368" s="2" t="s">
        <v>2</v>
      </c>
      <c r="G2368" s="2" t="str">
        <f t="shared" si="117"/>
        <v>https://www.oreht.ru/modules.php?name=orehtPriceLS&amp;op=Search&amp;page=1&amp;stext=185609</v>
      </c>
      <c r="I2368">
        <v>185609</v>
      </c>
      <c r="J2368" t="s">
        <v>2</v>
      </c>
      <c r="K2368" t="s">
        <v>5987</v>
      </c>
      <c r="L2368" t="s">
        <v>5988</v>
      </c>
      <c r="M2368" t="s">
        <v>5989</v>
      </c>
    </row>
    <row r="2369" spans="1:13" hidden="1" x14ac:dyDescent="0.25">
      <c r="A2369" s="24">
        <f t="shared" si="118"/>
        <v>20</v>
      </c>
      <c r="B2369" s="24">
        <v>9</v>
      </c>
      <c r="C2369" s="24">
        <v>100</v>
      </c>
      <c r="E2369" s="4">
        <v>230803</v>
      </c>
      <c r="F2369" s="2" t="s">
        <v>2</v>
      </c>
      <c r="G2369" s="2" t="str">
        <f t="shared" si="117"/>
        <v>https://www.oreht.ru/modules.php?name=orehtPriceLS&amp;op=Search&amp;page=1&amp;stext=230803</v>
      </c>
      <c r="I2369">
        <v>230803</v>
      </c>
      <c r="J2369" t="s">
        <v>2</v>
      </c>
      <c r="K2369" t="s">
        <v>5990</v>
      </c>
      <c r="L2369" t="s">
        <v>5991</v>
      </c>
      <c r="M2369" t="s">
        <v>5992</v>
      </c>
    </row>
    <row r="2370" spans="1:13" hidden="1" x14ac:dyDescent="0.25">
      <c r="A2370" s="24">
        <f t="shared" si="118"/>
        <v>20</v>
      </c>
      <c r="B2370" s="24">
        <v>15</v>
      </c>
      <c r="C2370" s="24">
        <v>70</v>
      </c>
      <c r="E2370" s="4">
        <v>384399</v>
      </c>
      <c r="F2370" s="2" t="s">
        <v>2</v>
      </c>
      <c r="G2370" s="2" t="str">
        <f t="shared" ref="G2370:G2433" si="119">HYPERLINK(F2370&amp;E2370)</f>
        <v>https://www.oreht.ru/modules.php?name=orehtPriceLS&amp;op=Search&amp;page=1&amp;stext=384399</v>
      </c>
      <c r="I2370">
        <v>384399</v>
      </c>
      <c r="J2370" t="s">
        <v>2</v>
      </c>
      <c r="K2370" t="s">
        <v>5993</v>
      </c>
      <c r="L2370" t="s">
        <v>5994</v>
      </c>
      <c r="M2370" t="s">
        <v>5995</v>
      </c>
    </row>
    <row r="2371" spans="1:13" hidden="1" x14ac:dyDescent="0.25">
      <c r="A2371" s="24">
        <f t="shared" si="118"/>
        <v>20</v>
      </c>
      <c r="B2371" s="24">
        <v>9</v>
      </c>
      <c r="C2371" s="24">
        <v>50</v>
      </c>
      <c r="E2371" s="4">
        <v>396940</v>
      </c>
      <c r="F2371" s="2" t="s">
        <v>2</v>
      </c>
      <c r="G2371" s="2" t="str">
        <f t="shared" si="119"/>
        <v>https://www.oreht.ru/modules.php?name=orehtPriceLS&amp;op=Search&amp;page=1&amp;stext=396940</v>
      </c>
      <c r="I2371">
        <v>396940</v>
      </c>
      <c r="J2371" t="s">
        <v>2</v>
      </c>
      <c r="K2371" t="s">
        <v>5996</v>
      </c>
      <c r="L2371" t="s">
        <v>5997</v>
      </c>
      <c r="M2371" t="s">
        <v>5995</v>
      </c>
    </row>
    <row r="2372" spans="1:13" hidden="1" x14ac:dyDescent="0.25">
      <c r="A2372" s="24">
        <f t="shared" si="118"/>
        <v>20</v>
      </c>
      <c r="B2372" s="24">
        <v>9</v>
      </c>
      <c r="C2372" s="24">
        <v>60</v>
      </c>
      <c r="E2372" s="4">
        <v>444261</v>
      </c>
      <c r="F2372" s="2" t="s">
        <v>2</v>
      </c>
      <c r="G2372" s="2" t="str">
        <f t="shared" si="119"/>
        <v>https://www.oreht.ru/modules.php?name=orehtPriceLS&amp;op=Search&amp;page=1&amp;stext=444261</v>
      </c>
      <c r="I2372">
        <v>444261</v>
      </c>
      <c r="J2372" t="s">
        <v>2</v>
      </c>
      <c r="K2372" t="s">
        <v>5998</v>
      </c>
      <c r="L2372" t="s">
        <v>5999</v>
      </c>
      <c r="M2372" t="s">
        <v>6000</v>
      </c>
    </row>
    <row r="2373" spans="1:13" hidden="1" x14ac:dyDescent="0.25">
      <c r="A2373" s="24">
        <f t="shared" ref="A2373:A2436" si="120">IF(W2373*0.05&gt;=250,250,IF(W2373*0.05&gt;=20,IF(W2373*0.05&lt;20,20,W2373*0.05),20))</f>
        <v>20</v>
      </c>
      <c r="B2373" s="24">
        <v>9</v>
      </c>
      <c r="C2373" s="24">
        <v>60</v>
      </c>
      <c r="E2373" s="4">
        <v>283395</v>
      </c>
      <c r="F2373" s="2" t="s">
        <v>2</v>
      </c>
      <c r="G2373" s="2" t="str">
        <f t="shared" si="119"/>
        <v>https://www.oreht.ru/modules.php?name=orehtPriceLS&amp;op=Search&amp;page=1&amp;stext=283395</v>
      </c>
      <c r="I2373">
        <v>283395</v>
      </c>
      <c r="J2373" t="s">
        <v>2</v>
      </c>
      <c r="K2373" t="s">
        <v>6001</v>
      </c>
      <c r="L2373" t="s">
        <v>6002</v>
      </c>
      <c r="M2373" t="s">
        <v>6003</v>
      </c>
    </row>
    <row r="2374" spans="1:13" hidden="1" x14ac:dyDescent="0.25">
      <c r="A2374" s="24">
        <f t="shared" si="120"/>
        <v>20</v>
      </c>
      <c r="B2374" s="24">
        <v>9</v>
      </c>
      <c r="C2374" s="24">
        <v>50</v>
      </c>
      <c r="E2374" s="4">
        <v>393101</v>
      </c>
      <c r="F2374" s="2" t="s">
        <v>2</v>
      </c>
      <c r="G2374" s="2" t="str">
        <f t="shared" si="119"/>
        <v>https://www.oreht.ru/modules.php?name=orehtPriceLS&amp;op=Search&amp;page=1&amp;stext=393101</v>
      </c>
      <c r="I2374">
        <v>393101</v>
      </c>
      <c r="J2374" t="s">
        <v>2</v>
      </c>
      <c r="K2374" t="s">
        <v>6004</v>
      </c>
      <c r="L2374" t="s">
        <v>6005</v>
      </c>
      <c r="M2374" t="s">
        <v>6006</v>
      </c>
    </row>
    <row r="2375" spans="1:13" hidden="1" x14ac:dyDescent="0.25">
      <c r="A2375" s="24">
        <f t="shared" si="120"/>
        <v>20</v>
      </c>
      <c r="B2375" s="24">
        <v>9</v>
      </c>
      <c r="C2375" s="24">
        <v>50</v>
      </c>
      <c r="E2375" s="4">
        <v>442666</v>
      </c>
      <c r="F2375" s="2" t="s">
        <v>2</v>
      </c>
      <c r="G2375" s="2" t="str">
        <f t="shared" si="119"/>
        <v>https://www.oreht.ru/modules.php?name=orehtPriceLS&amp;op=Search&amp;page=1&amp;stext=442666</v>
      </c>
      <c r="I2375">
        <v>442666</v>
      </c>
      <c r="J2375" t="s">
        <v>2</v>
      </c>
      <c r="K2375" t="s">
        <v>6007</v>
      </c>
      <c r="L2375" t="s">
        <v>6008</v>
      </c>
      <c r="M2375" t="s">
        <v>6006</v>
      </c>
    </row>
    <row r="2376" spans="1:13" x14ac:dyDescent="0.25">
      <c r="A2376" s="24">
        <f t="shared" si="120"/>
        <v>20</v>
      </c>
      <c r="B2376" s="24">
        <v>9</v>
      </c>
      <c r="C2376" s="24">
        <v>50</v>
      </c>
      <c r="E2376" s="4">
        <v>434531</v>
      </c>
      <c r="F2376" s="2" t="s">
        <v>2</v>
      </c>
      <c r="G2376" s="2" t="str">
        <f t="shared" si="119"/>
        <v>https://www.oreht.ru/modules.php?name=orehtPriceLS&amp;op=Search&amp;page=1&amp;stext=434531</v>
      </c>
      <c r="I2376">
        <v>434531</v>
      </c>
      <c r="J2376" t="s">
        <v>2</v>
      </c>
      <c r="K2376" t="s">
        <v>6009</v>
      </c>
      <c r="L2376" t="s">
        <v>6010</v>
      </c>
      <c r="M2376" t="s">
        <v>649</v>
      </c>
    </row>
    <row r="2377" spans="1:13" hidden="1" x14ac:dyDescent="0.25">
      <c r="A2377" s="24">
        <f t="shared" si="120"/>
        <v>20</v>
      </c>
      <c r="B2377" s="24">
        <v>9</v>
      </c>
      <c r="C2377" s="24">
        <v>50</v>
      </c>
      <c r="E2377" s="4">
        <v>219386</v>
      </c>
      <c r="F2377" s="2" t="s">
        <v>2</v>
      </c>
      <c r="G2377" s="2" t="str">
        <f t="shared" si="119"/>
        <v>https://www.oreht.ru/modules.php?name=orehtPriceLS&amp;op=Search&amp;page=1&amp;stext=219386</v>
      </c>
      <c r="I2377">
        <v>219386</v>
      </c>
      <c r="J2377" t="s">
        <v>2</v>
      </c>
      <c r="K2377" t="s">
        <v>6011</v>
      </c>
      <c r="L2377" t="s">
        <v>6012</v>
      </c>
      <c r="M2377" t="s">
        <v>6013</v>
      </c>
    </row>
    <row r="2378" spans="1:13" hidden="1" x14ac:dyDescent="0.25">
      <c r="A2378" s="24">
        <f t="shared" si="120"/>
        <v>20</v>
      </c>
      <c r="B2378" s="24">
        <v>10</v>
      </c>
      <c r="C2378" s="24">
        <v>79</v>
      </c>
      <c r="E2378" s="4">
        <v>231204</v>
      </c>
      <c r="F2378" s="2" t="s">
        <v>2</v>
      </c>
      <c r="G2378" s="2" t="str">
        <f t="shared" si="119"/>
        <v>https://www.oreht.ru/modules.php?name=orehtPriceLS&amp;op=Search&amp;page=1&amp;stext=231204</v>
      </c>
      <c r="I2378">
        <v>231204</v>
      </c>
      <c r="J2378" t="s">
        <v>2</v>
      </c>
      <c r="K2378" t="s">
        <v>6014</v>
      </c>
      <c r="L2378" t="s">
        <v>6015</v>
      </c>
      <c r="M2378" t="s">
        <v>6013</v>
      </c>
    </row>
    <row r="2379" spans="1:13" hidden="1" x14ac:dyDescent="0.25">
      <c r="A2379" s="24">
        <f t="shared" si="120"/>
        <v>20</v>
      </c>
      <c r="B2379" s="24">
        <v>9</v>
      </c>
      <c r="C2379" s="24">
        <v>120</v>
      </c>
      <c r="E2379" s="4">
        <v>434772</v>
      </c>
      <c r="F2379" s="2" t="s">
        <v>2</v>
      </c>
      <c r="G2379" s="2" t="str">
        <f t="shared" si="119"/>
        <v>https://www.oreht.ru/modules.php?name=orehtPriceLS&amp;op=Search&amp;page=1&amp;stext=434772</v>
      </c>
      <c r="I2379">
        <v>434772</v>
      </c>
      <c r="J2379" t="s">
        <v>2</v>
      </c>
      <c r="K2379" t="s">
        <v>6016</v>
      </c>
      <c r="L2379" t="s">
        <v>6017</v>
      </c>
      <c r="M2379" t="s">
        <v>6018</v>
      </c>
    </row>
    <row r="2380" spans="1:13" hidden="1" x14ac:dyDescent="0.25">
      <c r="A2380" s="24">
        <f t="shared" si="120"/>
        <v>20</v>
      </c>
      <c r="B2380" s="24">
        <v>9</v>
      </c>
      <c r="C2380" s="24">
        <v>50</v>
      </c>
      <c r="E2380" s="4">
        <v>444781</v>
      </c>
      <c r="F2380" s="2" t="s">
        <v>2</v>
      </c>
      <c r="G2380" s="2" t="str">
        <f t="shared" si="119"/>
        <v>https://www.oreht.ru/modules.php?name=orehtPriceLS&amp;op=Search&amp;page=1&amp;stext=444781</v>
      </c>
      <c r="I2380">
        <v>444781</v>
      </c>
      <c r="J2380" t="s">
        <v>2</v>
      </c>
      <c r="K2380" t="s">
        <v>6019</v>
      </c>
      <c r="L2380" t="s">
        <v>6020</v>
      </c>
      <c r="M2380" t="s">
        <v>6018</v>
      </c>
    </row>
    <row r="2381" spans="1:13" hidden="1" x14ac:dyDescent="0.25">
      <c r="A2381" s="24">
        <f t="shared" si="120"/>
        <v>20</v>
      </c>
      <c r="B2381" s="24">
        <v>9</v>
      </c>
      <c r="C2381" s="24">
        <v>60</v>
      </c>
      <c r="E2381" s="4">
        <v>332827</v>
      </c>
      <c r="F2381" s="2" t="s">
        <v>2</v>
      </c>
      <c r="G2381" s="2" t="str">
        <f t="shared" si="119"/>
        <v>https://www.oreht.ru/modules.php?name=orehtPriceLS&amp;op=Search&amp;page=1&amp;stext=332827</v>
      </c>
      <c r="I2381">
        <v>332827</v>
      </c>
      <c r="J2381" t="s">
        <v>2</v>
      </c>
      <c r="K2381" t="s">
        <v>6021</v>
      </c>
      <c r="L2381" t="s">
        <v>6022</v>
      </c>
      <c r="M2381" t="s">
        <v>6018</v>
      </c>
    </row>
    <row r="2382" spans="1:13" hidden="1" x14ac:dyDescent="0.25">
      <c r="A2382" s="24">
        <f t="shared" si="120"/>
        <v>20</v>
      </c>
      <c r="B2382" s="24">
        <v>9</v>
      </c>
      <c r="C2382" s="24">
        <v>63</v>
      </c>
      <c r="E2382" s="4">
        <v>275787</v>
      </c>
      <c r="F2382" s="2" t="s">
        <v>2</v>
      </c>
      <c r="G2382" s="2" t="str">
        <f t="shared" si="119"/>
        <v>https://www.oreht.ru/modules.php?name=orehtPriceLS&amp;op=Search&amp;page=1&amp;stext=275787</v>
      </c>
      <c r="I2382">
        <v>275787</v>
      </c>
      <c r="J2382" t="s">
        <v>2</v>
      </c>
      <c r="K2382" t="s">
        <v>6023</v>
      </c>
      <c r="L2382" t="s">
        <v>6024</v>
      </c>
      <c r="M2382" t="s">
        <v>6025</v>
      </c>
    </row>
    <row r="2383" spans="1:13" hidden="1" x14ac:dyDescent="0.25">
      <c r="A2383" s="24">
        <f t="shared" si="120"/>
        <v>20</v>
      </c>
      <c r="B2383" s="24">
        <v>9</v>
      </c>
      <c r="C2383" s="24">
        <v>700</v>
      </c>
      <c r="E2383" s="4">
        <v>376526</v>
      </c>
      <c r="F2383" s="2" t="s">
        <v>2</v>
      </c>
      <c r="G2383" s="2" t="str">
        <f t="shared" si="119"/>
        <v>https://www.oreht.ru/modules.php?name=orehtPriceLS&amp;op=Search&amp;page=1&amp;stext=376526</v>
      </c>
      <c r="I2383">
        <v>376526</v>
      </c>
      <c r="J2383" t="s">
        <v>2</v>
      </c>
      <c r="K2383" t="s">
        <v>6026</v>
      </c>
      <c r="L2383" t="s">
        <v>6027</v>
      </c>
      <c r="M2383" t="s">
        <v>6025</v>
      </c>
    </row>
    <row r="2384" spans="1:13" hidden="1" x14ac:dyDescent="0.25">
      <c r="A2384" s="24">
        <f t="shared" si="120"/>
        <v>20</v>
      </c>
      <c r="B2384" s="24">
        <v>10</v>
      </c>
      <c r="C2384" s="24">
        <v>70</v>
      </c>
      <c r="E2384" s="4">
        <v>339470</v>
      </c>
      <c r="F2384" s="2" t="s">
        <v>2</v>
      </c>
      <c r="G2384" s="2" t="str">
        <f t="shared" si="119"/>
        <v>https://www.oreht.ru/modules.php?name=orehtPriceLS&amp;op=Search&amp;page=1&amp;stext=339470</v>
      </c>
      <c r="I2384">
        <v>339470</v>
      </c>
      <c r="J2384" t="s">
        <v>2</v>
      </c>
      <c r="K2384" t="s">
        <v>6028</v>
      </c>
      <c r="L2384" t="s">
        <v>6029</v>
      </c>
      <c r="M2384" t="s">
        <v>6030</v>
      </c>
    </row>
    <row r="2385" spans="1:13" hidden="1" x14ac:dyDescent="0.25">
      <c r="A2385" s="24">
        <f t="shared" si="120"/>
        <v>20</v>
      </c>
      <c r="B2385" s="24">
        <v>8</v>
      </c>
      <c r="C2385" s="24">
        <v>50</v>
      </c>
      <c r="E2385" s="4">
        <v>442356</v>
      </c>
      <c r="F2385" s="2" t="s">
        <v>2</v>
      </c>
      <c r="G2385" s="2" t="str">
        <f t="shared" si="119"/>
        <v>https://www.oreht.ru/modules.php?name=orehtPriceLS&amp;op=Search&amp;page=1&amp;stext=442356</v>
      </c>
      <c r="I2385">
        <v>442356</v>
      </c>
      <c r="J2385" t="s">
        <v>2</v>
      </c>
      <c r="K2385" t="s">
        <v>6031</v>
      </c>
      <c r="L2385" t="s">
        <v>6032</v>
      </c>
      <c r="M2385" t="s">
        <v>6033</v>
      </c>
    </row>
    <row r="2386" spans="1:13" x14ac:dyDescent="0.25">
      <c r="A2386" s="24">
        <f t="shared" si="120"/>
        <v>20</v>
      </c>
      <c r="B2386" s="24">
        <v>9</v>
      </c>
      <c r="C2386" s="24">
        <v>67</v>
      </c>
      <c r="E2386" s="4">
        <v>419182</v>
      </c>
      <c r="F2386" s="2" t="s">
        <v>2</v>
      </c>
      <c r="G2386" s="2" t="str">
        <f t="shared" si="119"/>
        <v>https://www.oreht.ru/modules.php?name=orehtPriceLS&amp;op=Search&amp;page=1&amp;stext=419182</v>
      </c>
      <c r="I2386">
        <v>419182</v>
      </c>
      <c r="J2386" t="s">
        <v>2</v>
      </c>
      <c r="K2386" t="s">
        <v>6034</v>
      </c>
      <c r="L2386" t="s">
        <v>6035</v>
      </c>
      <c r="M2386" t="s">
        <v>649</v>
      </c>
    </row>
    <row r="2387" spans="1:13" hidden="1" x14ac:dyDescent="0.25">
      <c r="A2387" s="24">
        <f t="shared" si="120"/>
        <v>20</v>
      </c>
      <c r="B2387" s="24">
        <v>9</v>
      </c>
      <c r="C2387" s="24">
        <v>50</v>
      </c>
      <c r="E2387" s="4">
        <v>435486</v>
      </c>
      <c r="F2387" s="2" t="s">
        <v>2</v>
      </c>
      <c r="G2387" s="2" t="str">
        <f t="shared" si="119"/>
        <v>https://www.oreht.ru/modules.php?name=orehtPriceLS&amp;op=Search&amp;page=1&amp;stext=435486</v>
      </c>
      <c r="I2387">
        <v>435486</v>
      </c>
      <c r="J2387" t="s">
        <v>2</v>
      </c>
      <c r="K2387" t="s">
        <v>6036</v>
      </c>
      <c r="L2387" t="s">
        <v>6037</v>
      </c>
      <c r="M2387" t="s">
        <v>6038</v>
      </c>
    </row>
    <row r="2388" spans="1:13" hidden="1" x14ac:dyDescent="0.25">
      <c r="A2388" s="24">
        <f t="shared" si="120"/>
        <v>20</v>
      </c>
      <c r="B2388" s="24">
        <v>9</v>
      </c>
      <c r="C2388" s="24">
        <v>67</v>
      </c>
      <c r="E2388" s="4">
        <v>267614</v>
      </c>
      <c r="F2388" s="2" t="s">
        <v>2</v>
      </c>
      <c r="G2388" s="2" t="str">
        <f t="shared" si="119"/>
        <v>https://www.oreht.ru/modules.php?name=orehtPriceLS&amp;op=Search&amp;page=1&amp;stext=267614</v>
      </c>
      <c r="I2388">
        <v>267614</v>
      </c>
      <c r="J2388" t="s">
        <v>2</v>
      </c>
      <c r="K2388" t="s">
        <v>6039</v>
      </c>
      <c r="L2388" t="s">
        <v>6040</v>
      </c>
      <c r="M2388" t="s">
        <v>6041</v>
      </c>
    </row>
    <row r="2389" spans="1:13" hidden="1" x14ac:dyDescent="0.25">
      <c r="A2389" s="24">
        <f t="shared" si="120"/>
        <v>20</v>
      </c>
      <c r="B2389" s="24">
        <v>7</v>
      </c>
      <c r="C2389" s="24">
        <v>50</v>
      </c>
      <c r="E2389" s="4">
        <v>266628</v>
      </c>
      <c r="F2389" s="2" t="s">
        <v>2</v>
      </c>
      <c r="G2389" s="2" t="str">
        <f t="shared" si="119"/>
        <v>https://www.oreht.ru/modules.php?name=orehtPriceLS&amp;op=Search&amp;page=1&amp;stext=266628</v>
      </c>
      <c r="I2389">
        <v>266628</v>
      </c>
      <c r="J2389" t="s">
        <v>2</v>
      </c>
      <c r="K2389" t="s">
        <v>6042</v>
      </c>
      <c r="L2389" t="s">
        <v>6043</v>
      </c>
      <c r="M2389" t="s">
        <v>6044</v>
      </c>
    </row>
    <row r="2390" spans="1:13" hidden="1" x14ac:dyDescent="0.25">
      <c r="A2390" s="24">
        <f t="shared" si="120"/>
        <v>20</v>
      </c>
      <c r="B2390" s="24">
        <v>9</v>
      </c>
      <c r="C2390" s="24">
        <v>69</v>
      </c>
      <c r="E2390" s="4">
        <v>405635</v>
      </c>
      <c r="F2390" s="2" t="s">
        <v>2</v>
      </c>
      <c r="G2390" s="2" t="str">
        <f t="shared" si="119"/>
        <v>https://www.oreht.ru/modules.php?name=orehtPriceLS&amp;op=Search&amp;page=1&amp;stext=405635</v>
      </c>
      <c r="I2390">
        <v>405635</v>
      </c>
      <c r="J2390" t="s">
        <v>2</v>
      </c>
      <c r="K2390" t="s">
        <v>6045</v>
      </c>
      <c r="L2390" t="s">
        <v>6046</v>
      </c>
      <c r="M2390" t="s">
        <v>6044</v>
      </c>
    </row>
    <row r="2391" spans="1:13" hidden="1" x14ac:dyDescent="0.25">
      <c r="A2391" s="24">
        <f t="shared" si="120"/>
        <v>20</v>
      </c>
      <c r="B2391" s="24">
        <v>15</v>
      </c>
      <c r="C2391" s="24">
        <v>185</v>
      </c>
      <c r="E2391" s="4">
        <v>216659</v>
      </c>
      <c r="F2391" s="2" t="s">
        <v>2</v>
      </c>
      <c r="G2391" s="2" t="str">
        <f t="shared" si="119"/>
        <v>https://www.oreht.ru/modules.php?name=orehtPriceLS&amp;op=Search&amp;page=1&amp;stext=216659</v>
      </c>
      <c r="I2391">
        <v>216659</v>
      </c>
      <c r="J2391" t="s">
        <v>2</v>
      </c>
      <c r="K2391" t="s">
        <v>6047</v>
      </c>
      <c r="L2391" t="s">
        <v>6048</v>
      </c>
      <c r="M2391" t="s">
        <v>6049</v>
      </c>
    </row>
    <row r="2392" spans="1:13" hidden="1" x14ac:dyDescent="0.25">
      <c r="A2392" s="24">
        <f t="shared" si="120"/>
        <v>20</v>
      </c>
      <c r="B2392" s="24">
        <v>15</v>
      </c>
      <c r="C2392" s="24">
        <v>79</v>
      </c>
      <c r="E2392" s="4">
        <v>124966</v>
      </c>
      <c r="F2392" s="2" t="s">
        <v>2</v>
      </c>
      <c r="G2392" s="2" t="str">
        <f t="shared" si="119"/>
        <v>https://www.oreht.ru/modules.php?name=orehtPriceLS&amp;op=Search&amp;page=1&amp;stext=124966</v>
      </c>
      <c r="I2392">
        <v>124966</v>
      </c>
      <c r="J2392" t="s">
        <v>2</v>
      </c>
      <c r="K2392" t="s">
        <v>6050</v>
      </c>
      <c r="L2392" t="s">
        <v>6051</v>
      </c>
      <c r="M2392" t="s">
        <v>6052</v>
      </c>
    </row>
    <row r="2393" spans="1:13" hidden="1" x14ac:dyDescent="0.25">
      <c r="A2393" s="24">
        <f t="shared" si="120"/>
        <v>20</v>
      </c>
      <c r="B2393" s="24">
        <v>9</v>
      </c>
      <c r="C2393" s="24">
        <v>70</v>
      </c>
      <c r="E2393" s="4">
        <v>446851</v>
      </c>
      <c r="F2393" s="2" t="s">
        <v>2</v>
      </c>
      <c r="G2393" s="2" t="str">
        <f t="shared" si="119"/>
        <v>https://www.oreht.ru/modules.php?name=orehtPriceLS&amp;op=Search&amp;page=1&amp;stext=446851</v>
      </c>
      <c r="I2393">
        <v>446851</v>
      </c>
      <c r="J2393" t="s">
        <v>2</v>
      </c>
      <c r="K2393" t="s">
        <v>6053</v>
      </c>
      <c r="L2393" t="s">
        <v>6054</v>
      </c>
      <c r="M2393" t="s">
        <v>6055</v>
      </c>
    </row>
    <row r="2394" spans="1:13" hidden="1" x14ac:dyDescent="0.25">
      <c r="A2394" s="24">
        <f t="shared" si="120"/>
        <v>20</v>
      </c>
      <c r="B2394" s="24">
        <v>9</v>
      </c>
      <c r="C2394" s="24">
        <v>65</v>
      </c>
      <c r="E2394" s="4">
        <v>170866</v>
      </c>
      <c r="F2394" s="2" t="s">
        <v>2</v>
      </c>
      <c r="G2394" s="2" t="str">
        <f t="shared" si="119"/>
        <v>https://www.oreht.ru/modules.php?name=orehtPriceLS&amp;op=Search&amp;page=1&amp;stext=170866</v>
      </c>
      <c r="I2394">
        <v>170866</v>
      </c>
      <c r="J2394" t="s">
        <v>2</v>
      </c>
      <c r="K2394" t="s">
        <v>6056</v>
      </c>
      <c r="L2394" t="s">
        <v>6057</v>
      </c>
      <c r="M2394" t="s">
        <v>6058</v>
      </c>
    </row>
    <row r="2395" spans="1:13" hidden="1" x14ac:dyDescent="0.25">
      <c r="A2395" s="24">
        <f t="shared" si="120"/>
        <v>20</v>
      </c>
      <c r="B2395" s="24">
        <v>7</v>
      </c>
      <c r="C2395" s="24">
        <v>50</v>
      </c>
      <c r="E2395" s="4">
        <v>278834</v>
      </c>
      <c r="F2395" s="2" t="s">
        <v>2</v>
      </c>
      <c r="G2395" s="2" t="str">
        <f t="shared" si="119"/>
        <v>https://www.oreht.ru/modules.php?name=orehtPriceLS&amp;op=Search&amp;page=1&amp;stext=278834</v>
      </c>
      <c r="I2395">
        <v>278834</v>
      </c>
      <c r="J2395" t="s">
        <v>2</v>
      </c>
      <c r="K2395" t="s">
        <v>6059</v>
      </c>
      <c r="L2395" t="s">
        <v>6060</v>
      </c>
      <c r="M2395" t="s">
        <v>6061</v>
      </c>
    </row>
    <row r="2396" spans="1:13" hidden="1" x14ac:dyDescent="0.25">
      <c r="A2396" s="24">
        <f t="shared" si="120"/>
        <v>20</v>
      </c>
      <c r="B2396" s="24">
        <v>7</v>
      </c>
      <c r="C2396" s="24">
        <v>79</v>
      </c>
      <c r="E2396" s="4">
        <v>237180</v>
      </c>
      <c r="F2396" s="2" t="s">
        <v>2</v>
      </c>
      <c r="G2396" s="2" t="str">
        <f t="shared" si="119"/>
        <v>https://www.oreht.ru/modules.php?name=orehtPriceLS&amp;op=Search&amp;page=1&amp;stext=237180</v>
      </c>
      <c r="I2396">
        <v>237180</v>
      </c>
      <c r="J2396" t="s">
        <v>2</v>
      </c>
      <c r="K2396" t="s">
        <v>6062</v>
      </c>
      <c r="L2396" t="s">
        <v>6063</v>
      </c>
      <c r="M2396" t="s">
        <v>6061</v>
      </c>
    </row>
    <row r="2397" spans="1:13" hidden="1" x14ac:dyDescent="0.25">
      <c r="A2397" s="24">
        <f t="shared" si="120"/>
        <v>20</v>
      </c>
      <c r="B2397" s="24">
        <v>9</v>
      </c>
      <c r="C2397" s="24">
        <v>50</v>
      </c>
      <c r="E2397" s="4">
        <v>217106</v>
      </c>
      <c r="F2397" s="2" t="s">
        <v>2</v>
      </c>
      <c r="G2397" s="2" t="str">
        <f t="shared" si="119"/>
        <v>https://www.oreht.ru/modules.php?name=orehtPriceLS&amp;op=Search&amp;page=1&amp;stext=217106</v>
      </c>
      <c r="I2397">
        <v>217106</v>
      </c>
      <c r="J2397" t="s">
        <v>2</v>
      </c>
      <c r="K2397" t="s">
        <v>6064</v>
      </c>
      <c r="L2397" t="s">
        <v>6065</v>
      </c>
      <c r="M2397" t="s">
        <v>6066</v>
      </c>
    </row>
    <row r="2398" spans="1:13" hidden="1" x14ac:dyDescent="0.25">
      <c r="A2398" s="24">
        <f t="shared" si="120"/>
        <v>20</v>
      </c>
      <c r="B2398" s="24">
        <v>9</v>
      </c>
      <c r="C2398" s="24">
        <v>79</v>
      </c>
      <c r="E2398" s="4">
        <v>452054</v>
      </c>
      <c r="F2398" s="2" t="s">
        <v>2</v>
      </c>
      <c r="G2398" s="2" t="str">
        <f t="shared" si="119"/>
        <v>https://www.oreht.ru/modules.php?name=orehtPriceLS&amp;op=Search&amp;page=1&amp;stext=452054</v>
      </c>
      <c r="I2398">
        <v>452054</v>
      </c>
      <c r="J2398" t="s">
        <v>2</v>
      </c>
      <c r="K2398" t="s">
        <v>6067</v>
      </c>
      <c r="L2398" t="s">
        <v>6068</v>
      </c>
      <c r="M2398" t="s">
        <v>6069</v>
      </c>
    </row>
    <row r="2399" spans="1:13" hidden="1" x14ac:dyDescent="0.25">
      <c r="A2399" s="24">
        <f t="shared" si="120"/>
        <v>20</v>
      </c>
      <c r="B2399" s="24">
        <v>10</v>
      </c>
      <c r="C2399" s="24">
        <v>50</v>
      </c>
      <c r="E2399" s="4">
        <v>432680</v>
      </c>
      <c r="F2399" s="2" t="s">
        <v>2</v>
      </c>
      <c r="G2399" s="2" t="str">
        <f t="shared" si="119"/>
        <v>https://www.oreht.ru/modules.php?name=orehtPriceLS&amp;op=Search&amp;page=1&amp;stext=432680</v>
      </c>
      <c r="I2399">
        <v>432680</v>
      </c>
      <c r="J2399" t="s">
        <v>2</v>
      </c>
      <c r="K2399" t="s">
        <v>6070</v>
      </c>
      <c r="L2399" t="s">
        <v>6071</v>
      </c>
      <c r="M2399" t="s">
        <v>6072</v>
      </c>
    </row>
    <row r="2400" spans="1:13" hidden="1" x14ac:dyDescent="0.25">
      <c r="A2400" s="24">
        <f t="shared" si="120"/>
        <v>20</v>
      </c>
      <c r="B2400" s="24">
        <v>9</v>
      </c>
      <c r="C2400" s="24">
        <v>50</v>
      </c>
      <c r="E2400" s="4">
        <v>285993</v>
      </c>
      <c r="F2400" s="2" t="s">
        <v>2</v>
      </c>
      <c r="G2400" s="2" t="str">
        <f t="shared" si="119"/>
        <v>https://www.oreht.ru/modules.php?name=orehtPriceLS&amp;op=Search&amp;page=1&amp;stext=285993</v>
      </c>
      <c r="I2400">
        <v>285993</v>
      </c>
      <c r="J2400" t="s">
        <v>2</v>
      </c>
      <c r="K2400" t="s">
        <v>6073</v>
      </c>
      <c r="L2400" t="s">
        <v>6074</v>
      </c>
      <c r="M2400" t="s">
        <v>6075</v>
      </c>
    </row>
    <row r="2401" spans="1:13" hidden="1" x14ac:dyDescent="0.25">
      <c r="A2401" s="24">
        <f t="shared" si="120"/>
        <v>20</v>
      </c>
      <c r="B2401" s="24">
        <v>10</v>
      </c>
      <c r="C2401" s="24">
        <v>65</v>
      </c>
      <c r="E2401" s="4">
        <v>452687</v>
      </c>
      <c r="F2401" s="2" t="s">
        <v>2</v>
      </c>
      <c r="G2401" s="2" t="str">
        <f t="shared" si="119"/>
        <v>https://www.oreht.ru/modules.php?name=orehtPriceLS&amp;op=Search&amp;page=1&amp;stext=452687</v>
      </c>
      <c r="I2401">
        <v>452687</v>
      </c>
      <c r="J2401" t="s">
        <v>2</v>
      </c>
      <c r="K2401" t="s">
        <v>6076</v>
      </c>
      <c r="L2401" t="s">
        <v>6077</v>
      </c>
      <c r="M2401" t="s">
        <v>2784</v>
      </c>
    </row>
    <row r="2402" spans="1:13" hidden="1" x14ac:dyDescent="0.25">
      <c r="A2402" s="24">
        <f t="shared" si="120"/>
        <v>20</v>
      </c>
      <c r="B2402" s="24">
        <v>9</v>
      </c>
      <c r="C2402" s="24">
        <v>61</v>
      </c>
      <c r="E2402" s="4">
        <v>458366</v>
      </c>
      <c r="F2402" s="2" t="s">
        <v>2</v>
      </c>
      <c r="G2402" s="2" t="str">
        <f t="shared" si="119"/>
        <v>https://www.oreht.ru/modules.php?name=orehtPriceLS&amp;op=Search&amp;page=1&amp;stext=458366</v>
      </c>
      <c r="I2402">
        <v>458366</v>
      </c>
      <c r="J2402" t="s">
        <v>2</v>
      </c>
      <c r="K2402" t="s">
        <v>6078</v>
      </c>
      <c r="L2402" t="s">
        <v>6079</v>
      </c>
      <c r="M2402" t="s">
        <v>6080</v>
      </c>
    </row>
    <row r="2403" spans="1:13" hidden="1" x14ac:dyDescent="0.25">
      <c r="A2403" s="24">
        <f t="shared" si="120"/>
        <v>20</v>
      </c>
      <c r="B2403" s="24">
        <v>9</v>
      </c>
      <c r="C2403" s="24">
        <v>67</v>
      </c>
      <c r="E2403" s="4">
        <v>314473</v>
      </c>
      <c r="F2403" s="2" t="s">
        <v>2</v>
      </c>
      <c r="G2403" s="2" t="str">
        <f t="shared" si="119"/>
        <v>https://www.oreht.ru/modules.php?name=orehtPriceLS&amp;op=Search&amp;page=1&amp;stext=314473</v>
      </c>
      <c r="I2403">
        <v>314473</v>
      </c>
      <c r="J2403" t="s">
        <v>2</v>
      </c>
      <c r="K2403" t="s">
        <v>6081</v>
      </c>
      <c r="L2403" t="s">
        <v>6082</v>
      </c>
      <c r="M2403" t="s">
        <v>6083</v>
      </c>
    </row>
    <row r="2404" spans="1:13" hidden="1" x14ac:dyDescent="0.25">
      <c r="A2404" s="24">
        <f t="shared" si="120"/>
        <v>20</v>
      </c>
      <c r="B2404" s="24">
        <v>9</v>
      </c>
      <c r="C2404" s="24">
        <v>70</v>
      </c>
      <c r="E2404" s="4">
        <v>365974</v>
      </c>
      <c r="F2404" s="2" t="s">
        <v>2</v>
      </c>
      <c r="G2404" s="2" t="str">
        <f t="shared" si="119"/>
        <v>https://www.oreht.ru/modules.php?name=orehtPriceLS&amp;op=Search&amp;page=1&amp;stext=365974</v>
      </c>
      <c r="I2404">
        <v>365974</v>
      </c>
      <c r="J2404" t="s">
        <v>2</v>
      </c>
      <c r="K2404" t="s">
        <v>6084</v>
      </c>
      <c r="L2404" t="s">
        <v>6085</v>
      </c>
      <c r="M2404" t="s">
        <v>6083</v>
      </c>
    </row>
    <row r="2405" spans="1:13" hidden="1" x14ac:dyDescent="0.25">
      <c r="A2405" s="24">
        <f t="shared" si="120"/>
        <v>20</v>
      </c>
      <c r="B2405" s="24">
        <v>9</v>
      </c>
      <c r="C2405" s="24">
        <v>70</v>
      </c>
      <c r="E2405" s="4">
        <v>408673</v>
      </c>
      <c r="F2405" s="2" t="s">
        <v>2</v>
      </c>
      <c r="G2405" s="2" t="str">
        <f t="shared" si="119"/>
        <v>https://www.oreht.ru/modules.php?name=orehtPriceLS&amp;op=Search&amp;page=1&amp;stext=408673</v>
      </c>
      <c r="I2405">
        <v>408673</v>
      </c>
      <c r="J2405" t="s">
        <v>2</v>
      </c>
      <c r="K2405" t="s">
        <v>6086</v>
      </c>
      <c r="L2405" t="s">
        <v>6087</v>
      </c>
      <c r="M2405" t="s">
        <v>6088</v>
      </c>
    </row>
    <row r="2406" spans="1:13" hidden="1" x14ac:dyDescent="0.25">
      <c r="A2406" s="24">
        <f t="shared" si="120"/>
        <v>20</v>
      </c>
      <c r="B2406" s="24">
        <v>9</v>
      </c>
      <c r="C2406" s="24">
        <v>71</v>
      </c>
      <c r="E2406" s="4">
        <v>459389</v>
      </c>
      <c r="F2406" s="2" t="s">
        <v>2</v>
      </c>
      <c r="G2406" s="2" t="str">
        <f t="shared" si="119"/>
        <v>https://www.oreht.ru/modules.php?name=orehtPriceLS&amp;op=Search&amp;page=1&amp;stext=459389</v>
      </c>
      <c r="I2406">
        <v>459389</v>
      </c>
      <c r="J2406" t="s">
        <v>2</v>
      </c>
      <c r="K2406" t="s">
        <v>6089</v>
      </c>
      <c r="L2406" t="s">
        <v>6090</v>
      </c>
      <c r="M2406" t="s">
        <v>6091</v>
      </c>
    </row>
    <row r="2407" spans="1:13" hidden="1" x14ac:dyDescent="0.25">
      <c r="A2407" s="24">
        <f t="shared" si="120"/>
        <v>20</v>
      </c>
      <c r="B2407" s="24">
        <v>9</v>
      </c>
      <c r="C2407" s="24">
        <v>71</v>
      </c>
      <c r="E2407" s="4">
        <v>282996</v>
      </c>
      <c r="F2407" s="2" t="s">
        <v>2</v>
      </c>
      <c r="G2407" s="2" t="str">
        <f t="shared" si="119"/>
        <v>https://www.oreht.ru/modules.php?name=orehtPriceLS&amp;op=Search&amp;page=1&amp;stext=282996</v>
      </c>
      <c r="I2407">
        <v>282996</v>
      </c>
      <c r="J2407" t="s">
        <v>2</v>
      </c>
      <c r="K2407" t="s">
        <v>6092</v>
      </c>
      <c r="L2407" t="s">
        <v>6093</v>
      </c>
      <c r="M2407" t="s">
        <v>6091</v>
      </c>
    </row>
    <row r="2408" spans="1:13" hidden="1" x14ac:dyDescent="0.25">
      <c r="A2408" s="24">
        <f t="shared" si="120"/>
        <v>20</v>
      </c>
      <c r="B2408" s="24">
        <v>9</v>
      </c>
      <c r="C2408" s="24">
        <v>50</v>
      </c>
      <c r="E2408" s="4">
        <v>218131</v>
      </c>
      <c r="F2408" s="2" t="s">
        <v>2</v>
      </c>
      <c r="G2408" s="2" t="str">
        <f t="shared" si="119"/>
        <v>https://www.oreht.ru/modules.php?name=orehtPriceLS&amp;op=Search&amp;page=1&amp;stext=218131</v>
      </c>
      <c r="I2408">
        <v>218131</v>
      </c>
      <c r="J2408" t="s">
        <v>2</v>
      </c>
      <c r="K2408" t="s">
        <v>6094</v>
      </c>
      <c r="L2408" t="s">
        <v>6095</v>
      </c>
      <c r="M2408" t="s">
        <v>6096</v>
      </c>
    </row>
    <row r="2409" spans="1:13" hidden="1" x14ac:dyDescent="0.25">
      <c r="A2409" s="24">
        <f t="shared" si="120"/>
        <v>20</v>
      </c>
      <c r="B2409" s="24">
        <v>9</v>
      </c>
      <c r="C2409" s="24">
        <v>65</v>
      </c>
      <c r="E2409" s="4">
        <v>178820</v>
      </c>
      <c r="F2409" s="2" t="s">
        <v>2</v>
      </c>
      <c r="G2409" s="2" t="str">
        <f t="shared" si="119"/>
        <v>https://www.oreht.ru/modules.php?name=orehtPriceLS&amp;op=Search&amp;page=1&amp;stext=178820</v>
      </c>
      <c r="I2409">
        <v>178820</v>
      </c>
      <c r="J2409" t="s">
        <v>2</v>
      </c>
      <c r="K2409" t="s">
        <v>6097</v>
      </c>
      <c r="L2409" t="s">
        <v>6098</v>
      </c>
      <c r="M2409" t="s">
        <v>6099</v>
      </c>
    </row>
    <row r="2410" spans="1:13" hidden="1" x14ac:dyDescent="0.25">
      <c r="A2410" s="24">
        <f t="shared" si="120"/>
        <v>20</v>
      </c>
      <c r="B2410" s="24">
        <v>10</v>
      </c>
      <c r="C2410" s="24">
        <v>63</v>
      </c>
      <c r="E2410" s="4">
        <v>397106</v>
      </c>
      <c r="F2410" s="2" t="s">
        <v>2</v>
      </c>
      <c r="G2410" s="2" t="str">
        <f t="shared" si="119"/>
        <v>https://www.oreht.ru/modules.php?name=orehtPriceLS&amp;op=Search&amp;page=1&amp;stext=397106</v>
      </c>
      <c r="I2410">
        <v>397106</v>
      </c>
      <c r="J2410" t="s">
        <v>2</v>
      </c>
      <c r="K2410" t="s">
        <v>6100</v>
      </c>
      <c r="L2410" t="s">
        <v>6101</v>
      </c>
      <c r="M2410" t="s">
        <v>6102</v>
      </c>
    </row>
    <row r="2411" spans="1:13" hidden="1" x14ac:dyDescent="0.25">
      <c r="A2411" s="24">
        <f t="shared" si="120"/>
        <v>20</v>
      </c>
      <c r="B2411" s="24">
        <v>9</v>
      </c>
      <c r="C2411" s="24">
        <v>50</v>
      </c>
      <c r="E2411" s="4">
        <v>319193</v>
      </c>
      <c r="F2411" s="2" t="s">
        <v>2</v>
      </c>
      <c r="G2411" s="2" t="str">
        <f t="shared" si="119"/>
        <v>https://www.oreht.ru/modules.php?name=orehtPriceLS&amp;op=Search&amp;page=1&amp;stext=319193</v>
      </c>
      <c r="I2411">
        <v>319193</v>
      </c>
      <c r="J2411" t="s">
        <v>2</v>
      </c>
      <c r="K2411" t="s">
        <v>6103</v>
      </c>
      <c r="L2411" t="s">
        <v>6104</v>
      </c>
      <c r="M2411" t="s">
        <v>6102</v>
      </c>
    </row>
    <row r="2412" spans="1:13" hidden="1" x14ac:dyDescent="0.25">
      <c r="A2412" s="24">
        <f t="shared" si="120"/>
        <v>20</v>
      </c>
      <c r="B2412" s="24">
        <v>9</v>
      </c>
      <c r="C2412" s="24">
        <v>79</v>
      </c>
      <c r="E2412" s="4">
        <v>427635</v>
      </c>
      <c r="F2412" s="2" t="s">
        <v>2</v>
      </c>
      <c r="G2412" s="2" t="str">
        <f t="shared" si="119"/>
        <v>https://www.oreht.ru/modules.php?name=orehtPriceLS&amp;op=Search&amp;page=1&amp;stext=427635</v>
      </c>
      <c r="I2412">
        <v>427635</v>
      </c>
      <c r="J2412" t="s">
        <v>2</v>
      </c>
      <c r="K2412" t="s">
        <v>6105</v>
      </c>
      <c r="L2412" t="s">
        <v>6106</v>
      </c>
      <c r="M2412" t="s">
        <v>6107</v>
      </c>
    </row>
    <row r="2413" spans="1:13" hidden="1" x14ac:dyDescent="0.25">
      <c r="A2413" s="24">
        <f t="shared" si="120"/>
        <v>20</v>
      </c>
      <c r="B2413" s="24">
        <v>8</v>
      </c>
      <c r="C2413" s="24">
        <v>50</v>
      </c>
      <c r="E2413" s="4">
        <v>358164</v>
      </c>
      <c r="F2413" s="2" t="s">
        <v>2</v>
      </c>
      <c r="G2413" s="2" t="str">
        <f t="shared" si="119"/>
        <v>https://www.oreht.ru/modules.php?name=orehtPriceLS&amp;op=Search&amp;page=1&amp;stext=358164</v>
      </c>
      <c r="I2413">
        <v>358164</v>
      </c>
      <c r="J2413" t="s">
        <v>2</v>
      </c>
      <c r="K2413" t="s">
        <v>6108</v>
      </c>
      <c r="L2413" t="s">
        <v>6109</v>
      </c>
      <c r="M2413" t="s">
        <v>6110</v>
      </c>
    </row>
    <row r="2414" spans="1:13" hidden="1" x14ac:dyDescent="0.25">
      <c r="A2414" s="24">
        <f t="shared" si="120"/>
        <v>20</v>
      </c>
      <c r="B2414" s="24">
        <v>5</v>
      </c>
      <c r="C2414" s="24">
        <v>50</v>
      </c>
      <c r="E2414" s="4">
        <v>386041</v>
      </c>
      <c r="F2414" s="2" t="s">
        <v>2</v>
      </c>
      <c r="G2414" s="2" t="str">
        <f t="shared" si="119"/>
        <v>https://www.oreht.ru/modules.php?name=orehtPriceLS&amp;op=Search&amp;page=1&amp;stext=386041</v>
      </c>
      <c r="I2414">
        <v>386041</v>
      </c>
      <c r="J2414" t="s">
        <v>2</v>
      </c>
      <c r="K2414" t="s">
        <v>6111</v>
      </c>
      <c r="L2414" t="s">
        <v>6112</v>
      </c>
      <c r="M2414" t="s">
        <v>6113</v>
      </c>
    </row>
    <row r="2415" spans="1:13" x14ac:dyDescent="0.25">
      <c r="A2415" s="24">
        <f t="shared" si="120"/>
        <v>20</v>
      </c>
      <c r="B2415" s="24">
        <v>15</v>
      </c>
      <c r="C2415" s="24">
        <v>79</v>
      </c>
      <c r="E2415" s="4">
        <v>319068</v>
      </c>
      <c r="F2415" s="2" t="s">
        <v>2</v>
      </c>
      <c r="G2415" s="2" t="str">
        <f t="shared" si="119"/>
        <v>https://www.oreht.ru/modules.php?name=orehtPriceLS&amp;op=Search&amp;page=1&amp;stext=319068</v>
      </c>
      <c r="I2415">
        <v>319068</v>
      </c>
      <c r="J2415" t="s">
        <v>2</v>
      </c>
      <c r="K2415" t="s">
        <v>6114</v>
      </c>
      <c r="L2415" t="s">
        <v>6115</v>
      </c>
      <c r="M2415" t="s">
        <v>649</v>
      </c>
    </row>
    <row r="2416" spans="1:13" hidden="1" x14ac:dyDescent="0.25">
      <c r="A2416" s="24">
        <f t="shared" si="120"/>
        <v>20</v>
      </c>
      <c r="B2416" s="24">
        <v>9</v>
      </c>
      <c r="C2416" s="24">
        <v>65</v>
      </c>
      <c r="E2416" s="4">
        <v>390697</v>
      </c>
      <c r="F2416" s="2" t="s">
        <v>2</v>
      </c>
      <c r="G2416" s="2" t="str">
        <f t="shared" si="119"/>
        <v>https://www.oreht.ru/modules.php?name=orehtPriceLS&amp;op=Search&amp;page=1&amp;stext=390697</v>
      </c>
      <c r="I2416">
        <v>390697</v>
      </c>
      <c r="J2416" t="s">
        <v>2</v>
      </c>
      <c r="K2416" t="s">
        <v>6116</v>
      </c>
      <c r="L2416" t="s">
        <v>6117</v>
      </c>
      <c r="M2416" t="s">
        <v>6118</v>
      </c>
    </row>
    <row r="2417" spans="1:13" hidden="1" x14ac:dyDescent="0.25">
      <c r="A2417" s="24">
        <f t="shared" si="120"/>
        <v>20</v>
      </c>
      <c r="B2417" s="24">
        <v>9</v>
      </c>
      <c r="C2417" s="24">
        <v>120</v>
      </c>
      <c r="E2417" s="4">
        <v>402035</v>
      </c>
      <c r="F2417" s="2" t="s">
        <v>2</v>
      </c>
      <c r="G2417" s="2" t="str">
        <f t="shared" si="119"/>
        <v>https://www.oreht.ru/modules.php?name=orehtPriceLS&amp;op=Search&amp;page=1&amp;stext=402035</v>
      </c>
      <c r="I2417">
        <v>402035</v>
      </c>
      <c r="J2417" t="s">
        <v>2</v>
      </c>
      <c r="K2417" t="s">
        <v>6119</v>
      </c>
      <c r="L2417" t="s">
        <v>6120</v>
      </c>
      <c r="M2417" t="s">
        <v>6118</v>
      </c>
    </row>
    <row r="2418" spans="1:13" hidden="1" x14ac:dyDescent="0.25">
      <c r="A2418" s="24">
        <f t="shared" si="120"/>
        <v>20</v>
      </c>
      <c r="B2418" s="24">
        <v>9</v>
      </c>
      <c r="C2418" s="24">
        <v>50</v>
      </c>
      <c r="E2418" s="4">
        <v>389929</v>
      </c>
      <c r="F2418" s="2" t="s">
        <v>2</v>
      </c>
      <c r="G2418" s="2" t="str">
        <f t="shared" si="119"/>
        <v>https://www.oreht.ru/modules.php?name=orehtPriceLS&amp;op=Search&amp;page=1&amp;stext=389929</v>
      </c>
      <c r="I2418">
        <v>389929</v>
      </c>
      <c r="J2418" t="s">
        <v>2</v>
      </c>
      <c r="K2418" t="s">
        <v>6121</v>
      </c>
      <c r="L2418" t="s">
        <v>6122</v>
      </c>
      <c r="M2418" t="s">
        <v>6123</v>
      </c>
    </row>
    <row r="2419" spans="1:13" hidden="1" x14ac:dyDescent="0.25">
      <c r="A2419" s="24">
        <f t="shared" si="120"/>
        <v>20</v>
      </c>
      <c r="B2419" s="24">
        <v>9</v>
      </c>
      <c r="C2419" s="24">
        <v>69</v>
      </c>
      <c r="E2419" s="4">
        <v>285207</v>
      </c>
      <c r="F2419" s="2" t="s">
        <v>2</v>
      </c>
      <c r="G2419" s="2" t="str">
        <f t="shared" si="119"/>
        <v>https://www.oreht.ru/modules.php?name=orehtPriceLS&amp;op=Search&amp;page=1&amp;stext=285207</v>
      </c>
      <c r="I2419">
        <v>285207</v>
      </c>
      <c r="J2419" t="s">
        <v>2</v>
      </c>
      <c r="K2419" t="s">
        <v>6124</v>
      </c>
      <c r="L2419" t="s">
        <v>6125</v>
      </c>
      <c r="M2419" t="s">
        <v>6123</v>
      </c>
    </row>
    <row r="2420" spans="1:13" hidden="1" x14ac:dyDescent="0.25">
      <c r="A2420" s="24">
        <f t="shared" si="120"/>
        <v>20</v>
      </c>
      <c r="B2420" s="24">
        <v>9</v>
      </c>
      <c r="C2420" s="24">
        <v>100</v>
      </c>
      <c r="E2420" s="4">
        <v>122714</v>
      </c>
      <c r="F2420" s="2" t="s">
        <v>2</v>
      </c>
      <c r="G2420" s="2" t="str">
        <f t="shared" si="119"/>
        <v>https://www.oreht.ru/modules.php?name=orehtPriceLS&amp;op=Search&amp;page=1&amp;stext=122714</v>
      </c>
      <c r="I2420">
        <v>122714</v>
      </c>
      <c r="J2420" t="s">
        <v>2</v>
      </c>
      <c r="K2420" t="s">
        <v>6126</v>
      </c>
      <c r="L2420" t="s">
        <v>6127</v>
      </c>
      <c r="M2420" t="s">
        <v>6128</v>
      </c>
    </row>
    <row r="2421" spans="1:13" hidden="1" x14ac:dyDescent="0.25">
      <c r="A2421" s="24">
        <f t="shared" si="120"/>
        <v>20</v>
      </c>
      <c r="B2421" s="24">
        <v>9</v>
      </c>
      <c r="C2421" s="24">
        <v>60</v>
      </c>
      <c r="E2421" s="4">
        <v>452497</v>
      </c>
      <c r="F2421" s="2" t="s">
        <v>2</v>
      </c>
      <c r="G2421" s="2" t="str">
        <f t="shared" si="119"/>
        <v>https://www.oreht.ru/modules.php?name=orehtPriceLS&amp;op=Search&amp;page=1&amp;stext=452497</v>
      </c>
      <c r="I2421">
        <v>452497</v>
      </c>
      <c r="J2421" t="s">
        <v>2</v>
      </c>
      <c r="K2421" t="s">
        <v>6129</v>
      </c>
      <c r="L2421" t="s">
        <v>6130</v>
      </c>
      <c r="M2421" t="s">
        <v>6131</v>
      </c>
    </row>
    <row r="2422" spans="1:13" hidden="1" x14ac:dyDescent="0.25">
      <c r="A2422" s="24">
        <f t="shared" si="120"/>
        <v>20</v>
      </c>
      <c r="B2422" s="24">
        <v>9</v>
      </c>
      <c r="C2422" s="24">
        <v>63</v>
      </c>
      <c r="E2422" s="4">
        <v>457106</v>
      </c>
      <c r="F2422" s="2" t="s">
        <v>2</v>
      </c>
      <c r="G2422" s="2" t="str">
        <f t="shared" si="119"/>
        <v>https://www.oreht.ru/modules.php?name=orehtPriceLS&amp;op=Search&amp;page=1&amp;stext=457106</v>
      </c>
      <c r="I2422">
        <v>457106</v>
      </c>
      <c r="J2422" t="s">
        <v>2</v>
      </c>
      <c r="K2422" t="s">
        <v>6132</v>
      </c>
      <c r="L2422" t="s">
        <v>6133</v>
      </c>
      <c r="M2422" t="s">
        <v>6131</v>
      </c>
    </row>
    <row r="2423" spans="1:13" hidden="1" x14ac:dyDescent="0.25">
      <c r="A2423" s="24">
        <f t="shared" si="120"/>
        <v>20</v>
      </c>
      <c r="B2423" s="24">
        <v>9</v>
      </c>
      <c r="C2423" s="24">
        <v>61</v>
      </c>
      <c r="E2423" s="4">
        <v>457105</v>
      </c>
      <c r="F2423" s="2" t="s">
        <v>2</v>
      </c>
      <c r="G2423" s="2" t="str">
        <f t="shared" si="119"/>
        <v>https://www.oreht.ru/modules.php?name=orehtPriceLS&amp;op=Search&amp;page=1&amp;stext=457105</v>
      </c>
      <c r="I2423">
        <v>457105</v>
      </c>
      <c r="J2423" t="s">
        <v>2</v>
      </c>
      <c r="K2423" t="s">
        <v>6134</v>
      </c>
      <c r="L2423" t="s">
        <v>6135</v>
      </c>
      <c r="M2423" t="s">
        <v>6131</v>
      </c>
    </row>
    <row r="2424" spans="1:13" hidden="1" x14ac:dyDescent="0.25">
      <c r="A2424" s="24">
        <f t="shared" si="120"/>
        <v>20</v>
      </c>
      <c r="B2424" s="24">
        <v>9</v>
      </c>
      <c r="C2424" s="24">
        <v>60</v>
      </c>
      <c r="E2424" s="4">
        <v>446762</v>
      </c>
      <c r="F2424" s="2" t="s">
        <v>2</v>
      </c>
      <c r="G2424" s="2" t="str">
        <f t="shared" si="119"/>
        <v>https://www.oreht.ru/modules.php?name=orehtPriceLS&amp;op=Search&amp;page=1&amp;stext=446762</v>
      </c>
      <c r="I2424">
        <v>446762</v>
      </c>
      <c r="J2424" t="s">
        <v>2</v>
      </c>
      <c r="K2424" t="s">
        <v>6136</v>
      </c>
      <c r="L2424" t="s">
        <v>6137</v>
      </c>
      <c r="M2424" t="s">
        <v>6131</v>
      </c>
    </row>
    <row r="2425" spans="1:13" hidden="1" x14ac:dyDescent="0.25">
      <c r="A2425" s="24">
        <f t="shared" si="120"/>
        <v>20</v>
      </c>
      <c r="B2425" s="24">
        <v>9</v>
      </c>
      <c r="C2425" s="24">
        <v>79</v>
      </c>
      <c r="E2425" s="4">
        <v>458368</v>
      </c>
      <c r="F2425" s="2" t="s">
        <v>2</v>
      </c>
      <c r="G2425" s="2" t="str">
        <f t="shared" si="119"/>
        <v>https://www.oreht.ru/modules.php?name=orehtPriceLS&amp;op=Search&amp;page=1&amp;stext=458368</v>
      </c>
      <c r="I2425">
        <v>458368</v>
      </c>
      <c r="J2425" t="s">
        <v>2</v>
      </c>
      <c r="K2425" t="s">
        <v>6138</v>
      </c>
      <c r="L2425" t="s">
        <v>6139</v>
      </c>
      <c r="M2425" t="s">
        <v>6140</v>
      </c>
    </row>
    <row r="2426" spans="1:13" hidden="1" x14ac:dyDescent="0.25">
      <c r="A2426" s="24">
        <f t="shared" si="120"/>
        <v>20</v>
      </c>
      <c r="B2426" s="24">
        <v>9</v>
      </c>
      <c r="C2426" s="24">
        <v>100</v>
      </c>
      <c r="E2426" s="4">
        <v>449273</v>
      </c>
      <c r="F2426" s="2" t="s">
        <v>2</v>
      </c>
      <c r="G2426" s="2" t="str">
        <f t="shared" si="119"/>
        <v>https://www.oreht.ru/modules.php?name=orehtPriceLS&amp;op=Search&amp;page=1&amp;stext=449273</v>
      </c>
      <c r="I2426">
        <v>449273</v>
      </c>
      <c r="J2426" t="s">
        <v>2</v>
      </c>
      <c r="K2426" t="s">
        <v>6141</v>
      </c>
      <c r="L2426" t="s">
        <v>6142</v>
      </c>
      <c r="M2426" t="s">
        <v>6143</v>
      </c>
    </row>
    <row r="2427" spans="1:13" hidden="1" x14ac:dyDescent="0.25">
      <c r="A2427" s="24">
        <f t="shared" si="120"/>
        <v>20</v>
      </c>
      <c r="B2427" s="24">
        <v>10</v>
      </c>
      <c r="C2427" s="24">
        <v>79</v>
      </c>
      <c r="E2427" s="4">
        <v>419132</v>
      </c>
      <c r="F2427" s="2" t="s">
        <v>2</v>
      </c>
      <c r="G2427" s="2" t="str">
        <f t="shared" si="119"/>
        <v>https://www.oreht.ru/modules.php?name=orehtPriceLS&amp;op=Search&amp;page=1&amp;stext=419132</v>
      </c>
      <c r="I2427">
        <v>419132</v>
      </c>
      <c r="J2427" t="s">
        <v>2</v>
      </c>
      <c r="K2427" t="s">
        <v>6144</v>
      </c>
      <c r="L2427" t="s">
        <v>6145</v>
      </c>
      <c r="M2427" t="s">
        <v>6146</v>
      </c>
    </row>
    <row r="2428" spans="1:13" hidden="1" x14ac:dyDescent="0.25">
      <c r="A2428" s="24">
        <f t="shared" si="120"/>
        <v>20</v>
      </c>
      <c r="B2428" s="24">
        <v>9</v>
      </c>
      <c r="C2428" s="24">
        <v>50</v>
      </c>
      <c r="E2428" s="4">
        <v>262426</v>
      </c>
      <c r="F2428" s="2" t="s">
        <v>2</v>
      </c>
      <c r="G2428" s="2" t="str">
        <f t="shared" si="119"/>
        <v>https://www.oreht.ru/modules.php?name=orehtPriceLS&amp;op=Search&amp;page=1&amp;stext=262426</v>
      </c>
      <c r="I2428">
        <v>262426</v>
      </c>
      <c r="J2428" t="s">
        <v>2</v>
      </c>
      <c r="K2428" t="s">
        <v>6147</v>
      </c>
      <c r="L2428" t="s">
        <v>6148</v>
      </c>
      <c r="M2428" t="s">
        <v>6149</v>
      </c>
    </row>
    <row r="2429" spans="1:13" hidden="1" x14ac:dyDescent="0.25">
      <c r="A2429" s="24">
        <f t="shared" si="120"/>
        <v>20</v>
      </c>
      <c r="B2429" s="24">
        <v>9</v>
      </c>
      <c r="C2429" s="24">
        <v>63</v>
      </c>
      <c r="E2429" s="4">
        <v>449275</v>
      </c>
      <c r="F2429" s="2" t="s">
        <v>2</v>
      </c>
      <c r="G2429" s="2" t="str">
        <f t="shared" si="119"/>
        <v>https://www.oreht.ru/modules.php?name=orehtPriceLS&amp;op=Search&amp;page=1&amp;stext=449275</v>
      </c>
      <c r="I2429">
        <v>449275</v>
      </c>
      <c r="J2429" t="s">
        <v>2</v>
      </c>
      <c r="K2429" t="s">
        <v>6150</v>
      </c>
      <c r="L2429" t="s">
        <v>6151</v>
      </c>
      <c r="M2429" t="s">
        <v>6152</v>
      </c>
    </row>
    <row r="2430" spans="1:13" hidden="1" x14ac:dyDescent="0.25">
      <c r="A2430" s="24">
        <f t="shared" si="120"/>
        <v>20</v>
      </c>
      <c r="B2430" s="24">
        <v>9</v>
      </c>
      <c r="C2430" s="24">
        <v>79</v>
      </c>
      <c r="E2430" s="4">
        <v>432458</v>
      </c>
      <c r="F2430" s="2" t="s">
        <v>2</v>
      </c>
      <c r="G2430" s="2" t="str">
        <f t="shared" si="119"/>
        <v>https://www.oreht.ru/modules.php?name=orehtPriceLS&amp;op=Search&amp;page=1&amp;stext=432458</v>
      </c>
      <c r="I2430">
        <v>432458</v>
      </c>
      <c r="J2430" t="s">
        <v>2</v>
      </c>
      <c r="K2430" t="s">
        <v>6153</v>
      </c>
      <c r="L2430" t="s">
        <v>6154</v>
      </c>
      <c r="M2430" t="s">
        <v>6155</v>
      </c>
    </row>
    <row r="2431" spans="1:13" x14ac:dyDescent="0.25">
      <c r="A2431" s="24">
        <f t="shared" si="120"/>
        <v>20</v>
      </c>
      <c r="B2431" s="24">
        <v>9</v>
      </c>
      <c r="C2431" s="24">
        <v>50</v>
      </c>
      <c r="E2431" s="4">
        <v>292161</v>
      </c>
      <c r="F2431" s="2" t="s">
        <v>2</v>
      </c>
      <c r="G2431" s="2" t="str">
        <f t="shared" si="119"/>
        <v>https://www.oreht.ru/modules.php?name=orehtPriceLS&amp;op=Search&amp;page=1&amp;stext=292161</v>
      </c>
      <c r="I2431">
        <v>292161</v>
      </c>
      <c r="J2431" t="s">
        <v>2</v>
      </c>
      <c r="K2431" t="s">
        <v>6156</v>
      </c>
      <c r="L2431" t="s">
        <v>6157</v>
      </c>
      <c r="M2431" t="s">
        <v>649</v>
      </c>
    </row>
    <row r="2432" spans="1:13" hidden="1" x14ac:dyDescent="0.25">
      <c r="A2432" s="24">
        <f t="shared" si="120"/>
        <v>20</v>
      </c>
      <c r="B2432" s="24">
        <v>9</v>
      </c>
      <c r="C2432" s="24">
        <v>50</v>
      </c>
      <c r="E2432" s="4">
        <v>378316</v>
      </c>
      <c r="F2432" s="2" t="s">
        <v>2</v>
      </c>
      <c r="G2432" s="2" t="str">
        <f t="shared" si="119"/>
        <v>https://www.oreht.ru/modules.php?name=orehtPriceLS&amp;op=Search&amp;page=1&amp;stext=378316</v>
      </c>
      <c r="I2432">
        <v>378316</v>
      </c>
      <c r="J2432" t="s">
        <v>2</v>
      </c>
      <c r="K2432" t="s">
        <v>6158</v>
      </c>
      <c r="L2432" t="s">
        <v>6159</v>
      </c>
      <c r="M2432" t="s">
        <v>6160</v>
      </c>
    </row>
    <row r="2433" spans="1:13" hidden="1" x14ac:dyDescent="0.25">
      <c r="A2433" s="24">
        <f t="shared" si="120"/>
        <v>20</v>
      </c>
      <c r="B2433" s="24">
        <v>9</v>
      </c>
      <c r="C2433" s="24">
        <v>50</v>
      </c>
      <c r="E2433" s="4">
        <v>435471</v>
      </c>
      <c r="F2433" s="2" t="s">
        <v>2</v>
      </c>
      <c r="G2433" s="2" t="str">
        <f t="shared" si="119"/>
        <v>https://www.oreht.ru/modules.php?name=orehtPriceLS&amp;op=Search&amp;page=1&amp;stext=435471</v>
      </c>
      <c r="I2433">
        <v>435471</v>
      </c>
      <c r="J2433" t="s">
        <v>2</v>
      </c>
      <c r="K2433" t="s">
        <v>6161</v>
      </c>
      <c r="L2433" t="s">
        <v>6162</v>
      </c>
      <c r="M2433" t="s">
        <v>6163</v>
      </c>
    </row>
    <row r="2434" spans="1:13" hidden="1" x14ac:dyDescent="0.25">
      <c r="A2434" s="24">
        <f t="shared" si="120"/>
        <v>20</v>
      </c>
      <c r="B2434" s="24">
        <v>9</v>
      </c>
      <c r="C2434" s="24">
        <v>50</v>
      </c>
      <c r="E2434" s="4">
        <v>442672</v>
      </c>
      <c r="F2434" s="2" t="s">
        <v>2</v>
      </c>
      <c r="G2434" s="2" t="str">
        <f t="shared" ref="G2434:G2497" si="121">HYPERLINK(F2434&amp;E2434)</f>
        <v>https://www.oreht.ru/modules.php?name=orehtPriceLS&amp;op=Search&amp;page=1&amp;stext=442672</v>
      </c>
      <c r="I2434">
        <v>442672</v>
      </c>
      <c r="J2434" t="s">
        <v>2</v>
      </c>
      <c r="K2434" t="s">
        <v>6164</v>
      </c>
      <c r="L2434" t="s">
        <v>6165</v>
      </c>
      <c r="M2434" t="s">
        <v>6166</v>
      </c>
    </row>
    <row r="2435" spans="1:13" hidden="1" x14ac:dyDescent="0.25">
      <c r="A2435" s="24">
        <f t="shared" si="120"/>
        <v>20</v>
      </c>
      <c r="B2435" s="24">
        <v>10</v>
      </c>
      <c r="C2435" s="24">
        <v>50</v>
      </c>
      <c r="E2435" s="4">
        <v>397104</v>
      </c>
      <c r="F2435" s="2" t="s">
        <v>2</v>
      </c>
      <c r="G2435" s="2" t="str">
        <f t="shared" si="121"/>
        <v>https://www.oreht.ru/modules.php?name=orehtPriceLS&amp;op=Search&amp;page=1&amp;stext=397104</v>
      </c>
      <c r="I2435">
        <v>397104</v>
      </c>
      <c r="J2435" t="s">
        <v>2</v>
      </c>
      <c r="K2435" t="s">
        <v>6167</v>
      </c>
      <c r="L2435" t="s">
        <v>6168</v>
      </c>
      <c r="M2435" t="s">
        <v>6169</v>
      </c>
    </row>
    <row r="2436" spans="1:13" hidden="1" x14ac:dyDescent="0.25">
      <c r="A2436" s="24">
        <f t="shared" si="120"/>
        <v>20</v>
      </c>
      <c r="B2436" s="24">
        <v>10</v>
      </c>
      <c r="C2436" s="24">
        <v>67</v>
      </c>
      <c r="E2436" s="4">
        <v>397105</v>
      </c>
      <c r="F2436" s="2" t="s">
        <v>2</v>
      </c>
      <c r="G2436" s="2" t="str">
        <f t="shared" si="121"/>
        <v>https://www.oreht.ru/modules.php?name=orehtPriceLS&amp;op=Search&amp;page=1&amp;stext=397105</v>
      </c>
      <c r="I2436">
        <v>397105</v>
      </c>
      <c r="J2436" t="s">
        <v>2</v>
      </c>
      <c r="K2436" t="s">
        <v>6170</v>
      </c>
      <c r="L2436" t="s">
        <v>6171</v>
      </c>
      <c r="M2436" t="s">
        <v>6169</v>
      </c>
    </row>
    <row r="2437" spans="1:13" hidden="1" x14ac:dyDescent="0.25">
      <c r="A2437" s="24">
        <f t="shared" ref="A2437:A2500" si="122">IF(W2437*0.05&gt;=250,250,IF(W2437*0.05&gt;=20,IF(W2437*0.05&lt;20,20,W2437*0.05),20))</f>
        <v>20</v>
      </c>
      <c r="B2437" s="24">
        <v>9</v>
      </c>
      <c r="C2437" s="24">
        <v>65</v>
      </c>
      <c r="E2437" s="4">
        <v>290379</v>
      </c>
      <c r="F2437" s="2" t="s">
        <v>2</v>
      </c>
      <c r="G2437" s="2" t="str">
        <f t="shared" si="121"/>
        <v>https://www.oreht.ru/modules.php?name=orehtPriceLS&amp;op=Search&amp;page=1&amp;stext=290379</v>
      </c>
      <c r="I2437">
        <v>290379</v>
      </c>
      <c r="J2437" t="s">
        <v>2</v>
      </c>
      <c r="K2437" t="s">
        <v>6172</v>
      </c>
      <c r="L2437" t="s">
        <v>6173</v>
      </c>
      <c r="M2437" t="s">
        <v>6169</v>
      </c>
    </row>
    <row r="2438" spans="1:13" hidden="1" x14ac:dyDescent="0.25">
      <c r="A2438" s="24">
        <f t="shared" si="122"/>
        <v>20</v>
      </c>
      <c r="B2438" s="24">
        <v>9</v>
      </c>
      <c r="C2438" s="24">
        <v>61</v>
      </c>
      <c r="E2438" s="4">
        <v>442177</v>
      </c>
      <c r="F2438" s="2" t="s">
        <v>2</v>
      </c>
      <c r="G2438" s="2" t="str">
        <f t="shared" si="121"/>
        <v>https://www.oreht.ru/modules.php?name=orehtPriceLS&amp;op=Search&amp;page=1&amp;stext=442177</v>
      </c>
      <c r="I2438">
        <v>442177</v>
      </c>
      <c r="J2438" t="s">
        <v>2</v>
      </c>
      <c r="K2438" t="s">
        <v>6174</v>
      </c>
      <c r="L2438" t="s">
        <v>6175</v>
      </c>
      <c r="M2438" t="s">
        <v>6176</v>
      </c>
    </row>
    <row r="2439" spans="1:13" hidden="1" x14ac:dyDescent="0.25">
      <c r="A2439" s="24">
        <f t="shared" si="122"/>
        <v>20</v>
      </c>
      <c r="B2439" s="24">
        <v>5</v>
      </c>
      <c r="C2439" s="24">
        <v>185</v>
      </c>
      <c r="E2439" s="4">
        <v>346856</v>
      </c>
      <c r="F2439" s="2" t="s">
        <v>2</v>
      </c>
      <c r="G2439" s="2" t="str">
        <f t="shared" si="121"/>
        <v>https://www.oreht.ru/modules.php?name=orehtPriceLS&amp;op=Search&amp;page=1&amp;stext=346856</v>
      </c>
      <c r="I2439">
        <v>346856</v>
      </c>
      <c r="J2439" t="s">
        <v>2</v>
      </c>
      <c r="K2439" t="s">
        <v>6177</v>
      </c>
      <c r="L2439" t="s">
        <v>6178</v>
      </c>
      <c r="M2439" t="s">
        <v>6179</v>
      </c>
    </row>
    <row r="2440" spans="1:13" hidden="1" x14ac:dyDescent="0.25">
      <c r="A2440" s="24">
        <f t="shared" si="122"/>
        <v>20</v>
      </c>
      <c r="B2440" s="24">
        <v>9</v>
      </c>
      <c r="C2440" s="24">
        <v>79</v>
      </c>
      <c r="E2440" s="4">
        <v>422142</v>
      </c>
      <c r="F2440" s="2" t="s">
        <v>2</v>
      </c>
      <c r="G2440" s="2" t="str">
        <f t="shared" si="121"/>
        <v>https://www.oreht.ru/modules.php?name=orehtPriceLS&amp;op=Search&amp;page=1&amp;stext=422142</v>
      </c>
      <c r="I2440">
        <v>422142</v>
      </c>
      <c r="J2440" t="s">
        <v>2</v>
      </c>
      <c r="K2440" t="s">
        <v>6180</v>
      </c>
      <c r="L2440" t="s">
        <v>6181</v>
      </c>
      <c r="M2440" t="s">
        <v>6182</v>
      </c>
    </row>
    <row r="2441" spans="1:13" hidden="1" x14ac:dyDescent="0.25">
      <c r="A2441" s="24">
        <f t="shared" si="122"/>
        <v>20</v>
      </c>
      <c r="B2441" s="24">
        <v>9</v>
      </c>
      <c r="C2441" s="24">
        <v>50</v>
      </c>
      <c r="E2441" s="4">
        <v>423349</v>
      </c>
      <c r="F2441" s="2" t="s">
        <v>2</v>
      </c>
      <c r="G2441" s="2" t="str">
        <f t="shared" si="121"/>
        <v>https://www.oreht.ru/modules.php?name=orehtPriceLS&amp;op=Search&amp;page=1&amp;stext=423349</v>
      </c>
      <c r="I2441">
        <v>423349</v>
      </c>
      <c r="J2441" t="s">
        <v>2</v>
      </c>
      <c r="K2441" t="s">
        <v>6183</v>
      </c>
      <c r="L2441" t="s">
        <v>6184</v>
      </c>
      <c r="M2441" t="s">
        <v>6182</v>
      </c>
    </row>
    <row r="2442" spans="1:13" x14ac:dyDescent="0.25">
      <c r="A2442" s="24">
        <f t="shared" si="122"/>
        <v>20</v>
      </c>
      <c r="B2442" s="24">
        <v>9</v>
      </c>
      <c r="C2442" s="24">
        <v>79</v>
      </c>
      <c r="E2442" s="4">
        <v>306325</v>
      </c>
      <c r="F2442" s="2" t="s">
        <v>2</v>
      </c>
      <c r="G2442" s="2" t="str">
        <f t="shared" si="121"/>
        <v>https://www.oreht.ru/modules.php?name=orehtPriceLS&amp;op=Search&amp;page=1&amp;stext=306325</v>
      </c>
      <c r="I2442">
        <v>306325</v>
      </c>
      <c r="J2442" t="s">
        <v>2</v>
      </c>
      <c r="K2442" t="s">
        <v>6185</v>
      </c>
      <c r="L2442" t="s">
        <v>6186</v>
      </c>
      <c r="M2442" t="s">
        <v>649</v>
      </c>
    </row>
    <row r="2443" spans="1:13" hidden="1" x14ac:dyDescent="0.25">
      <c r="A2443" s="24">
        <f t="shared" si="122"/>
        <v>20</v>
      </c>
      <c r="B2443" s="24">
        <v>9</v>
      </c>
      <c r="C2443" s="24">
        <v>50</v>
      </c>
      <c r="E2443" s="4">
        <v>387425</v>
      </c>
      <c r="F2443" s="2" t="s">
        <v>2</v>
      </c>
      <c r="G2443" s="2" t="str">
        <f t="shared" si="121"/>
        <v>https://www.oreht.ru/modules.php?name=orehtPriceLS&amp;op=Search&amp;page=1&amp;stext=387425</v>
      </c>
      <c r="I2443">
        <v>387425</v>
      </c>
      <c r="J2443" t="s">
        <v>2</v>
      </c>
      <c r="K2443" t="s">
        <v>6187</v>
      </c>
      <c r="L2443" t="s">
        <v>6188</v>
      </c>
      <c r="M2443" t="s">
        <v>6189</v>
      </c>
    </row>
    <row r="2444" spans="1:13" hidden="1" x14ac:dyDescent="0.25">
      <c r="A2444" s="24">
        <f t="shared" si="122"/>
        <v>20</v>
      </c>
      <c r="B2444" s="24">
        <v>9</v>
      </c>
      <c r="C2444" s="24">
        <v>50</v>
      </c>
      <c r="E2444" s="4">
        <v>435469</v>
      </c>
      <c r="F2444" s="2" t="s">
        <v>2</v>
      </c>
      <c r="G2444" s="2" t="str">
        <f t="shared" si="121"/>
        <v>https://www.oreht.ru/modules.php?name=orehtPriceLS&amp;op=Search&amp;page=1&amp;stext=435469</v>
      </c>
      <c r="I2444">
        <v>435469</v>
      </c>
      <c r="J2444" t="s">
        <v>2</v>
      </c>
      <c r="K2444" t="s">
        <v>6190</v>
      </c>
      <c r="L2444" t="s">
        <v>6191</v>
      </c>
      <c r="M2444" t="s">
        <v>6192</v>
      </c>
    </row>
    <row r="2445" spans="1:13" hidden="1" x14ac:dyDescent="0.25">
      <c r="A2445" s="24">
        <f t="shared" si="122"/>
        <v>20</v>
      </c>
      <c r="B2445" s="24">
        <v>9</v>
      </c>
      <c r="C2445" s="24">
        <v>50</v>
      </c>
      <c r="E2445" s="4">
        <v>435470</v>
      </c>
      <c r="F2445" s="2" t="s">
        <v>2</v>
      </c>
      <c r="G2445" s="2" t="str">
        <f t="shared" si="121"/>
        <v>https://www.oreht.ru/modules.php?name=orehtPriceLS&amp;op=Search&amp;page=1&amp;stext=435470</v>
      </c>
      <c r="I2445">
        <v>435470</v>
      </c>
      <c r="J2445" t="s">
        <v>2</v>
      </c>
      <c r="K2445" t="s">
        <v>6193</v>
      </c>
      <c r="L2445" t="s">
        <v>6194</v>
      </c>
      <c r="M2445" t="s">
        <v>6195</v>
      </c>
    </row>
    <row r="2446" spans="1:13" hidden="1" x14ac:dyDescent="0.25">
      <c r="A2446" s="24">
        <f t="shared" si="122"/>
        <v>20</v>
      </c>
      <c r="B2446" s="24">
        <v>9</v>
      </c>
      <c r="C2446" s="24">
        <v>50</v>
      </c>
      <c r="E2446" s="4">
        <v>107957</v>
      </c>
      <c r="F2446" s="2" t="s">
        <v>2</v>
      </c>
      <c r="G2446" s="2" t="str">
        <f t="shared" si="121"/>
        <v>https://www.oreht.ru/modules.php?name=orehtPriceLS&amp;op=Search&amp;page=1&amp;stext=107957</v>
      </c>
      <c r="I2446">
        <v>107957</v>
      </c>
      <c r="J2446" t="s">
        <v>2</v>
      </c>
      <c r="K2446" t="s">
        <v>6196</v>
      </c>
      <c r="L2446" t="s">
        <v>6197</v>
      </c>
      <c r="M2446" t="s">
        <v>6198</v>
      </c>
    </row>
    <row r="2447" spans="1:13" hidden="1" x14ac:dyDescent="0.25">
      <c r="A2447" s="24">
        <f t="shared" si="122"/>
        <v>20</v>
      </c>
      <c r="B2447" s="24">
        <v>9</v>
      </c>
      <c r="C2447" s="24">
        <v>50</v>
      </c>
      <c r="E2447" s="4">
        <v>458851</v>
      </c>
      <c r="F2447" s="2" t="s">
        <v>2</v>
      </c>
      <c r="G2447" s="2" t="str">
        <f t="shared" si="121"/>
        <v>https://www.oreht.ru/modules.php?name=orehtPriceLS&amp;op=Search&amp;page=1&amp;stext=458851</v>
      </c>
      <c r="I2447">
        <v>458851</v>
      </c>
      <c r="J2447" t="s">
        <v>2</v>
      </c>
      <c r="K2447" t="s">
        <v>6199</v>
      </c>
      <c r="L2447" t="s">
        <v>6200</v>
      </c>
      <c r="M2447" t="s">
        <v>6201</v>
      </c>
    </row>
    <row r="2448" spans="1:13" hidden="1" x14ac:dyDescent="0.25">
      <c r="A2448" s="24">
        <f t="shared" si="122"/>
        <v>20</v>
      </c>
      <c r="B2448" s="24">
        <v>9</v>
      </c>
      <c r="C2448" s="24">
        <v>50</v>
      </c>
      <c r="E2448" s="4">
        <v>458853</v>
      </c>
      <c r="F2448" s="2" t="s">
        <v>2</v>
      </c>
      <c r="G2448" s="2" t="str">
        <f t="shared" si="121"/>
        <v>https://www.oreht.ru/modules.php?name=orehtPriceLS&amp;op=Search&amp;page=1&amp;stext=458853</v>
      </c>
      <c r="I2448">
        <v>458853</v>
      </c>
      <c r="J2448" t="s">
        <v>2</v>
      </c>
      <c r="K2448" t="s">
        <v>6202</v>
      </c>
      <c r="L2448" t="s">
        <v>6203</v>
      </c>
      <c r="M2448" t="s">
        <v>6201</v>
      </c>
    </row>
    <row r="2449" spans="1:13" hidden="1" x14ac:dyDescent="0.25">
      <c r="A2449" s="24">
        <f t="shared" si="122"/>
        <v>20</v>
      </c>
      <c r="B2449" s="24">
        <v>9</v>
      </c>
      <c r="C2449" s="24">
        <v>79</v>
      </c>
      <c r="E2449" s="4">
        <v>460965</v>
      </c>
      <c r="F2449" s="2" t="s">
        <v>2</v>
      </c>
      <c r="G2449" s="2" t="str">
        <f t="shared" si="121"/>
        <v>https://www.oreht.ru/modules.php?name=orehtPriceLS&amp;op=Search&amp;page=1&amp;stext=460965</v>
      </c>
      <c r="I2449">
        <v>460965</v>
      </c>
      <c r="J2449" t="s">
        <v>2</v>
      </c>
      <c r="K2449" t="s">
        <v>6204</v>
      </c>
      <c r="L2449" t="s">
        <v>6205</v>
      </c>
      <c r="M2449" t="s">
        <v>6206</v>
      </c>
    </row>
    <row r="2450" spans="1:13" hidden="1" x14ac:dyDescent="0.25">
      <c r="A2450" s="24">
        <f t="shared" si="122"/>
        <v>20</v>
      </c>
      <c r="B2450" s="24">
        <v>9</v>
      </c>
      <c r="C2450" s="24">
        <v>120</v>
      </c>
      <c r="E2450" s="4">
        <v>438610</v>
      </c>
      <c r="F2450" s="2" t="s">
        <v>2</v>
      </c>
      <c r="G2450" s="2" t="str">
        <f t="shared" si="121"/>
        <v>https://www.oreht.ru/modules.php?name=orehtPriceLS&amp;op=Search&amp;page=1&amp;stext=438610</v>
      </c>
      <c r="I2450">
        <v>438610</v>
      </c>
      <c r="J2450" t="s">
        <v>2</v>
      </c>
      <c r="K2450" t="s">
        <v>6207</v>
      </c>
      <c r="L2450" t="s">
        <v>6208</v>
      </c>
      <c r="M2450" t="s">
        <v>6206</v>
      </c>
    </row>
    <row r="2451" spans="1:13" hidden="1" x14ac:dyDescent="0.25">
      <c r="A2451" s="24">
        <f t="shared" si="122"/>
        <v>20</v>
      </c>
      <c r="B2451" s="24">
        <v>15</v>
      </c>
      <c r="C2451" s="24">
        <v>100</v>
      </c>
      <c r="E2451" s="4">
        <v>327641</v>
      </c>
      <c r="F2451" s="2" t="s">
        <v>2</v>
      </c>
      <c r="G2451" s="2" t="str">
        <f t="shared" si="121"/>
        <v>https://www.oreht.ru/modules.php?name=orehtPriceLS&amp;op=Search&amp;page=1&amp;stext=327641</v>
      </c>
      <c r="I2451">
        <v>327641</v>
      </c>
      <c r="J2451" t="s">
        <v>2</v>
      </c>
      <c r="K2451" t="s">
        <v>6209</v>
      </c>
      <c r="L2451" t="s">
        <v>6210</v>
      </c>
      <c r="M2451" t="s">
        <v>6211</v>
      </c>
    </row>
    <row r="2452" spans="1:13" hidden="1" x14ac:dyDescent="0.25">
      <c r="A2452" s="24">
        <f t="shared" si="122"/>
        <v>20</v>
      </c>
      <c r="B2452" s="24">
        <v>9</v>
      </c>
      <c r="C2452" s="24">
        <v>79</v>
      </c>
      <c r="E2452" s="4">
        <v>358017</v>
      </c>
      <c r="F2452" s="2" t="s">
        <v>2</v>
      </c>
      <c r="G2452" s="2" t="str">
        <f t="shared" si="121"/>
        <v>https://www.oreht.ru/modules.php?name=orehtPriceLS&amp;op=Search&amp;page=1&amp;stext=358017</v>
      </c>
      <c r="I2452">
        <v>358017</v>
      </c>
      <c r="J2452" t="s">
        <v>2</v>
      </c>
      <c r="K2452" t="s">
        <v>6212</v>
      </c>
      <c r="L2452" t="s">
        <v>6213</v>
      </c>
      <c r="M2452" t="s">
        <v>6214</v>
      </c>
    </row>
    <row r="2453" spans="1:13" hidden="1" x14ac:dyDescent="0.25">
      <c r="A2453" s="24">
        <f t="shared" si="122"/>
        <v>20</v>
      </c>
      <c r="B2453" s="24">
        <v>9</v>
      </c>
      <c r="C2453" s="24">
        <v>60</v>
      </c>
      <c r="E2453" s="4">
        <v>295125</v>
      </c>
      <c r="F2453" s="2" t="s">
        <v>2</v>
      </c>
      <c r="G2453" s="2" t="str">
        <f t="shared" si="121"/>
        <v>https://www.oreht.ru/modules.php?name=orehtPriceLS&amp;op=Search&amp;page=1&amp;stext=295125</v>
      </c>
      <c r="I2453">
        <v>295125</v>
      </c>
      <c r="J2453" t="s">
        <v>2</v>
      </c>
      <c r="K2453" t="s">
        <v>6215</v>
      </c>
      <c r="L2453" t="s">
        <v>6216</v>
      </c>
      <c r="M2453" t="s">
        <v>6217</v>
      </c>
    </row>
    <row r="2454" spans="1:13" hidden="1" x14ac:dyDescent="0.25">
      <c r="A2454" s="24">
        <f t="shared" si="122"/>
        <v>20</v>
      </c>
      <c r="B2454" s="24">
        <v>10</v>
      </c>
      <c r="C2454" s="24">
        <v>50</v>
      </c>
      <c r="E2454" s="4">
        <v>432683</v>
      </c>
      <c r="F2454" s="2" t="s">
        <v>2</v>
      </c>
      <c r="G2454" s="2" t="str">
        <f t="shared" si="121"/>
        <v>https://www.oreht.ru/modules.php?name=orehtPriceLS&amp;op=Search&amp;page=1&amp;stext=432683</v>
      </c>
      <c r="I2454">
        <v>432683</v>
      </c>
      <c r="J2454" t="s">
        <v>2</v>
      </c>
      <c r="K2454" t="s">
        <v>6218</v>
      </c>
      <c r="L2454" t="s">
        <v>6219</v>
      </c>
      <c r="M2454" t="s">
        <v>6220</v>
      </c>
    </row>
    <row r="2455" spans="1:13" hidden="1" x14ac:dyDescent="0.25">
      <c r="A2455" s="24">
        <f t="shared" si="122"/>
        <v>20</v>
      </c>
      <c r="B2455" s="24">
        <v>8</v>
      </c>
      <c r="C2455" s="24">
        <v>67</v>
      </c>
      <c r="E2455" s="4">
        <v>411911</v>
      </c>
      <c r="F2455" s="2" t="s">
        <v>2</v>
      </c>
      <c r="G2455" s="2" t="str">
        <f t="shared" si="121"/>
        <v>https://www.oreht.ru/modules.php?name=orehtPriceLS&amp;op=Search&amp;page=1&amp;stext=411911</v>
      </c>
      <c r="I2455">
        <v>411911</v>
      </c>
      <c r="J2455" t="s">
        <v>2</v>
      </c>
      <c r="K2455" t="s">
        <v>6221</v>
      </c>
      <c r="L2455" t="s">
        <v>6222</v>
      </c>
      <c r="M2455" t="s">
        <v>6223</v>
      </c>
    </row>
    <row r="2456" spans="1:13" hidden="1" x14ac:dyDescent="0.25">
      <c r="A2456" s="24">
        <f t="shared" si="122"/>
        <v>20</v>
      </c>
      <c r="B2456" s="24">
        <v>9</v>
      </c>
      <c r="C2456" s="24">
        <v>61</v>
      </c>
      <c r="E2456" s="4">
        <v>283416</v>
      </c>
      <c r="F2456" s="2" t="s">
        <v>2</v>
      </c>
      <c r="G2456" s="2" t="str">
        <f t="shared" si="121"/>
        <v>https://www.oreht.ru/modules.php?name=orehtPriceLS&amp;op=Search&amp;page=1&amp;stext=283416</v>
      </c>
      <c r="I2456">
        <v>283416</v>
      </c>
      <c r="J2456" t="s">
        <v>2</v>
      </c>
      <c r="K2456" t="s">
        <v>6224</v>
      </c>
      <c r="L2456" t="s">
        <v>6225</v>
      </c>
      <c r="M2456" t="s">
        <v>6226</v>
      </c>
    </row>
    <row r="2457" spans="1:13" hidden="1" x14ac:dyDescent="0.25">
      <c r="A2457" s="24">
        <f t="shared" si="122"/>
        <v>20</v>
      </c>
      <c r="B2457" s="24">
        <v>9</v>
      </c>
      <c r="C2457" s="24">
        <v>61</v>
      </c>
      <c r="E2457" s="4">
        <v>212298</v>
      </c>
      <c r="F2457" s="2" t="s">
        <v>2</v>
      </c>
      <c r="G2457" s="2" t="str">
        <f t="shared" si="121"/>
        <v>https://www.oreht.ru/modules.php?name=orehtPriceLS&amp;op=Search&amp;page=1&amp;stext=212298</v>
      </c>
      <c r="I2457">
        <v>212298</v>
      </c>
      <c r="J2457" t="s">
        <v>2</v>
      </c>
      <c r="K2457" t="s">
        <v>6227</v>
      </c>
      <c r="L2457" t="s">
        <v>6228</v>
      </c>
      <c r="M2457" t="s">
        <v>6229</v>
      </c>
    </row>
    <row r="2458" spans="1:13" hidden="1" x14ac:dyDescent="0.25">
      <c r="A2458" s="24">
        <f t="shared" si="122"/>
        <v>20</v>
      </c>
      <c r="B2458" s="24">
        <v>9</v>
      </c>
      <c r="C2458" s="24">
        <v>50</v>
      </c>
      <c r="E2458" s="4">
        <v>262427</v>
      </c>
      <c r="F2458" s="2" t="s">
        <v>2</v>
      </c>
      <c r="G2458" s="2" t="str">
        <f t="shared" si="121"/>
        <v>https://www.oreht.ru/modules.php?name=orehtPriceLS&amp;op=Search&amp;page=1&amp;stext=262427</v>
      </c>
      <c r="I2458">
        <v>262427</v>
      </c>
      <c r="J2458" t="s">
        <v>2</v>
      </c>
      <c r="K2458" t="s">
        <v>6230</v>
      </c>
      <c r="L2458" t="s">
        <v>6231</v>
      </c>
      <c r="M2458" t="s">
        <v>6232</v>
      </c>
    </row>
    <row r="2459" spans="1:13" hidden="1" x14ac:dyDescent="0.25">
      <c r="A2459" s="24">
        <f t="shared" si="122"/>
        <v>20</v>
      </c>
      <c r="B2459" s="24">
        <v>9</v>
      </c>
      <c r="C2459" s="24">
        <v>100</v>
      </c>
      <c r="E2459" s="4">
        <v>449194</v>
      </c>
      <c r="F2459" s="2" t="s">
        <v>2</v>
      </c>
      <c r="G2459" s="2" t="str">
        <f t="shared" si="121"/>
        <v>https://www.oreht.ru/modules.php?name=orehtPriceLS&amp;op=Search&amp;page=1&amp;stext=449194</v>
      </c>
      <c r="I2459">
        <v>449194</v>
      </c>
      <c r="J2459" t="s">
        <v>2</v>
      </c>
      <c r="K2459" t="s">
        <v>6233</v>
      </c>
      <c r="L2459" t="s">
        <v>6234</v>
      </c>
      <c r="M2459" t="s">
        <v>6232</v>
      </c>
    </row>
    <row r="2460" spans="1:13" hidden="1" x14ac:dyDescent="0.25">
      <c r="A2460" s="24">
        <f t="shared" si="122"/>
        <v>20</v>
      </c>
      <c r="B2460" s="24">
        <v>15</v>
      </c>
      <c r="C2460" s="24">
        <v>120</v>
      </c>
      <c r="E2460" s="4">
        <v>360108</v>
      </c>
      <c r="F2460" s="2" t="s">
        <v>2</v>
      </c>
      <c r="G2460" s="2" t="str">
        <f t="shared" si="121"/>
        <v>https://www.oreht.ru/modules.php?name=orehtPriceLS&amp;op=Search&amp;page=1&amp;stext=360108</v>
      </c>
      <c r="I2460">
        <v>360108</v>
      </c>
      <c r="J2460" t="s">
        <v>2</v>
      </c>
      <c r="K2460" t="s">
        <v>6235</v>
      </c>
      <c r="L2460" t="s">
        <v>6236</v>
      </c>
      <c r="M2460" t="s">
        <v>6237</v>
      </c>
    </row>
    <row r="2461" spans="1:13" hidden="1" x14ac:dyDescent="0.25">
      <c r="A2461" s="24">
        <f t="shared" si="122"/>
        <v>20</v>
      </c>
      <c r="B2461" s="24">
        <v>9</v>
      </c>
      <c r="C2461" s="24">
        <v>50</v>
      </c>
      <c r="E2461" s="4">
        <v>424548</v>
      </c>
      <c r="F2461" s="2" t="s">
        <v>2</v>
      </c>
      <c r="G2461" s="2" t="str">
        <f t="shared" si="121"/>
        <v>https://www.oreht.ru/modules.php?name=orehtPriceLS&amp;op=Search&amp;page=1&amp;stext=424548</v>
      </c>
      <c r="I2461">
        <v>424548</v>
      </c>
      <c r="J2461" t="s">
        <v>2</v>
      </c>
      <c r="K2461" t="s">
        <v>6238</v>
      </c>
      <c r="L2461" t="s">
        <v>6239</v>
      </c>
      <c r="M2461" t="s">
        <v>6240</v>
      </c>
    </row>
    <row r="2462" spans="1:13" hidden="1" x14ac:dyDescent="0.25">
      <c r="A2462" s="24">
        <f t="shared" si="122"/>
        <v>20</v>
      </c>
      <c r="B2462" s="24">
        <v>15</v>
      </c>
      <c r="C2462" s="24">
        <v>100</v>
      </c>
      <c r="E2462" s="4">
        <v>377845</v>
      </c>
      <c r="F2462" s="2" t="s">
        <v>2</v>
      </c>
      <c r="G2462" s="2" t="str">
        <f t="shared" si="121"/>
        <v>https://www.oreht.ru/modules.php?name=orehtPriceLS&amp;op=Search&amp;page=1&amp;stext=377845</v>
      </c>
      <c r="I2462">
        <v>377845</v>
      </c>
      <c r="J2462" t="s">
        <v>2</v>
      </c>
      <c r="K2462" t="s">
        <v>6241</v>
      </c>
      <c r="L2462" t="s">
        <v>6242</v>
      </c>
      <c r="M2462" t="s">
        <v>6243</v>
      </c>
    </row>
    <row r="2463" spans="1:13" hidden="1" x14ac:dyDescent="0.25">
      <c r="A2463" s="24">
        <f t="shared" si="122"/>
        <v>20</v>
      </c>
      <c r="B2463" s="24">
        <v>9</v>
      </c>
      <c r="C2463" s="24">
        <v>79</v>
      </c>
      <c r="E2463" s="4">
        <v>393099</v>
      </c>
      <c r="F2463" s="2" t="s">
        <v>2</v>
      </c>
      <c r="G2463" s="2" t="str">
        <f t="shared" si="121"/>
        <v>https://www.oreht.ru/modules.php?name=orehtPriceLS&amp;op=Search&amp;page=1&amp;stext=393099</v>
      </c>
      <c r="I2463">
        <v>393099</v>
      </c>
      <c r="J2463" t="s">
        <v>2</v>
      </c>
      <c r="K2463" t="s">
        <v>6244</v>
      </c>
      <c r="L2463" t="s">
        <v>6245</v>
      </c>
      <c r="M2463" t="s">
        <v>6246</v>
      </c>
    </row>
    <row r="2464" spans="1:13" hidden="1" x14ac:dyDescent="0.25">
      <c r="A2464" s="24">
        <f t="shared" si="122"/>
        <v>20</v>
      </c>
      <c r="B2464" s="24">
        <v>9</v>
      </c>
      <c r="C2464" s="24">
        <v>69</v>
      </c>
      <c r="E2464" s="4">
        <v>381722</v>
      </c>
      <c r="F2464" s="2" t="s">
        <v>2</v>
      </c>
      <c r="G2464" s="2" t="str">
        <f t="shared" si="121"/>
        <v>https://www.oreht.ru/modules.php?name=orehtPriceLS&amp;op=Search&amp;page=1&amp;stext=381722</v>
      </c>
      <c r="I2464">
        <v>381722</v>
      </c>
      <c r="J2464" t="s">
        <v>2</v>
      </c>
      <c r="K2464" t="s">
        <v>6247</v>
      </c>
      <c r="L2464" t="s">
        <v>6248</v>
      </c>
      <c r="M2464" t="s">
        <v>6249</v>
      </c>
    </row>
    <row r="2465" spans="1:13" hidden="1" x14ac:dyDescent="0.25">
      <c r="A2465" s="24">
        <f t="shared" si="122"/>
        <v>20</v>
      </c>
      <c r="B2465" s="24">
        <v>9</v>
      </c>
      <c r="C2465" s="24">
        <v>100</v>
      </c>
      <c r="E2465" s="4">
        <v>442630</v>
      </c>
      <c r="F2465" s="2" t="s">
        <v>2</v>
      </c>
      <c r="G2465" s="2" t="str">
        <f t="shared" si="121"/>
        <v>https://www.oreht.ru/modules.php?name=orehtPriceLS&amp;op=Search&amp;page=1&amp;stext=442630</v>
      </c>
      <c r="I2465">
        <v>442630</v>
      </c>
      <c r="J2465" t="s">
        <v>2</v>
      </c>
      <c r="K2465" t="s">
        <v>6250</v>
      </c>
      <c r="L2465" t="s">
        <v>6251</v>
      </c>
      <c r="M2465" t="s">
        <v>6252</v>
      </c>
    </row>
    <row r="2466" spans="1:13" hidden="1" x14ac:dyDescent="0.25">
      <c r="A2466" s="24">
        <f t="shared" si="122"/>
        <v>20</v>
      </c>
      <c r="B2466" s="24">
        <v>9</v>
      </c>
      <c r="C2466" s="24">
        <v>65</v>
      </c>
      <c r="E2466" s="4">
        <v>460964</v>
      </c>
      <c r="F2466" s="2" t="s">
        <v>2</v>
      </c>
      <c r="G2466" s="2" t="str">
        <f t="shared" si="121"/>
        <v>https://www.oreht.ru/modules.php?name=orehtPriceLS&amp;op=Search&amp;page=1&amp;stext=460964</v>
      </c>
      <c r="I2466">
        <v>460964</v>
      </c>
      <c r="J2466" t="s">
        <v>2</v>
      </c>
      <c r="K2466" t="s">
        <v>6253</v>
      </c>
      <c r="L2466" t="s">
        <v>6254</v>
      </c>
      <c r="M2466" t="s">
        <v>6255</v>
      </c>
    </row>
    <row r="2467" spans="1:13" hidden="1" x14ac:dyDescent="0.25">
      <c r="A2467" s="24">
        <f t="shared" si="122"/>
        <v>20</v>
      </c>
      <c r="B2467" s="24">
        <v>9</v>
      </c>
      <c r="C2467" s="24">
        <v>100</v>
      </c>
      <c r="E2467" s="4">
        <v>380723</v>
      </c>
      <c r="F2467" s="2" t="s">
        <v>2</v>
      </c>
      <c r="G2467" s="2" t="str">
        <f t="shared" si="121"/>
        <v>https://www.oreht.ru/modules.php?name=orehtPriceLS&amp;op=Search&amp;page=1&amp;stext=380723</v>
      </c>
      <c r="I2467">
        <v>380723</v>
      </c>
      <c r="J2467" t="s">
        <v>2</v>
      </c>
      <c r="K2467" t="s">
        <v>6256</v>
      </c>
      <c r="L2467" t="s">
        <v>6257</v>
      </c>
      <c r="M2467" t="s">
        <v>6258</v>
      </c>
    </row>
    <row r="2468" spans="1:13" hidden="1" x14ac:dyDescent="0.25">
      <c r="A2468" s="24">
        <f t="shared" si="122"/>
        <v>20</v>
      </c>
      <c r="B2468" s="24">
        <v>9</v>
      </c>
      <c r="C2468" s="24">
        <v>79</v>
      </c>
      <c r="E2468" s="4">
        <v>378361</v>
      </c>
      <c r="F2468" s="2" t="s">
        <v>2</v>
      </c>
      <c r="G2468" s="2" t="str">
        <f t="shared" si="121"/>
        <v>https://www.oreht.ru/modules.php?name=orehtPriceLS&amp;op=Search&amp;page=1&amp;stext=378361</v>
      </c>
      <c r="I2468">
        <v>378361</v>
      </c>
      <c r="J2468" t="s">
        <v>2</v>
      </c>
      <c r="K2468" t="s">
        <v>6259</v>
      </c>
      <c r="L2468" t="s">
        <v>6260</v>
      </c>
      <c r="M2468" t="s">
        <v>6261</v>
      </c>
    </row>
    <row r="2469" spans="1:13" hidden="1" x14ac:dyDescent="0.25">
      <c r="A2469" s="24">
        <f t="shared" si="122"/>
        <v>20</v>
      </c>
      <c r="B2469" s="24">
        <v>15</v>
      </c>
      <c r="C2469" s="24">
        <v>120</v>
      </c>
      <c r="E2469" s="4">
        <v>334059</v>
      </c>
      <c r="F2469" s="2" t="s">
        <v>2</v>
      </c>
      <c r="G2469" s="2" t="str">
        <f t="shared" si="121"/>
        <v>https://www.oreht.ru/modules.php?name=orehtPriceLS&amp;op=Search&amp;page=1&amp;stext=334059</v>
      </c>
      <c r="I2469">
        <v>334059</v>
      </c>
      <c r="J2469" t="s">
        <v>2</v>
      </c>
      <c r="K2469" t="s">
        <v>6262</v>
      </c>
      <c r="L2469" t="s">
        <v>6263</v>
      </c>
      <c r="M2469" t="s">
        <v>6264</v>
      </c>
    </row>
    <row r="2470" spans="1:13" hidden="1" x14ac:dyDescent="0.25">
      <c r="A2470" s="24">
        <f t="shared" si="122"/>
        <v>20</v>
      </c>
      <c r="B2470" s="24">
        <v>8</v>
      </c>
      <c r="C2470" s="24">
        <v>60</v>
      </c>
      <c r="E2470" s="4">
        <v>285194</v>
      </c>
      <c r="F2470" s="2" t="s">
        <v>2</v>
      </c>
      <c r="G2470" s="2" t="str">
        <f t="shared" si="121"/>
        <v>https://www.oreht.ru/modules.php?name=orehtPriceLS&amp;op=Search&amp;page=1&amp;stext=285194</v>
      </c>
      <c r="I2470">
        <v>285194</v>
      </c>
      <c r="J2470" t="s">
        <v>2</v>
      </c>
      <c r="K2470" t="s">
        <v>6265</v>
      </c>
      <c r="L2470" t="s">
        <v>6266</v>
      </c>
      <c r="M2470" t="s">
        <v>6267</v>
      </c>
    </row>
    <row r="2471" spans="1:13" hidden="1" x14ac:dyDescent="0.25">
      <c r="A2471" s="24">
        <f t="shared" si="122"/>
        <v>20</v>
      </c>
      <c r="B2471" s="24">
        <v>9</v>
      </c>
      <c r="C2471" s="24">
        <v>60</v>
      </c>
      <c r="E2471" s="4">
        <v>442099</v>
      </c>
      <c r="F2471" s="2" t="s">
        <v>2</v>
      </c>
      <c r="G2471" s="2" t="str">
        <f t="shared" si="121"/>
        <v>https://www.oreht.ru/modules.php?name=orehtPriceLS&amp;op=Search&amp;page=1&amp;stext=442099</v>
      </c>
      <c r="I2471">
        <v>442099</v>
      </c>
      <c r="J2471" t="s">
        <v>2</v>
      </c>
      <c r="K2471" t="s">
        <v>6268</v>
      </c>
      <c r="L2471" t="s">
        <v>6269</v>
      </c>
      <c r="M2471" t="s">
        <v>5995</v>
      </c>
    </row>
    <row r="2472" spans="1:13" hidden="1" x14ac:dyDescent="0.25">
      <c r="A2472" s="24">
        <f t="shared" si="122"/>
        <v>20</v>
      </c>
      <c r="B2472" s="24">
        <v>9</v>
      </c>
      <c r="C2472" s="24">
        <v>69</v>
      </c>
      <c r="E2472" s="4">
        <v>307430</v>
      </c>
      <c r="F2472" s="2" t="s">
        <v>2</v>
      </c>
      <c r="G2472" s="2" t="str">
        <f t="shared" si="121"/>
        <v>https://www.oreht.ru/modules.php?name=orehtPriceLS&amp;op=Search&amp;page=1&amp;stext=307430</v>
      </c>
      <c r="I2472">
        <v>307430</v>
      </c>
      <c r="J2472" t="s">
        <v>2</v>
      </c>
      <c r="K2472" t="s">
        <v>6270</v>
      </c>
      <c r="L2472" t="s">
        <v>6271</v>
      </c>
      <c r="M2472" t="s">
        <v>6272</v>
      </c>
    </row>
    <row r="2473" spans="1:13" hidden="1" x14ac:dyDescent="0.25">
      <c r="A2473" s="24">
        <f t="shared" si="122"/>
        <v>20</v>
      </c>
      <c r="B2473" s="24">
        <v>9</v>
      </c>
      <c r="C2473" s="24">
        <v>79</v>
      </c>
      <c r="E2473" s="4">
        <v>421026</v>
      </c>
      <c r="F2473" s="2" t="s">
        <v>2</v>
      </c>
      <c r="G2473" s="2" t="str">
        <f t="shared" si="121"/>
        <v>https://www.oreht.ru/modules.php?name=orehtPriceLS&amp;op=Search&amp;page=1&amp;stext=421026</v>
      </c>
      <c r="I2473">
        <v>421026</v>
      </c>
      <c r="J2473" t="s">
        <v>2</v>
      </c>
      <c r="K2473" t="s">
        <v>6273</v>
      </c>
      <c r="L2473" t="s">
        <v>6274</v>
      </c>
      <c r="M2473" t="s">
        <v>6069</v>
      </c>
    </row>
    <row r="2474" spans="1:13" hidden="1" x14ac:dyDescent="0.25">
      <c r="A2474" s="24">
        <f t="shared" si="122"/>
        <v>20</v>
      </c>
      <c r="B2474" s="24">
        <v>9</v>
      </c>
      <c r="C2474" s="24">
        <v>60</v>
      </c>
      <c r="E2474" s="4">
        <v>300142</v>
      </c>
      <c r="F2474" s="2" t="s">
        <v>2</v>
      </c>
      <c r="G2474" s="2" t="str">
        <f t="shared" si="121"/>
        <v>https://www.oreht.ru/modules.php?name=orehtPriceLS&amp;op=Search&amp;page=1&amp;stext=300142</v>
      </c>
      <c r="I2474">
        <v>300142</v>
      </c>
      <c r="J2474" t="s">
        <v>2</v>
      </c>
      <c r="K2474" t="s">
        <v>6275</v>
      </c>
      <c r="L2474" t="s">
        <v>6276</v>
      </c>
      <c r="M2474" t="s">
        <v>6277</v>
      </c>
    </row>
    <row r="2475" spans="1:13" hidden="1" x14ac:dyDescent="0.25">
      <c r="A2475" s="24">
        <f t="shared" si="122"/>
        <v>20</v>
      </c>
      <c r="B2475" s="24">
        <v>15</v>
      </c>
      <c r="C2475" s="24">
        <v>79</v>
      </c>
      <c r="E2475" s="4">
        <v>360103</v>
      </c>
      <c r="F2475" s="2" t="s">
        <v>2</v>
      </c>
      <c r="G2475" s="2" t="str">
        <f t="shared" si="121"/>
        <v>https://www.oreht.ru/modules.php?name=orehtPriceLS&amp;op=Search&amp;page=1&amp;stext=360103</v>
      </c>
      <c r="I2475">
        <v>360103</v>
      </c>
      <c r="J2475" t="s">
        <v>2</v>
      </c>
      <c r="K2475" t="s">
        <v>6278</v>
      </c>
      <c r="L2475" t="s">
        <v>6279</v>
      </c>
      <c r="M2475" t="s">
        <v>6280</v>
      </c>
    </row>
    <row r="2476" spans="1:13" hidden="1" x14ac:dyDescent="0.25">
      <c r="A2476" s="24">
        <f t="shared" si="122"/>
        <v>20</v>
      </c>
      <c r="B2476" s="24">
        <v>9</v>
      </c>
      <c r="C2476" s="24">
        <v>60</v>
      </c>
      <c r="E2476" s="4">
        <v>375453</v>
      </c>
      <c r="F2476" s="2" t="s">
        <v>2</v>
      </c>
      <c r="G2476" s="2" t="str">
        <f t="shared" si="121"/>
        <v>https://www.oreht.ru/modules.php?name=orehtPriceLS&amp;op=Search&amp;page=1&amp;stext=375453</v>
      </c>
      <c r="I2476">
        <v>375453</v>
      </c>
      <c r="J2476" t="s">
        <v>2</v>
      </c>
      <c r="K2476" t="s">
        <v>6281</v>
      </c>
      <c r="L2476" t="s">
        <v>6282</v>
      </c>
      <c r="M2476" t="s">
        <v>6280</v>
      </c>
    </row>
    <row r="2477" spans="1:13" hidden="1" x14ac:dyDescent="0.25">
      <c r="A2477" s="24">
        <f t="shared" si="122"/>
        <v>20</v>
      </c>
      <c r="B2477" s="24">
        <v>9</v>
      </c>
      <c r="C2477" s="24">
        <v>70</v>
      </c>
      <c r="E2477" s="4">
        <v>290378</v>
      </c>
      <c r="F2477" s="2" t="s">
        <v>2</v>
      </c>
      <c r="G2477" s="2" t="str">
        <f t="shared" si="121"/>
        <v>https://www.oreht.ru/modules.php?name=orehtPriceLS&amp;op=Search&amp;page=1&amp;stext=290378</v>
      </c>
      <c r="I2477">
        <v>290378</v>
      </c>
      <c r="J2477" t="s">
        <v>2</v>
      </c>
      <c r="K2477" t="s">
        <v>6283</v>
      </c>
      <c r="L2477" t="s">
        <v>6284</v>
      </c>
      <c r="M2477" t="s">
        <v>6285</v>
      </c>
    </row>
    <row r="2478" spans="1:13" hidden="1" x14ac:dyDescent="0.25">
      <c r="A2478" s="24">
        <f t="shared" si="122"/>
        <v>20</v>
      </c>
      <c r="B2478" s="24">
        <v>9</v>
      </c>
      <c r="C2478" s="24">
        <v>70</v>
      </c>
      <c r="E2478" s="4">
        <v>435289</v>
      </c>
      <c r="F2478" s="2" t="s">
        <v>2</v>
      </c>
      <c r="G2478" s="2" t="str">
        <f t="shared" si="121"/>
        <v>https://www.oreht.ru/modules.php?name=orehtPriceLS&amp;op=Search&amp;page=1&amp;stext=435289</v>
      </c>
      <c r="I2478">
        <v>435289</v>
      </c>
      <c r="J2478" t="s">
        <v>2</v>
      </c>
      <c r="K2478" t="s">
        <v>6286</v>
      </c>
      <c r="L2478" t="s">
        <v>6287</v>
      </c>
      <c r="M2478" t="s">
        <v>6288</v>
      </c>
    </row>
    <row r="2479" spans="1:13" hidden="1" x14ac:dyDescent="0.25">
      <c r="A2479" s="24">
        <f t="shared" si="122"/>
        <v>20</v>
      </c>
      <c r="B2479" s="24">
        <v>9</v>
      </c>
      <c r="C2479" s="24">
        <v>60</v>
      </c>
      <c r="E2479" s="4">
        <v>442899</v>
      </c>
      <c r="F2479" s="2" t="s">
        <v>2</v>
      </c>
      <c r="G2479" s="2" t="str">
        <f t="shared" si="121"/>
        <v>https://www.oreht.ru/modules.php?name=orehtPriceLS&amp;op=Search&amp;page=1&amp;stext=442899</v>
      </c>
      <c r="I2479">
        <v>442899</v>
      </c>
      <c r="J2479" t="s">
        <v>2</v>
      </c>
      <c r="K2479" t="s">
        <v>6289</v>
      </c>
      <c r="L2479" t="s">
        <v>6290</v>
      </c>
      <c r="M2479" t="s">
        <v>6291</v>
      </c>
    </row>
    <row r="2480" spans="1:13" x14ac:dyDescent="0.25">
      <c r="A2480" s="24">
        <f t="shared" si="122"/>
        <v>20</v>
      </c>
      <c r="B2480" s="24">
        <v>9</v>
      </c>
      <c r="C2480" s="24">
        <v>100</v>
      </c>
      <c r="E2480" s="4">
        <v>446852</v>
      </c>
      <c r="F2480" s="2" t="s">
        <v>2</v>
      </c>
      <c r="G2480" s="2" t="str">
        <f t="shared" si="121"/>
        <v>https://www.oreht.ru/modules.php?name=orehtPriceLS&amp;op=Search&amp;page=1&amp;stext=446852</v>
      </c>
      <c r="I2480">
        <v>446852</v>
      </c>
      <c r="J2480" t="s">
        <v>2</v>
      </c>
      <c r="K2480" t="s">
        <v>6292</v>
      </c>
      <c r="L2480" t="s">
        <v>6293</v>
      </c>
      <c r="M2480" t="s">
        <v>649</v>
      </c>
    </row>
    <row r="2481" spans="1:13" hidden="1" x14ac:dyDescent="0.25">
      <c r="A2481" s="24">
        <f t="shared" si="122"/>
        <v>20</v>
      </c>
      <c r="B2481" s="24">
        <v>9</v>
      </c>
      <c r="C2481" s="24">
        <v>69</v>
      </c>
      <c r="E2481" s="4">
        <v>455441</v>
      </c>
      <c r="F2481" s="2" t="s">
        <v>2</v>
      </c>
      <c r="G2481" s="2" t="str">
        <f t="shared" si="121"/>
        <v>https://www.oreht.ru/modules.php?name=orehtPriceLS&amp;op=Search&amp;page=1&amp;stext=455441</v>
      </c>
      <c r="I2481">
        <v>455441</v>
      </c>
      <c r="J2481" t="s">
        <v>2</v>
      </c>
      <c r="K2481" t="s">
        <v>6294</v>
      </c>
      <c r="L2481" t="s">
        <v>6295</v>
      </c>
      <c r="M2481" t="s">
        <v>6296</v>
      </c>
    </row>
    <row r="2482" spans="1:13" hidden="1" x14ac:dyDescent="0.25">
      <c r="A2482" s="24">
        <f t="shared" si="122"/>
        <v>20</v>
      </c>
      <c r="B2482" s="24">
        <v>9</v>
      </c>
      <c r="C2482" s="24">
        <v>79</v>
      </c>
      <c r="E2482" s="4">
        <v>419535</v>
      </c>
      <c r="F2482" s="2" t="s">
        <v>2</v>
      </c>
      <c r="G2482" s="2" t="str">
        <f t="shared" si="121"/>
        <v>https://www.oreht.ru/modules.php?name=orehtPriceLS&amp;op=Search&amp;page=1&amp;stext=419535</v>
      </c>
      <c r="I2482">
        <v>419535</v>
      </c>
      <c r="J2482" t="s">
        <v>2</v>
      </c>
      <c r="K2482" t="s">
        <v>6297</v>
      </c>
      <c r="L2482" t="s">
        <v>6298</v>
      </c>
      <c r="M2482" t="s">
        <v>6299</v>
      </c>
    </row>
    <row r="2483" spans="1:13" hidden="1" x14ac:dyDescent="0.25">
      <c r="A2483" s="24">
        <f t="shared" si="122"/>
        <v>20</v>
      </c>
      <c r="B2483" s="24">
        <v>8</v>
      </c>
      <c r="C2483" s="24">
        <v>50</v>
      </c>
      <c r="E2483" s="4">
        <v>446462</v>
      </c>
      <c r="F2483" s="2" t="s">
        <v>2</v>
      </c>
      <c r="G2483" s="2" t="str">
        <f t="shared" si="121"/>
        <v>https://www.oreht.ru/modules.php?name=orehtPriceLS&amp;op=Search&amp;page=1&amp;stext=446462</v>
      </c>
      <c r="I2483">
        <v>446462</v>
      </c>
      <c r="J2483" t="s">
        <v>2</v>
      </c>
      <c r="K2483" t="s">
        <v>6300</v>
      </c>
      <c r="L2483" t="s">
        <v>6301</v>
      </c>
      <c r="M2483" t="s">
        <v>6302</v>
      </c>
    </row>
    <row r="2484" spans="1:13" hidden="1" x14ac:dyDescent="0.25">
      <c r="A2484" s="24">
        <f t="shared" si="122"/>
        <v>20</v>
      </c>
      <c r="B2484" s="24">
        <v>9</v>
      </c>
      <c r="C2484" s="24">
        <v>60</v>
      </c>
      <c r="E2484" s="4">
        <v>397401</v>
      </c>
      <c r="F2484" s="2" t="s">
        <v>2</v>
      </c>
      <c r="G2484" s="2" t="str">
        <f t="shared" si="121"/>
        <v>https://www.oreht.ru/modules.php?name=orehtPriceLS&amp;op=Search&amp;page=1&amp;stext=397401</v>
      </c>
      <c r="I2484">
        <v>397401</v>
      </c>
      <c r="J2484" t="s">
        <v>2</v>
      </c>
      <c r="K2484" t="s">
        <v>6303</v>
      </c>
      <c r="L2484" t="s">
        <v>6304</v>
      </c>
      <c r="M2484" t="s">
        <v>6305</v>
      </c>
    </row>
    <row r="2485" spans="1:13" hidden="1" x14ac:dyDescent="0.25">
      <c r="A2485" s="24">
        <f t="shared" si="122"/>
        <v>20</v>
      </c>
      <c r="B2485" s="24">
        <v>9</v>
      </c>
      <c r="C2485" s="24">
        <v>60</v>
      </c>
      <c r="E2485" s="4">
        <v>452496</v>
      </c>
      <c r="F2485" s="2" t="s">
        <v>2</v>
      </c>
      <c r="G2485" s="2" t="str">
        <f t="shared" si="121"/>
        <v>https://www.oreht.ru/modules.php?name=orehtPriceLS&amp;op=Search&amp;page=1&amp;stext=452496</v>
      </c>
      <c r="I2485">
        <v>452496</v>
      </c>
      <c r="J2485" t="s">
        <v>2</v>
      </c>
      <c r="K2485" t="s">
        <v>6306</v>
      </c>
      <c r="L2485" t="s">
        <v>6307</v>
      </c>
      <c r="M2485" t="s">
        <v>6308</v>
      </c>
    </row>
    <row r="2486" spans="1:13" hidden="1" x14ac:dyDescent="0.25">
      <c r="A2486" s="24">
        <f t="shared" si="122"/>
        <v>20</v>
      </c>
      <c r="B2486" s="24">
        <v>9</v>
      </c>
      <c r="C2486" s="24">
        <v>135</v>
      </c>
      <c r="E2486" s="4">
        <v>444999</v>
      </c>
      <c r="F2486" s="2" t="s">
        <v>2</v>
      </c>
      <c r="G2486" s="2" t="str">
        <f t="shared" si="121"/>
        <v>https://www.oreht.ru/modules.php?name=orehtPriceLS&amp;op=Search&amp;page=1&amp;stext=444999</v>
      </c>
      <c r="I2486">
        <v>444999</v>
      </c>
      <c r="J2486" t="s">
        <v>2</v>
      </c>
      <c r="K2486" t="s">
        <v>6309</v>
      </c>
      <c r="L2486" t="s">
        <v>6310</v>
      </c>
      <c r="M2486" t="s">
        <v>6308</v>
      </c>
    </row>
    <row r="2487" spans="1:13" hidden="1" x14ac:dyDescent="0.25">
      <c r="A2487" s="24">
        <f t="shared" si="122"/>
        <v>20</v>
      </c>
      <c r="B2487" s="24">
        <v>9</v>
      </c>
      <c r="C2487" s="24">
        <v>50</v>
      </c>
      <c r="E2487" s="4">
        <v>435484</v>
      </c>
      <c r="F2487" s="2" t="s">
        <v>2</v>
      </c>
      <c r="G2487" s="2" t="str">
        <f t="shared" si="121"/>
        <v>https://www.oreht.ru/modules.php?name=orehtPriceLS&amp;op=Search&amp;page=1&amp;stext=435484</v>
      </c>
      <c r="I2487">
        <v>435484</v>
      </c>
      <c r="J2487" t="s">
        <v>2</v>
      </c>
      <c r="K2487" t="s">
        <v>6311</v>
      </c>
      <c r="L2487" t="s">
        <v>6312</v>
      </c>
      <c r="M2487" t="s">
        <v>6313</v>
      </c>
    </row>
    <row r="2488" spans="1:13" hidden="1" x14ac:dyDescent="0.25">
      <c r="A2488" s="24">
        <f t="shared" si="122"/>
        <v>20</v>
      </c>
      <c r="B2488" s="24">
        <v>9</v>
      </c>
      <c r="C2488" s="24">
        <v>79</v>
      </c>
      <c r="E2488" s="4">
        <v>419142</v>
      </c>
      <c r="F2488" s="2" t="s">
        <v>2</v>
      </c>
      <c r="G2488" s="2" t="str">
        <f t="shared" si="121"/>
        <v>https://www.oreht.ru/modules.php?name=orehtPriceLS&amp;op=Search&amp;page=1&amp;stext=419142</v>
      </c>
      <c r="I2488">
        <v>419142</v>
      </c>
      <c r="J2488" t="s">
        <v>2</v>
      </c>
      <c r="K2488" t="s">
        <v>6314</v>
      </c>
      <c r="L2488" t="s">
        <v>6315</v>
      </c>
      <c r="M2488" t="s">
        <v>6313</v>
      </c>
    </row>
    <row r="2489" spans="1:13" hidden="1" x14ac:dyDescent="0.25">
      <c r="A2489" s="24">
        <f t="shared" si="122"/>
        <v>20</v>
      </c>
      <c r="B2489" s="24">
        <v>9</v>
      </c>
      <c r="C2489" s="24">
        <v>135</v>
      </c>
      <c r="E2489" s="4">
        <v>328503</v>
      </c>
      <c r="F2489" s="2" t="s">
        <v>2</v>
      </c>
      <c r="G2489" s="2" t="str">
        <f t="shared" si="121"/>
        <v>https://www.oreht.ru/modules.php?name=orehtPriceLS&amp;op=Search&amp;page=1&amp;stext=328503</v>
      </c>
      <c r="I2489">
        <v>328503</v>
      </c>
      <c r="J2489" t="s">
        <v>2</v>
      </c>
      <c r="K2489" t="s">
        <v>6316</v>
      </c>
      <c r="L2489" t="s">
        <v>6317</v>
      </c>
      <c r="M2489" t="s">
        <v>6318</v>
      </c>
    </row>
    <row r="2490" spans="1:13" hidden="1" x14ac:dyDescent="0.25">
      <c r="A2490" s="24">
        <f t="shared" si="122"/>
        <v>20</v>
      </c>
      <c r="B2490" s="24">
        <v>9</v>
      </c>
      <c r="C2490" s="24">
        <v>50</v>
      </c>
      <c r="E2490" s="4">
        <v>262434</v>
      </c>
      <c r="F2490" s="2" t="s">
        <v>2</v>
      </c>
      <c r="G2490" s="2" t="str">
        <f t="shared" si="121"/>
        <v>https://www.oreht.ru/modules.php?name=orehtPriceLS&amp;op=Search&amp;page=1&amp;stext=262434</v>
      </c>
      <c r="I2490">
        <v>262434</v>
      </c>
      <c r="J2490" t="s">
        <v>2</v>
      </c>
      <c r="K2490" t="s">
        <v>6319</v>
      </c>
      <c r="L2490" t="s">
        <v>6320</v>
      </c>
      <c r="M2490" t="s">
        <v>6321</v>
      </c>
    </row>
    <row r="2491" spans="1:13" hidden="1" x14ac:dyDescent="0.25">
      <c r="A2491" s="24">
        <f t="shared" si="122"/>
        <v>20</v>
      </c>
      <c r="B2491" s="24">
        <v>9</v>
      </c>
      <c r="C2491" s="24">
        <v>60</v>
      </c>
      <c r="E2491" s="4">
        <v>444806</v>
      </c>
      <c r="F2491" s="2" t="s">
        <v>2</v>
      </c>
      <c r="G2491" s="2" t="str">
        <f t="shared" si="121"/>
        <v>https://www.oreht.ru/modules.php?name=orehtPriceLS&amp;op=Search&amp;page=1&amp;stext=444806</v>
      </c>
      <c r="I2491">
        <v>444806</v>
      </c>
      <c r="J2491" t="s">
        <v>2</v>
      </c>
      <c r="K2491" t="s">
        <v>6322</v>
      </c>
      <c r="L2491" t="s">
        <v>6323</v>
      </c>
      <c r="M2491" t="s">
        <v>6324</v>
      </c>
    </row>
    <row r="2492" spans="1:13" hidden="1" x14ac:dyDescent="0.25">
      <c r="A2492" s="24">
        <f t="shared" si="122"/>
        <v>20</v>
      </c>
      <c r="B2492" s="24">
        <v>9</v>
      </c>
      <c r="C2492" s="24">
        <v>61</v>
      </c>
      <c r="E2492" s="4">
        <v>297301</v>
      </c>
      <c r="F2492" s="2" t="s">
        <v>2</v>
      </c>
      <c r="G2492" s="2" t="str">
        <f t="shared" si="121"/>
        <v>https://www.oreht.ru/modules.php?name=orehtPriceLS&amp;op=Search&amp;page=1&amp;stext=297301</v>
      </c>
      <c r="I2492">
        <v>297301</v>
      </c>
      <c r="J2492" t="s">
        <v>2</v>
      </c>
      <c r="K2492" t="s">
        <v>6325</v>
      </c>
      <c r="L2492" t="s">
        <v>6326</v>
      </c>
      <c r="M2492" t="s">
        <v>6327</v>
      </c>
    </row>
    <row r="2493" spans="1:13" x14ac:dyDescent="0.25">
      <c r="A2493" s="24">
        <f t="shared" si="122"/>
        <v>20</v>
      </c>
      <c r="B2493" s="24">
        <v>9</v>
      </c>
      <c r="C2493" s="24">
        <v>79</v>
      </c>
      <c r="E2493" s="4">
        <v>450247</v>
      </c>
      <c r="F2493" s="2" t="s">
        <v>2</v>
      </c>
      <c r="G2493" s="2" t="str">
        <f t="shared" si="121"/>
        <v>https://www.oreht.ru/modules.php?name=orehtPriceLS&amp;op=Search&amp;page=1&amp;stext=450247</v>
      </c>
      <c r="I2493">
        <v>450247</v>
      </c>
      <c r="J2493" t="s">
        <v>2</v>
      </c>
      <c r="K2493" t="s">
        <v>6328</v>
      </c>
      <c r="L2493" t="s">
        <v>6329</v>
      </c>
      <c r="M2493" t="s">
        <v>649</v>
      </c>
    </row>
    <row r="2494" spans="1:13" hidden="1" x14ac:dyDescent="0.25">
      <c r="A2494" s="24">
        <f t="shared" si="122"/>
        <v>20</v>
      </c>
      <c r="B2494" s="24">
        <v>9</v>
      </c>
      <c r="C2494" s="24">
        <v>60</v>
      </c>
      <c r="E2494" s="4">
        <v>274899</v>
      </c>
      <c r="F2494" s="2" t="s">
        <v>2</v>
      </c>
      <c r="G2494" s="2" t="str">
        <f t="shared" si="121"/>
        <v>https://www.oreht.ru/modules.php?name=orehtPriceLS&amp;op=Search&amp;page=1&amp;stext=274899</v>
      </c>
      <c r="I2494">
        <v>274899</v>
      </c>
      <c r="J2494" t="s">
        <v>2</v>
      </c>
      <c r="K2494" t="s">
        <v>6330</v>
      </c>
      <c r="L2494" t="s">
        <v>6331</v>
      </c>
      <c r="M2494" t="s">
        <v>6332</v>
      </c>
    </row>
    <row r="2495" spans="1:13" hidden="1" x14ac:dyDescent="0.25">
      <c r="A2495" s="24">
        <f t="shared" si="122"/>
        <v>20</v>
      </c>
      <c r="B2495" s="24">
        <v>9</v>
      </c>
      <c r="C2495" s="24">
        <v>50</v>
      </c>
      <c r="E2495" s="4">
        <v>434763</v>
      </c>
      <c r="F2495" s="2" t="s">
        <v>2</v>
      </c>
      <c r="G2495" s="2" t="str">
        <f t="shared" si="121"/>
        <v>https://www.oreht.ru/modules.php?name=orehtPriceLS&amp;op=Search&amp;page=1&amp;stext=434763</v>
      </c>
      <c r="I2495">
        <v>434763</v>
      </c>
      <c r="J2495" t="s">
        <v>2</v>
      </c>
      <c r="K2495" t="s">
        <v>6333</v>
      </c>
      <c r="L2495" t="s">
        <v>6334</v>
      </c>
      <c r="M2495" t="s">
        <v>6335</v>
      </c>
    </row>
    <row r="2496" spans="1:13" hidden="1" x14ac:dyDescent="0.25">
      <c r="A2496" s="24">
        <f t="shared" si="122"/>
        <v>20</v>
      </c>
      <c r="B2496" s="24">
        <v>9</v>
      </c>
      <c r="C2496" s="24">
        <v>67</v>
      </c>
      <c r="E2496" s="4">
        <v>397404</v>
      </c>
      <c r="F2496" s="2" t="s">
        <v>2</v>
      </c>
      <c r="G2496" s="2" t="str">
        <f t="shared" si="121"/>
        <v>https://www.oreht.ru/modules.php?name=orehtPriceLS&amp;op=Search&amp;page=1&amp;stext=397404</v>
      </c>
      <c r="I2496">
        <v>397404</v>
      </c>
      <c r="J2496" t="s">
        <v>2</v>
      </c>
      <c r="K2496" t="s">
        <v>6336</v>
      </c>
      <c r="L2496" t="s">
        <v>6337</v>
      </c>
      <c r="M2496" t="s">
        <v>6335</v>
      </c>
    </row>
    <row r="2497" spans="1:13" hidden="1" x14ac:dyDescent="0.25">
      <c r="A2497" s="24">
        <f t="shared" si="122"/>
        <v>20</v>
      </c>
      <c r="B2497" s="24">
        <v>9</v>
      </c>
      <c r="C2497" s="24">
        <v>50</v>
      </c>
      <c r="E2497" s="4">
        <v>273398</v>
      </c>
      <c r="F2497" s="2" t="s">
        <v>2</v>
      </c>
      <c r="G2497" s="2" t="str">
        <f t="shared" si="121"/>
        <v>https://www.oreht.ru/modules.php?name=orehtPriceLS&amp;op=Search&amp;page=1&amp;stext=273398</v>
      </c>
      <c r="I2497">
        <v>273398</v>
      </c>
      <c r="J2497" t="s">
        <v>2</v>
      </c>
      <c r="K2497" t="s">
        <v>6338</v>
      </c>
      <c r="L2497" t="s">
        <v>6339</v>
      </c>
      <c r="M2497" t="s">
        <v>6340</v>
      </c>
    </row>
    <row r="2498" spans="1:13" hidden="1" x14ac:dyDescent="0.25">
      <c r="A2498" s="24">
        <f t="shared" si="122"/>
        <v>20</v>
      </c>
      <c r="B2498" s="24">
        <v>9</v>
      </c>
      <c r="C2498" s="24">
        <v>79</v>
      </c>
      <c r="E2498" s="4">
        <v>389597</v>
      </c>
      <c r="F2498" s="2" t="s">
        <v>2</v>
      </c>
      <c r="G2498" s="2" t="str">
        <f t="shared" ref="G2498:G2561" si="123">HYPERLINK(F2498&amp;E2498)</f>
        <v>https://www.oreht.ru/modules.php?name=orehtPriceLS&amp;op=Search&amp;page=1&amp;stext=389597</v>
      </c>
      <c r="I2498">
        <v>389597</v>
      </c>
      <c r="J2498" t="s">
        <v>2</v>
      </c>
      <c r="K2498" t="s">
        <v>6341</v>
      </c>
      <c r="L2498" t="s">
        <v>6342</v>
      </c>
      <c r="M2498" t="s">
        <v>6343</v>
      </c>
    </row>
    <row r="2499" spans="1:13" hidden="1" x14ac:dyDescent="0.25">
      <c r="A2499" s="24">
        <f t="shared" si="122"/>
        <v>20</v>
      </c>
      <c r="B2499" s="24">
        <v>9</v>
      </c>
      <c r="C2499" s="24">
        <v>71</v>
      </c>
      <c r="E2499" s="4">
        <v>444998</v>
      </c>
      <c r="F2499" s="2" t="s">
        <v>2</v>
      </c>
      <c r="G2499" s="2" t="str">
        <f t="shared" si="123"/>
        <v>https://www.oreht.ru/modules.php?name=orehtPriceLS&amp;op=Search&amp;page=1&amp;stext=444998</v>
      </c>
      <c r="I2499">
        <v>444998</v>
      </c>
      <c r="J2499" t="s">
        <v>2</v>
      </c>
      <c r="K2499" t="s">
        <v>6344</v>
      </c>
      <c r="L2499" t="s">
        <v>6345</v>
      </c>
      <c r="M2499" t="s">
        <v>6346</v>
      </c>
    </row>
    <row r="2500" spans="1:13" hidden="1" x14ac:dyDescent="0.25">
      <c r="A2500" s="24">
        <f t="shared" si="122"/>
        <v>20</v>
      </c>
      <c r="B2500" s="24">
        <v>15</v>
      </c>
      <c r="C2500" s="24">
        <v>79</v>
      </c>
      <c r="E2500" s="4">
        <v>191808</v>
      </c>
      <c r="F2500" s="2" t="s">
        <v>2</v>
      </c>
      <c r="G2500" s="2" t="str">
        <f t="shared" si="123"/>
        <v>https://www.oreht.ru/modules.php?name=orehtPriceLS&amp;op=Search&amp;page=1&amp;stext=191808</v>
      </c>
      <c r="I2500">
        <v>191808</v>
      </c>
      <c r="J2500" t="s">
        <v>2</v>
      </c>
      <c r="K2500" t="s">
        <v>6347</v>
      </c>
      <c r="L2500" t="s">
        <v>6348</v>
      </c>
      <c r="M2500" t="s">
        <v>6349</v>
      </c>
    </row>
    <row r="2501" spans="1:13" x14ac:dyDescent="0.25">
      <c r="A2501" s="24">
        <f t="shared" ref="A2501:A2561" si="124">IF(W2501*0.05&gt;=250,250,IF(W2501*0.05&gt;=20,IF(W2501*0.05&lt;20,20,W2501*0.05),20))</f>
        <v>20</v>
      </c>
      <c r="B2501" s="24">
        <v>9</v>
      </c>
      <c r="C2501" s="24">
        <v>50</v>
      </c>
      <c r="E2501" s="4">
        <v>262430</v>
      </c>
      <c r="F2501" s="2" t="s">
        <v>2</v>
      </c>
      <c r="G2501" s="2" t="str">
        <f t="shared" si="123"/>
        <v>https://www.oreht.ru/modules.php?name=orehtPriceLS&amp;op=Search&amp;page=1&amp;stext=262430</v>
      </c>
      <c r="I2501">
        <v>262430</v>
      </c>
      <c r="J2501" t="s">
        <v>2</v>
      </c>
      <c r="K2501" t="s">
        <v>6350</v>
      </c>
      <c r="L2501" t="s">
        <v>6351</v>
      </c>
      <c r="M2501" t="s">
        <v>649</v>
      </c>
    </row>
    <row r="2502" spans="1:13" hidden="1" x14ac:dyDescent="0.25">
      <c r="A2502" s="24">
        <f t="shared" si="124"/>
        <v>20</v>
      </c>
      <c r="B2502" s="24">
        <v>9</v>
      </c>
      <c r="C2502" s="24">
        <v>60</v>
      </c>
      <c r="E2502" s="4">
        <v>365371</v>
      </c>
      <c r="F2502" s="2" t="s">
        <v>2</v>
      </c>
      <c r="G2502" s="2" t="str">
        <f t="shared" si="123"/>
        <v>https://www.oreht.ru/modules.php?name=orehtPriceLS&amp;op=Search&amp;page=1&amp;stext=365371</v>
      </c>
      <c r="I2502">
        <v>365371</v>
      </c>
      <c r="J2502" t="s">
        <v>2</v>
      </c>
      <c r="K2502" t="s">
        <v>6352</v>
      </c>
      <c r="L2502" t="s">
        <v>6353</v>
      </c>
      <c r="M2502" t="s">
        <v>6354</v>
      </c>
    </row>
    <row r="2503" spans="1:13" hidden="1" x14ac:dyDescent="0.25">
      <c r="A2503" s="24">
        <f t="shared" si="124"/>
        <v>20</v>
      </c>
      <c r="B2503" s="24">
        <v>9</v>
      </c>
      <c r="C2503" s="24">
        <v>50</v>
      </c>
      <c r="E2503" s="4">
        <v>275791</v>
      </c>
      <c r="F2503" s="2" t="s">
        <v>2</v>
      </c>
      <c r="G2503" s="2" t="str">
        <f t="shared" si="123"/>
        <v>https://www.oreht.ru/modules.php?name=orehtPriceLS&amp;op=Search&amp;page=1&amp;stext=275791</v>
      </c>
      <c r="I2503">
        <v>275791</v>
      </c>
      <c r="J2503" t="s">
        <v>2</v>
      </c>
      <c r="K2503" t="s">
        <v>6355</v>
      </c>
      <c r="L2503" t="s">
        <v>6356</v>
      </c>
      <c r="M2503" t="s">
        <v>6354</v>
      </c>
    </row>
    <row r="2504" spans="1:13" x14ac:dyDescent="0.25">
      <c r="A2504" s="24">
        <f t="shared" si="124"/>
        <v>20</v>
      </c>
      <c r="B2504" s="24">
        <v>10</v>
      </c>
      <c r="C2504" s="24">
        <v>100</v>
      </c>
      <c r="E2504" s="4">
        <v>451710</v>
      </c>
      <c r="F2504" s="2" t="s">
        <v>2</v>
      </c>
      <c r="G2504" s="2" t="str">
        <f t="shared" si="123"/>
        <v>https://www.oreht.ru/modules.php?name=orehtPriceLS&amp;op=Search&amp;page=1&amp;stext=451710</v>
      </c>
      <c r="I2504">
        <v>451710</v>
      </c>
      <c r="J2504" t="s">
        <v>2</v>
      </c>
      <c r="K2504" t="s">
        <v>6357</v>
      </c>
      <c r="L2504" t="s">
        <v>6358</v>
      </c>
      <c r="M2504" t="s">
        <v>649</v>
      </c>
    </row>
    <row r="2505" spans="1:13" hidden="1" x14ac:dyDescent="0.25">
      <c r="A2505" s="24">
        <f t="shared" si="124"/>
        <v>20</v>
      </c>
      <c r="B2505" s="24">
        <v>9</v>
      </c>
      <c r="C2505" s="24">
        <v>60</v>
      </c>
      <c r="E2505" s="4">
        <v>430691</v>
      </c>
      <c r="F2505" s="2" t="s">
        <v>2</v>
      </c>
      <c r="G2505" s="2" t="str">
        <f t="shared" si="123"/>
        <v>https://www.oreht.ru/modules.php?name=orehtPriceLS&amp;op=Search&amp;page=1&amp;stext=430691</v>
      </c>
      <c r="I2505">
        <v>430691</v>
      </c>
      <c r="J2505" t="s">
        <v>2</v>
      </c>
      <c r="K2505" t="s">
        <v>6359</v>
      </c>
      <c r="L2505" t="s">
        <v>6360</v>
      </c>
      <c r="M2505" t="s">
        <v>6354</v>
      </c>
    </row>
    <row r="2506" spans="1:13" hidden="1" x14ac:dyDescent="0.25">
      <c r="A2506" s="24">
        <f t="shared" si="124"/>
        <v>20</v>
      </c>
      <c r="B2506" s="24">
        <v>8</v>
      </c>
      <c r="C2506" s="24">
        <v>63</v>
      </c>
      <c r="E2506" s="4">
        <v>328552</v>
      </c>
      <c r="F2506" s="2" t="s">
        <v>2</v>
      </c>
      <c r="G2506" s="2" t="str">
        <f t="shared" si="123"/>
        <v>https://www.oreht.ru/modules.php?name=orehtPriceLS&amp;op=Search&amp;page=1&amp;stext=328552</v>
      </c>
      <c r="I2506">
        <v>328552</v>
      </c>
      <c r="J2506" t="s">
        <v>2</v>
      </c>
      <c r="K2506" t="s">
        <v>6361</v>
      </c>
      <c r="L2506" t="s">
        <v>6362</v>
      </c>
      <c r="M2506" t="s">
        <v>6363</v>
      </c>
    </row>
    <row r="2507" spans="1:13" hidden="1" x14ac:dyDescent="0.25">
      <c r="A2507" s="24">
        <f t="shared" si="124"/>
        <v>20</v>
      </c>
      <c r="B2507" s="24">
        <v>9</v>
      </c>
      <c r="C2507" s="24">
        <v>400</v>
      </c>
      <c r="E2507" s="4">
        <v>289600</v>
      </c>
      <c r="F2507" s="2" t="s">
        <v>2</v>
      </c>
      <c r="G2507" s="2" t="str">
        <f t="shared" si="123"/>
        <v>https://www.oreht.ru/modules.php?name=orehtPriceLS&amp;op=Search&amp;page=1&amp;stext=289600</v>
      </c>
      <c r="I2507">
        <v>289600</v>
      </c>
      <c r="J2507" t="s">
        <v>2</v>
      </c>
      <c r="K2507" t="s">
        <v>6364</v>
      </c>
      <c r="L2507" t="s">
        <v>6365</v>
      </c>
      <c r="M2507" t="s">
        <v>6366</v>
      </c>
    </row>
    <row r="2508" spans="1:13" hidden="1" x14ac:dyDescent="0.25">
      <c r="A2508" s="24">
        <f t="shared" si="124"/>
        <v>20</v>
      </c>
      <c r="B2508" s="24">
        <v>9</v>
      </c>
      <c r="C2508" s="24">
        <v>69</v>
      </c>
      <c r="E2508" s="4">
        <v>303900</v>
      </c>
      <c r="F2508" s="2" t="s">
        <v>2</v>
      </c>
      <c r="G2508" s="2" t="str">
        <f t="shared" si="123"/>
        <v>https://www.oreht.ru/modules.php?name=orehtPriceLS&amp;op=Search&amp;page=1&amp;stext=303900</v>
      </c>
      <c r="I2508">
        <v>303900</v>
      </c>
      <c r="J2508" t="s">
        <v>2</v>
      </c>
      <c r="K2508" t="s">
        <v>6367</v>
      </c>
      <c r="L2508" t="s">
        <v>6368</v>
      </c>
      <c r="M2508" t="s">
        <v>6366</v>
      </c>
    </row>
    <row r="2509" spans="1:13" hidden="1" x14ac:dyDescent="0.25">
      <c r="A2509" s="24">
        <f t="shared" si="124"/>
        <v>20</v>
      </c>
      <c r="B2509" s="24">
        <v>9</v>
      </c>
      <c r="C2509" s="24">
        <v>60</v>
      </c>
      <c r="E2509" s="4">
        <v>451699</v>
      </c>
      <c r="F2509" s="2" t="s">
        <v>2</v>
      </c>
      <c r="G2509" s="2" t="str">
        <f t="shared" si="123"/>
        <v>https://www.oreht.ru/modules.php?name=orehtPriceLS&amp;op=Search&amp;page=1&amp;stext=451699</v>
      </c>
      <c r="I2509">
        <v>451699</v>
      </c>
      <c r="J2509" t="s">
        <v>2</v>
      </c>
      <c r="K2509" t="s">
        <v>6369</v>
      </c>
      <c r="L2509" t="s">
        <v>6370</v>
      </c>
      <c r="M2509" t="s">
        <v>6371</v>
      </c>
    </row>
    <row r="2510" spans="1:13" hidden="1" x14ac:dyDescent="0.25">
      <c r="A2510" s="24">
        <f t="shared" si="124"/>
        <v>20</v>
      </c>
      <c r="B2510" s="24">
        <v>9</v>
      </c>
      <c r="C2510" s="24">
        <v>50</v>
      </c>
      <c r="E2510" s="4">
        <v>462207</v>
      </c>
      <c r="F2510" s="2" t="s">
        <v>2</v>
      </c>
      <c r="G2510" s="2" t="str">
        <f t="shared" si="123"/>
        <v>https://www.oreht.ru/modules.php?name=orehtPriceLS&amp;op=Search&amp;page=1&amp;stext=462207</v>
      </c>
      <c r="I2510">
        <v>462207</v>
      </c>
      <c r="J2510" t="s">
        <v>2</v>
      </c>
      <c r="K2510" t="s">
        <v>6372</v>
      </c>
      <c r="L2510" t="s">
        <v>6373</v>
      </c>
      <c r="M2510" t="s">
        <v>6374</v>
      </c>
    </row>
    <row r="2511" spans="1:13" hidden="1" x14ac:dyDescent="0.25">
      <c r="A2511" s="24">
        <f t="shared" si="124"/>
        <v>20</v>
      </c>
      <c r="B2511" s="24">
        <v>9</v>
      </c>
      <c r="C2511" s="24">
        <v>79</v>
      </c>
      <c r="E2511" s="4">
        <v>459388</v>
      </c>
      <c r="F2511" s="2" t="s">
        <v>2</v>
      </c>
      <c r="G2511" s="2" t="str">
        <f t="shared" si="123"/>
        <v>https://www.oreht.ru/modules.php?name=orehtPriceLS&amp;op=Search&amp;page=1&amp;stext=459388</v>
      </c>
      <c r="I2511">
        <v>459388</v>
      </c>
      <c r="J2511" t="s">
        <v>2</v>
      </c>
      <c r="K2511" t="s">
        <v>6375</v>
      </c>
      <c r="L2511" t="s">
        <v>6376</v>
      </c>
      <c r="M2511" t="s">
        <v>6374</v>
      </c>
    </row>
    <row r="2512" spans="1:13" hidden="1" x14ac:dyDescent="0.25">
      <c r="A2512" s="24">
        <f t="shared" si="124"/>
        <v>20</v>
      </c>
      <c r="B2512" s="24">
        <v>8</v>
      </c>
      <c r="C2512" s="24">
        <v>60</v>
      </c>
      <c r="E2512" s="4">
        <v>285197</v>
      </c>
      <c r="F2512" s="2" t="s">
        <v>2</v>
      </c>
      <c r="G2512" s="2" t="str">
        <f t="shared" si="123"/>
        <v>https://www.oreht.ru/modules.php?name=orehtPriceLS&amp;op=Search&amp;page=1&amp;stext=285197</v>
      </c>
      <c r="I2512">
        <v>285197</v>
      </c>
      <c r="J2512" t="s">
        <v>2</v>
      </c>
      <c r="K2512" t="s">
        <v>6377</v>
      </c>
      <c r="L2512" t="s">
        <v>6378</v>
      </c>
      <c r="M2512" t="s">
        <v>6379</v>
      </c>
    </row>
    <row r="2513" spans="1:13" hidden="1" x14ac:dyDescent="0.25">
      <c r="A2513" s="24">
        <f t="shared" si="124"/>
        <v>20</v>
      </c>
      <c r="B2513" s="24">
        <v>8</v>
      </c>
      <c r="C2513" s="24">
        <v>50</v>
      </c>
      <c r="E2513" s="4">
        <v>384390</v>
      </c>
      <c r="F2513" s="2" t="s">
        <v>2</v>
      </c>
      <c r="G2513" s="2" t="str">
        <f t="shared" si="123"/>
        <v>https://www.oreht.ru/modules.php?name=orehtPriceLS&amp;op=Search&amp;page=1&amp;stext=384390</v>
      </c>
      <c r="I2513">
        <v>384390</v>
      </c>
      <c r="J2513" t="s">
        <v>2</v>
      </c>
      <c r="K2513" t="s">
        <v>6380</v>
      </c>
      <c r="L2513" t="s">
        <v>6381</v>
      </c>
      <c r="M2513" t="s">
        <v>6382</v>
      </c>
    </row>
    <row r="2514" spans="1:13" hidden="1" x14ac:dyDescent="0.25">
      <c r="A2514" s="24">
        <f t="shared" si="124"/>
        <v>20</v>
      </c>
      <c r="B2514" s="24">
        <v>9</v>
      </c>
      <c r="C2514" s="24">
        <v>79</v>
      </c>
      <c r="E2514" s="4">
        <v>408671</v>
      </c>
      <c r="F2514" s="2" t="s">
        <v>2</v>
      </c>
      <c r="G2514" s="2" t="str">
        <f t="shared" si="123"/>
        <v>https://www.oreht.ru/modules.php?name=orehtPriceLS&amp;op=Search&amp;page=1&amp;stext=408671</v>
      </c>
      <c r="I2514">
        <v>408671</v>
      </c>
      <c r="J2514" t="s">
        <v>2</v>
      </c>
      <c r="K2514" t="s">
        <v>6383</v>
      </c>
      <c r="L2514" t="s">
        <v>6384</v>
      </c>
      <c r="M2514" t="s">
        <v>3948</v>
      </c>
    </row>
    <row r="2515" spans="1:13" hidden="1" x14ac:dyDescent="0.25">
      <c r="A2515" s="24">
        <f t="shared" si="124"/>
        <v>20</v>
      </c>
      <c r="B2515" s="24">
        <v>9</v>
      </c>
      <c r="C2515" s="24">
        <v>50</v>
      </c>
      <c r="E2515" s="4">
        <v>107956</v>
      </c>
      <c r="F2515" s="2" t="s">
        <v>2</v>
      </c>
      <c r="G2515" s="2" t="str">
        <f t="shared" si="123"/>
        <v>https://www.oreht.ru/modules.php?name=orehtPriceLS&amp;op=Search&amp;page=1&amp;stext=107956</v>
      </c>
      <c r="I2515">
        <v>107956</v>
      </c>
      <c r="J2515" t="s">
        <v>2</v>
      </c>
      <c r="K2515" t="s">
        <v>6385</v>
      </c>
      <c r="L2515" t="s">
        <v>6386</v>
      </c>
      <c r="M2515" t="s">
        <v>6387</v>
      </c>
    </row>
    <row r="2516" spans="1:13" hidden="1" x14ac:dyDescent="0.25">
      <c r="A2516" s="24">
        <f t="shared" si="124"/>
        <v>20</v>
      </c>
      <c r="B2516" s="24">
        <v>9</v>
      </c>
      <c r="C2516" s="24">
        <v>60</v>
      </c>
      <c r="E2516" s="4">
        <v>381728</v>
      </c>
      <c r="F2516" s="2" t="s">
        <v>2</v>
      </c>
      <c r="G2516" s="2" t="str">
        <f t="shared" si="123"/>
        <v>https://www.oreht.ru/modules.php?name=orehtPriceLS&amp;op=Search&amp;page=1&amp;stext=381728</v>
      </c>
      <c r="I2516">
        <v>381728</v>
      </c>
      <c r="J2516" t="s">
        <v>2</v>
      </c>
      <c r="K2516" t="s">
        <v>6388</v>
      </c>
      <c r="L2516" t="s">
        <v>6389</v>
      </c>
      <c r="M2516" t="s">
        <v>6390</v>
      </c>
    </row>
    <row r="2517" spans="1:13" hidden="1" x14ac:dyDescent="0.25">
      <c r="A2517" s="24">
        <f t="shared" si="124"/>
        <v>20</v>
      </c>
      <c r="B2517" s="24">
        <v>9</v>
      </c>
      <c r="C2517" s="24">
        <v>71</v>
      </c>
      <c r="E2517" s="4">
        <v>419192</v>
      </c>
      <c r="F2517" s="2" t="s">
        <v>2</v>
      </c>
      <c r="G2517" s="2" t="str">
        <f t="shared" si="123"/>
        <v>https://www.oreht.ru/modules.php?name=orehtPriceLS&amp;op=Search&amp;page=1&amp;stext=419192</v>
      </c>
      <c r="I2517">
        <v>419192</v>
      </c>
      <c r="J2517" t="s">
        <v>2</v>
      </c>
      <c r="K2517" t="s">
        <v>6391</v>
      </c>
      <c r="L2517" t="s">
        <v>6392</v>
      </c>
      <c r="M2517" t="s">
        <v>6393</v>
      </c>
    </row>
    <row r="2518" spans="1:13" hidden="1" x14ac:dyDescent="0.25">
      <c r="A2518" s="24">
        <f t="shared" si="124"/>
        <v>20</v>
      </c>
      <c r="B2518" s="24">
        <v>9</v>
      </c>
      <c r="C2518" s="24">
        <v>63</v>
      </c>
      <c r="E2518" s="4">
        <v>419183</v>
      </c>
      <c r="F2518" s="2" t="s">
        <v>2</v>
      </c>
      <c r="G2518" s="2" t="str">
        <f t="shared" si="123"/>
        <v>https://www.oreht.ru/modules.php?name=orehtPriceLS&amp;op=Search&amp;page=1&amp;stext=419183</v>
      </c>
      <c r="I2518">
        <v>419183</v>
      </c>
      <c r="J2518" t="s">
        <v>2</v>
      </c>
      <c r="K2518" t="s">
        <v>6394</v>
      </c>
      <c r="L2518" t="s">
        <v>6395</v>
      </c>
      <c r="M2518" t="s">
        <v>6396</v>
      </c>
    </row>
    <row r="2519" spans="1:13" hidden="1" x14ac:dyDescent="0.25">
      <c r="A2519" s="24">
        <f t="shared" si="124"/>
        <v>20</v>
      </c>
      <c r="B2519" s="24">
        <v>9</v>
      </c>
      <c r="C2519" s="24">
        <v>50</v>
      </c>
      <c r="E2519" s="4">
        <v>159918</v>
      </c>
      <c r="F2519" s="2" t="s">
        <v>2</v>
      </c>
      <c r="G2519" s="2" t="str">
        <f t="shared" si="123"/>
        <v>https://www.oreht.ru/modules.php?name=orehtPriceLS&amp;op=Search&amp;page=1&amp;stext=159918</v>
      </c>
      <c r="I2519">
        <v>159918</v>
      </c>
      <c r="J2519" t="s">
        <v>2</v>
      </c>
      <c r="K2519" t="s">
        <v>6397</v>
      </c>
      <c r="L2519" t="s">
        <v>6398</v>
      </c>
      <c r="M2519" t="s">
        <v>6399</v>
      </c>
    </row>
    <row r="2520" spans="1:13" hidden="1" x14ac:dyDescent="0.25">
      <c r="A2520" s="24">
        <f t="shared" si="124"/>
        <v>20</v>
      </c>
      <c r="B2520" s="24">
        <v>9</v>
      </c>
      <c r="C2520" s="24">
        <v>67</v>
      </c>
      <c r="E2520" s="4">
        <v>417900</v>
      </c>
      <c r="F2520" s="2" t="s">
        <v>2</v>
      </c>
      <c r="G2520" s="2" t="str">
        <f t="shared" si="123"/>
        <v>https://www.oreht.ru/modules.php?name=orehtPriceLS&amp;op=Search&amp;page=1&amp;stext=417900</v>
      </c>
      <c r="I2520">
        <v>417900</v>
      </c>
      <c r="J2520" t="s">
        <v>2</v>
      </c>
      <c r="K2520" t="s">
        <v>6400</v>
      </c>
      <c r="L2520" t="s">
        <v>6401</v>
      </c>
      <c r="M2520" t="s">
        <v>6399</v>
      </c>
    </row>
    <row r="2521" spans="1:13" hidden="1" x14ac:dyDescent="0.25">
      <c r="A2521" s="24">
        <f t="shared" si="124"/>
        <v>20</v>
      </c>
      <c r="B2521" s="24">
        <v>9</v>
      </c>
      <c r="C2521" s="24">
        <v>50</v>
      </c>
      <c r="E2521" s="4">
        <v>129918</v>
      </c>
      <c r="F2521" s="2" t="s">
        <v>2</v>
      </c>
      <c r="G2521" s="2" t="str">
        <f t="shared" si="123"/>
        <v>https://www.oreht.ru/modules.php?name=orehtPriceLS&amp;op=Search&amp;page=1&amp;stext=129918</v>
      </c>
      <c r="I2521">
        <v>129918</v>
      </c>
      <c r="J2521" t="s">
        <v>2</v>
      </c>
      <c r="K2521" t="s">
        <v>6402</v>
      </c>
      <c r="L2521" t="s">
        <v>6403</v>
      </c>
      <c r="M2521" t="s">
        <v>6404</v>
      </c>
    </row>
    <row r="2522" spans="1:13" hidden="1" x14ac:dyDescent="0.25">
      <c r="A2522" s="24">
        <f t="shared" si="124"/>
        <v>20</v>
      </c>
      <c r="B2522" s="24">
        <v>9</v>
      </c>
      <c r="C2522" s="24">
        <v>79</v>
      </c>
      <c r="E2522" s="4">
        <v>458717</v>
      </c>
      <c r="F2522" s="2" t="s">
        <v>2</v>
      </c>
      <c r="G2522" s="2" t="str">
        <f t="shared" si="123"/>
        <v>https://www.oreht.ru/modules.php?name=orehtPriceLS&amp;op=Search&amp;page=1&amp;stext=458717</v>
      </c>
      <c r="I2522">
        <v>458717</v>
      </c>
      <c r="J2522" t="s">
        <v>2</v>
      </c>
      <c r="K2522" t="s">
        <v>6405</v>
      </c>
      <c r="L2522" t="s">
        <v>6406</v>
      </c>
      <c r="M2522" t="s">
        <v>6407</v>
      </c>
    </row>
    <row r="2523" spans="1:13" hidden="1" x14ac:dyDescent="0.25">
      <c r="A2523" s="24">
        <f t="shared" si="124"/>
        <v>20</v>
      </c>
      <c r="B2523" s="24">
        <v>7</v>
      </c>
      <c r="C2523" s="24">
        <v>50</v>
      </c>
      <c r="E2523" s="4">
        <v>237182</v>
      </c>
      <c r="F2523" s="2" t="s">
        <v>2</v>
      </c>
      <c r="G2523" s="2" t="str">
        <f t="shared" si="123"/>
        <v>https://www.oreht.ru/modules.php?name=orehtPriceLS&amp;op=Search&amp;page=1&amp;stext=237182</v>
      </c>
      <c r="I2523">
        <v>237182</v>
      </c>
      <c r="J2523" t="s">
        <v>2</v>
      </c>
      <c r="K2523" t="s">
        <v>6408</v>
      </c>
      <c r="L2523" t="s">
        <v>6409</v>
      </c>
      <c r="M2523" t="s">
        <v>6407</v>
      </c>
    </row>
    <row r="2524" spans="1:13" hidden="1" x14ac:dyDescent="0.25">
      <c r="A2524" s="24">
        <f t="shared" si="124"/>
        <v>20</v>
      </c>
      <c r="B2524" s="24">
        <v>9</v>
      </c>
      <c r="C2524" s="24">
        <v>100</v>
      </c>
      <c r="E2524" s="4">
        <v>449279</v>
      </c>
      <c r="F2524" s="2" t="s">
        <v>2</v>
      </c>
      <c r="G2524" s="2" t="str">
        <f t="shared" si="123"/>
        <v>https://www.oreht.ru/modules.php?name=orehtPriceLS&amp;op=Search&amp;page=1&amp;stext=449279</v>
      </c>
      <c r="I2524">
        <v>449279</v>
      </c>
      <c r="J2524" t="s">
        <v>2</v>
      </c>
      <c r="K2524" t="s">
        <v>6410</v>
      </c>
      <c r="L2524" t="s">
        <v>6411</v>
      </c>
      <c r="M2524" t="s">
        <v>6412</v>
      </c>
    </row>
    <row r="2525" spans="1:13" hidden="1" x14ac:dyDescent="0.25">
      <c r="A2525" s="24">
        <f t="shared" si="124"/>
        <v>20</v>
      </c>
      <c r="B2525" s="24">
        <v>9</v>
      </c>
      <c r="C2525" s="24">
        <v>65</v>
      </c>
      <c r="E2525" s="4">
        <v>458367</v>
      </c>
      <c r="F2525" s="2" t="s">
        <v>2</v>
      </c>
      <c r="G2525" s="2" t="str">
        <f t="shared" si="123"/>
        <v>https://www.oreht.ru/modules.php?name=orehtPriceLS&amp;op=Search&amp;page=1&amp;stext=458367</v>
      </c>
      <c r="I2525">
        <v>458367</v>
      </c>
      <c r="J2525" t="s">
        <v>2</v>
      </c>
      <c r="K2525" t="s">
        <v>6413</v>
      </c>
      <c r="L2525" t="s">
        <v>6414</v>
      </c>
      <c r="M2525" t="s">
        <v>6415</v>
      </c>
    </row>
    <row r="2526" spans="1:13" hidden="1" x14ac:dyDescent="0.25">
      <c r="A2526" s="24">
        <f t="shared" si="124"/>
        <v>20</v>
      </c>
      <c r="B2526" s="24">
        <v>9</v>
      </c>
      <c r="C2526" s="24">
        <v>50</v>
      </c>
      <c r="E2526" s="4">
        <v>107960</v>
      </c>
      <c r="F2526" s="2" t="s">
        <v>2</v>
      </c>
      <c r="G2526" s="2" t="str">
        <f t="shared" si="123"/>
        <v>https://www.oreht.ru/modules.php?name=orehtPriceLS&amp;op=Search&amp;page=1&amp;stext=107960</v>
      </c>
      <c r="I2526">
        <v>107960</v>
      </c>
      <c r="J2526" t="s">
        <v>2</v>
      </c>
      <c r="K2526" t="s">
        <v>6416</v>
      </c>
      <c r="L2526" t="s">
        <v>6417</v>
      </c>
      <c r="M2526" t="s">
        <v>6418</v>
      </c>
    </row>
    <row r="2527" spans="1:13" hidden="1" x14ac:dyDescent="0.25">
      <c r="A2527" s="24">
        <f t="shared" si="124"/>
        <v>20</v>
      </c>
      <c r="B2527" s="24">
        <v>9</v>
      </c>
      <c r="C2527" s="24">
        <v>79</v>
      </c>
      <c r="E2527" s="4">
        <v>463145</v>
      </c>
      <c r="F2527" s="2" t="s">
        <v>2</v>
      </c>
      <c r="G2527" s="2" t="str">
        <f t="shared" si="123"/>
        <v>https://www.oreht.ru/modules.php?name=orehtPriceLS&amp;op=Search&amp;page=1&amp;stext=463145</v>
      </c>
      <c r="I2527">
        <v>463145</v>
      </c>
      <c r="J2527" t="s">
        <v>2</v>
      </c>
      <c r="K2527" t="s">
        <v>6419</v>
      </c>
      <c r="L2527" t="s">
        <v>6420</v>
      </c>
      <c r="M2527" t="s">
        <v>6421</v>
      </c>
    </row>
    <row r="2528" spans="1:13" hidden="1" x14ac:dyDescent="0.25">
      <c r="A2528" s="24">
        <f t="shared" si="124"/>
        <v>20</v>
      </c>
      <c r="B2528" s="24">
        <v>9</v>
      </c>
      <c r="C2528" s="24">
        <v>71</v>
      </c>
      <c r="E2528" s="4">
        <v>432803</v>
      </c>
      <c r="F2528" s="2" t="s">
        <v>2</v>
      </c>
      <c r="G2528" s="2" t="str">
        <f t="shared" si="123"/>
        <v>https://www.oreht.ru/modules.php?name=orehtPriceLS&amp;op=Search&amp;page=1&amp;stext=432803</v>
      </c>
      <c r="I2528">
        <v>432803</v>
      </c>
      <c r="J2528" t="s">
        <v>2</v>
      </c>
      <c r="K2528" t="s">
        <v>6422</v>
      </c>
      <c r="L2528" t="s">
        <v>6423</v>
      </c>
      <c r="M2528" t="s">
        <v>6421</v>
      </c>
    </row>
    <row r="2529" spans="1:13" hidden="1" x14ac:dyDescent="0.25">
      <c r="A2529" s="24">
        <f t="shared" si="124"/>
        <v>20</v>
      </c>
      <c r="B2529" s="24">
        <v>9</v>
      </c>
      <c r="C2529" s="24">
        <v>50</v>
      </c>
      <c r="E2529" s="4">
        <v>407640</v>
      </c>
      <c r="F2529" s="2" t="s">
        <v>2</v>
      </c>
      <c r="G2529" s="2" t="str">
        <f t="shared" si="123"/>
        <v>https://www.oreht.ru/modules.php?name=orehtPriceLS&amp;op=Search&amp;page=1&amp;stext=407640</v>
      </c>
      <c r="I2529">
        <v>407640</v>
      </c>
      <c r="J2529" t="s">
        <v>2</v>
      </c>
      <c r="K2529" t="s">
        <v>6424</v>
      </c>
      <c r="L2529" t="s">
        <v>6425</v>
      </c>
      <c r="M2529" t="s">
        <v>6426</v>
      </c>
    </row>
    <row r="2530" spans="1:13" hidden="1" x14ac:dyDescent="0.25">
      <c r="A2530" s="24">
        <f t="shared" si="124"/>
        <v>20</v>
      </c>
      <c r="B2530" s="24">
        <v>9</v>
      </c>
      <c r="C2530" s="24">
        <v>79</v>
      </c>
      <c r="E2530" s="4">
        <v>301333</v>
      </c>
      <c r="F2530" s="2" t="s">
        <v>2</v>
      </c>
      <c r="G2530" s="2" t="str">
        <f t="shared" si="123"/>
        <v>https://www.oreht.ru/modules.php?name=orehtPriceLS&amp;op=Search&amp;page=1&amp;stext=301333</v>
      </c>
      <c r="I2530">
        <v>301333</v>
      </c>
      <c r="J2530" t="s">
        <v>2</v>
      </c>
      <c r="K2530" t="s">
        <v>6427</v>
      </c>
      <c r="L2530" t="s">
        <v>6428</v>
      </c>
      <c r="M2530" t="s">
        <v>6426</v>
      </c>
    </row>
    <row r="2531" spans="1:13" hidden="1" x14ac:dyDescent="0.25">
      <c r="A2531" s="24">
        <f t="shared" si="124"/>
        <v>20</v>
      </c>
      <c r="B2531" s="24">
        <v>9</v>
      </c>
      <c r="C2531" s="24">
        <v>100</v>
      </c>
      <c r="E2531" s="4">
        <v>119298</v>
      </c>
      <c r="F2531" s="2" t="s">
        <v>2</v>
      </c>
      <c r="G2531" s="2" t="str">
        <f t="shared" si="123"/>
        <v>https://www.oreht.ru/modules.php?name=orehtPriceLS&amp;op=Search&amp;page=1&amp;stext=119298</v>
      </c>
      <c r="I2531">
        <v>119298</v>
      </c>
      <c r="J2531" t="s">
        <v>2</v>
      </c>
      <c r="K2531" t="s">
        <v>6429</v>
      </c>
      <c r="L2531" t="s">
        <v>6430</v>
      </c>
      <c r="M2531" t="s">
        <v>6431</v>
      </c>
    </row>
    <row r="2532" spans="1:13" hidden="1" x14ac:dyDescent="0.25">
      <c r="A2532" s="24">
        <f t="shared" si="124"/>
        <v>20</v>
      </c>
      <c r="B2532" s="24">
        <v>8</v>
      </c>
      <c r="C2532" s="24">
        <v>63</v>
      </c>
      <c r="E2532" s="4">
        <v>342072</v>
      </c>
      <c r="F2532" s="2" t="s">
        <v>2</v>
      </c>
      <c r="G2532" s="2" t="str">
        <f t="shared" si="123"/>
        <v>https://www.oreht.ru/modules.php?name=orehtPriceLS&amp;op=Search&amp;page=1&amp;stext=342072</v>
      </c>
      <c r="I2532">
        <v>342072</v>
      </c>
      <c r="J2532" t="s">
        <v>2</v>
      </c>
      <c r="K2532" t="s">
        <v>6432</v>
      </c>
      <c r="L2532" t="s">
        <v>6433</v>
      </c>
      <c r="M2532" t="s">
        <v>6434</v>
      </c>
    </row>
    <row r="2533" spans="1:13" hidden="1" x14ac:dyDescent="0.25">
      <c r="A2533" s="24">
        <f t="shared" si="124"/>
        <v>20</v>
      </c>
      <c r="B2533" s="24">
        <v>9</v>
      </c>
      <c r="C2533" s="24">
        <v>160</v>
      </c>
      <c r="E2533" s="4">
        <v>442623</v>
      </c>
      <c r="F2533" s="2" t="s">
        <v>2</v>
      </c>
      <c r="G2533" s="2" t="str">
        <f t="shared" si="123"/>
        <v>https://www.oreht.ru/modules.php?name=orehtPriceLS&amp;op=Search&amp;page=1&amp;stext=442623</v>
      </c>
      <c r="I2533">
        <v>442623</v>
      </c>
      <c r="J2533" t="s">
        <v>2</v>
      </c>
      <c r="K2533" t="s">
        <v>6435</v>
      </c>
      <c r="L2533" t="s">
        <v>6436</v>
      </c>
      <c r="M2533" t="s">
        <v>6437</v>
      </c>
    </row>
    <row r="2534" spans="1:13" hidden="1" x14ac:dyDescent="0.25">
      <c r="A2534" s="24">
        <f t="shared" si="124"/>
        <v>20</v>
      </c>
      <c r="B2534" s="24">
        <v>9</v>
      </c>
      <c r="C2534" s="24">
        <v>79</v>
      </c>
      <c r="E2534" s="4">
        <v>213244</v>
      </c>
      <c r="F2534" s="2" t="s">
        <v>2</v>
      </c>
      <c r="G2534" s="2" t="str">
        <f t="shared" si="123"/>
        <v>https://www.oreht.ru/modules.php?name=orehtPriceLS&amp;op=Search&amp;page=1&amp;stext=213244</v>
      </c>
      <c r="I2534">
        <v>213244</v>
      </c>
      <c r="J2534" t="s">
        <v>2</v>
      </c>
      <c r="K2534" t="s">
        <v>6438</v>
      </c>
      <c r="L2534" t="s">
        <v>6439</v>
      </c>
      <c r="M2534" t="s">
        <v>6440</v>
      </c>
    </row>
    <row r="2535" spans="1:13" hidden="1" x14ac:dyDescent="0.25">
      <c r="A2535" s="24">
        <f t="shared" si="124"/>
        <v>20</v>
      </c>
      <c r="B2535" s="24">
        <v>9</v>
      </c>
      <c r="C2535" s="24">
        <v>135</v>
      </c>
      <c r="E2535" s="4">
        <v>390286</v>
      </c>
      <c r="F2535" s="2" t="s">
        <v>2</v>
      </c>
      <c r="G2535" s="2" t="str">
        <f t="shared" si="123"/>
        <v>https://www.oreht.ru/modules.php?name=orehtPriceLS&amp;op=Search&amp;page=1&amp;stext=390286</v>
      </c>
      <c r="I2535">
        <v>390286</v>
      </c>
      <c r="J2535" t="s">
        <v>2</v>
      </c>
      <c r="K2535" t="s">
        <v>6441</v>
      </c>
      <c r="L2535" t="s">
        <v>6442</v>
      </c>
      <c r="M2535" t="s">
        <v>6443</v>
      </c>
    </row>
    <row r="2536" spans="1:13" x14ac:dyDescent="0.25">
      <c r="A2536" s="24">
        <f t="shared" si="124"/>
        <v>20</v>
      </c>
      <c r="B2536" s="24">
        <v>9</v>
      </c>
      <c r="C2536" s="24">
        <v>50</v>
      </c>
      <c r="E2536" s="4">
        <v>336755</v>
      </c>
      <c r="F2536" s="2" t="s">
        <v>2</v>
      </c>
      <c r="G2536" s="2" t="str">
        <f t="shared" si="123"/>
        <v>https://www.oreht.ru/modules.php?name=orehtPriceLS&amp;op=Search&amp;page=1&amp;stext=336755</v>
      </c>
      <c r="I2536">
        <v>336755</v>
      </c>
      <c r="J2536" t="s">
        <v>2</v>
      </c>
      <c r="K2536" t="s">
        <v>6444</v>
      </c>
      <c r="L2536" t="s">
        <v>6445</v>
      </c>
      <c r="M2536" t="s">
        <v>649</v>
      </c>
    </row>
    <row r="2537" spans="1:13" hidden="1" x14ac:dyDescent="0.25">
      <c r="A2537" s="24">
        <f t="shared" si="124"/>
        <v>20</v>
      </c>
      <c r="B2537" s="24">
        <v>9</v>
      </c>
      <c r="C2537" s="24">
        <v>67</v>
      </c>
      <c r="E2537" s="4">
        <v>449497</v>
      </c>
      <c r="F2537" s="2" t="s">
        <v>2</v>
      </c>
      <c r="G2537" s="2" t="str">
        <f t="shared" si="123"/>
        <v>https://www.oreht.ru/modules.php?name=orehtPriceLS&amp;op=Search&amp;page=1&amp;stext=449497</v>
      </c>
      <c r="I2537">
        <v>449497</v>
      </c>
      <c r="J2537" t="s">
        <v>2</v>
      </c>
      <c r="K2537" t="s">
        <v>6446</v>
      </c>
      <c r="L2537" t="s">
        <v>6447</v>
      </c>
      <c r="M2537" t="s">
        <v>6448</v>
      </c>
    </row>
    <row r="2538" spans="1:13" hidden="1" x14ac:dyDescent="0.25">
      <c r="A2538" s="24">
        <f t="shared" si="124"/>
        <v>20</v>
      </c>
      <c r="B2538" s="24">
        <v>10</v>
      </c>
      <c r="C2538" s="24">
        <v>50</v>
      </c>
      <c r="E2538" s="4">
        <v>424524</v>
      </c>
      <c r="F2538" s="2" t="s">
        <v>2</v>
      </c>
      <c r="G2538" s="2" t="str">
        <f t="shared" si="123"/>
        <v>https://www.oreht.ru/modules.php?name=orehtPriceLS&amp;op=Search&amp;page=1&amp;stext=424524</v>
      </c>
      <c r="I2538">
        <v>424524</v>
      </c>
      <c r="J2538" t="s">
        <v>2</v>
      </c>
      <c r="K2538" t="s">
        <v>6449</v>
      </c>
      <c r="L2538" t="s">
        <v>6450</v>
      </c>
      <c r="M2538" t="s">
        <v>3006</v>
      </c>
    </row>
    <row r="2539" spans="1:13" hidden="1" x14ac:dyDescent="0.25">
      <c r="A2539" s="24">
        <f t="shared" si="124"/>
        <v>20</v>
      </c>
      <c r="B2539" s="24">
        <v>9</v>
      </c>
      <c r="C2539" s="24">
        <v>63</v>
      </c>
      <c r="E2539" s="4">
        <v>135357</v>
      </c>
      <c r="F2539" s="2" t="s">
        <v>2</v>
      </c>
      <c r="G2539" s="2" t="str">
        <f t="shared" si="123"/>
        <v>https://www.oreht.ru/modules.php?name=orehtPriceLS&amp;op=Search&amp;page=1&amp;stext=135357</v>
      </c>
      <c r="I2539">
        <v>135357</v>
      </c>
      <c r="J2539" t="s">
        <v>2</v>
      </c>
      <c r="K2539" t="s">
        <v>6451</v>
      </c>
      <c r="L2539" t="s">
        <v>6452</v>
      </c>
      <c r="M2539" t="s">
        <v>2897</v>
      </c>
    </row>
    <row r="2540" spans="1:13" hidden="1" x14ac:dyDescent="0.25">
      <c r="A2540" s="24">
        <f t="shared" si="124"/>
        <v>20</v>
      </c>
      <c r="B2540" s="24">
        <v>9</v>
      </c>
      <c r="C2540" s="24">
        <v>63</v>
      </c>
      <c r="E2540" s="4">
        <v>213236</v>
      </c>
      <c r="F2540" s="2" t="s">
        <v>2</v>
      </c>
      <c r="G2540" s="2" t="str">
        <f t="shared" si="123"/>
        <v>https://www.oreht.ru/modules.php?name=orehtPriceLS&amp;op=Search&amp;page=1&amp;stext=213236</v>
      </c>
      <c r="I2540">
        <v>213236</v>
      </c>
      <c r="J2540" t="s">
        <v>2</v>
      </c>
      <c r="K2540" t="s">
        <v>6453</v>
      </c>
      <c r="L2540" t="s">
        <v>6454</v>
      </c>
      <c r="M2540" t="s">
        <v>6455</v>
      </c>
    </row>
    <row r="2541" spans="1:13" hidden="1" x14ac:dyDescent="0.25">
      <c r="A2541" s="24">
        <f t="shared" si="124"/>
        <v>20</v>
      </c>
      <c r="B2541" s="24">
        <v>9</v>
      </c>
      <c r="C2541" s="24">
        <v>65</v>
      </c>
      <c r="E2541" s="4">
        <v>335098</v>
      </c>
      <c r="F2541" s="2" t="s">
        <v>2</v>
      </c>
      <c r="G2541" s="2" t="str">
        <f t="shared" si="123"/>
        <v>https://www.oreht.ru/modules.php?name=orehtPriceLS&amp;op=Search&amp;page=1&amp;stext=335098</v>
      </c>
      <c r="I2541">
        <v>335098</v>
      </c>
      <c r="J2541" t="s">
        <v>2</v>
      </c>
      <c r="K2541" t="s">
        <v>6456</v>
      </c>
      <c r="L2541" t="s">
        <v>6457</v>
      </c>
      <c r="M2541" t="s">
        <v>6458</v>
      </c>
    </row>
    <row r="2542" spans="1:13" hidden="1" x14ac:dyDescent="0.25">
      <c r="A2542" s="24">
        <f t="shared" si="124"/>
        <v>20</v>
      </c>
      <c r="B2542" s="24">
        <v>9</v>
      </c>
      <c r="C2542" s="24">
        <v>50</v>
      </c>
      <c r="E2542" s="4">
        <v>445585</v>
      </c>
      <c r="F2542" s="2" t="s">
        <v>2</v>
      </c>
      <c r="G2542" s="2" t="str">
        <f t="shared" si="123"/>
        <v>https://www.oreht.ru/modules.php?name=orehtPriceLS&amp;op=Search&amp;page=1&amp;stext=445585</v>
      </c>
      <c r="I2542">
        <v>445585</v>
      </c>
      <c r="J2542" t="s">
        <v>2</v>
      </c>
      <c r="K2542" t="s">
        <v>6459</v>
      </c>
      <c r="L2542" t="s">
        <v>6460</v>
      </c>
      <c r="M2542" t="s">
        <v>6461</v>
      </c>
    </row>
    <row r="2543" spans="1:13" hidden="1" x14ac:dyDescent="0.25">
      <c r="A2543" s="24">
        <f t="shared" si="124"/>
        <v>20</v>
      </c>
      <c r="B2543" s="24">
        <v>9</v>
      </c>
      <c r="C2543" s="24">
        <v>100</v>
      </c>
      <c r="E2543" s="4">
        <v>365706</v>
      </c>
      <c r="F2543" s="2" t="s">
        <v>2</v>
      </c>
      <c r="G2543" s="2" t="str">
        <f t="shared" si="123"/>
        <v>https://www.oreht.ru/modules.php?name=orehtPriceLS&amp;op=Search&amp;page=1&amp;stext=365706</v>
      </c>
      <c r="I2543">
        <v>365706</v>
      </c>
      <c r="J2543" t="s">
        <v>2</v>
      </c>
      <c r="K2543" t="s">
        <v>6462</v>
      </c>
      <c r="L2543" t="s">
        <v>6463</v>
      </c>
      <c r="M2543" t="s">
        <v>6461</v>
      </c>
    </row>
    <row r="2544" spans="1:13" hidden="1" x14ac:dyDescent="0.25">
      <c r="A2544" s="24">
        <f t="shared" si="124"/>
        <v>20</v>
      </c>
      <c r="B2544" s="24">
        <v>9</v>
      </c>
      <c r="C2544" s="24">
        <v>65</v>
      </c>
      <c r="E2544" s="4">
        <v>297307</v>
      </c>
      <c r="F2544" s="2" t="s">
        <v>2</v>
      </c>
      <c r="G2544" s="2" t="str">
        <f t="shared" si="123"/>
        <v>https://www.oreht.ru/modules.php?name=orehtPriceLS&amp;op=Search&amp;page=1&amp;stext=297307</v>
      </c>
      <c r="I2544">
        <v>297307</v>
      </c>
      <c r="J2544" t="s">
        <v>2</v>
      </c>
      <c r="K2544" t="s">
        <v>6464</v>
      </c>
      <c r="L2544" t="s">
        <v>6465</v>
      </c>
      <c r="M2544" t="s">
        <v>6466</v>
      </c>
    </row>
    <row r="2545" spans="1:13" hidden="1" x14ac:dyDescent="0.25">
      <c r="A2545" s="24">
        <f t="shared" si="124"/>
        <v>20</v>
      </c>
      <c r="B2545" s="24">
        <v>10</v>
      </c>
      <c r="C2545" s="24">
        <v>50</v>
      </c>
      <c r="E2545" s="4">
        <v>453528</v>
      </c>
      <c r="F2545" s="2" t="s">
        <v>2</v>
      </c>
      <c r="G2545" s="2" t="str">
        <f t="shared" si="123"/>
        <v>https://www.oreht.ru/modules.php?name=orehtPriceLS&amp;op=Search&amp;page=1&amp;stext=453528</v>
      </c>
      <c r="I2545">
        <v>453528</v>
      </c>
      <c r="J2545" t="s">
        <v>2</v>
      </c>
      <c r="K2545" t="s">
        <v>6467</v>
      </c>
      <c r="L2545" t="s">
        <v>6468</v>
      </c>
      <c r="M2545" t="s">
        <v>6469</v>
      </c>
    </row>
    <row r="2546" spans="1:13" hidden="1" x14ac:dyDescent="0.25">
      <c r="A2546" s="24">
        <f t="shared" si="124"/>
        <v>20</v>
      </c>
      <c r="B2546" s="24">
        <v>9</v>
      </c>
      <c r="C2546" s="24">
        <v>100</v>
      </c>
      <c r="E2546" s="4">
        <v>304659</v>
      </c>
      <c r="F2546" s="2" t="s">
        <v>2</v>
      </c>
      <c r="G2546" s="2" t="str">
        <f t="shared" si="123"/>
        <v>https://www.oreht.ru/modules.php?name=orehtPriceLS&amp;op=Search&amp;page=1&amp;stext=304659</v>
      </c>
      <c r="I2546">
        <v>304659</v>
      </c>
      <c r="J2546" t="s">
        <v>2</v>
      </c>
      <c r="K2546" t="s">
        <v>6470</v>
      </c>
      <c r="L2546" t="s">
        <v>6471</v>
      </c>
      <c r="M2546" t="s">
        <v>3025</v>
      </c>
    </row>
    <row r="2547" spans="1:13" hidden="1" x14ac:dyDescent="0.25">
      <c r="A2547" s="24">
        <f t="shared" si="124"/>
        <v>20</v>
      </c>
      <c r="B2547" s="24">
        <v>9</v>
      </c>
      <c r="C2547" s="24">
        <v>100</v>
      </c>
      <c r="E2547" s="4">
        <v>301298</v>
      </c>
      <c r="F2547" s="2" t="s">
        <v>2</v>
      </c>
      <c r="G2547" s="2" t="str">
        <f t="shared" si="123"/>
        <v>https://www.oreht.ru/modules.php?name=orehtPriceLS&amp;op=Search&amp;page=1&amp;stext=301298</v>
      </c>
      <c r="I2547">
        <v>301298</v>
      </c>
      <c r="J2547" t="s">
        <v>2</v>
      </c>
      <c r="K2547" t="s">
        <v>6472</v>
      </c>
      <c r="L2547" t="s">
        <v>6473</v>
      </c>
      <c r="M2547" t="s">
        <v>6474</v>
      </c>
    </row>
    <row r="2548" spans="1:13" hidden="1" x14ac:dyDescent="0.25">
      <c r="A2548" s="24">
        <f t="shared" si="124"/>
        <v>20</v>
      </c>
      <c r="B2548" s="24">
        <v>9</v>
      </c>
      <c r="C2548" s="24">
        <v>50</v>
      </c>
      <c r="E2548" s="4">
        <v>462206</v>
      </c>
      <c r="F2548" s="2" t="s">
        <v>2</v>
      </c>
      <c r="G2548" s="2" t="str">
        <f t="shared" si="123"/>
        <v>https://www.oreht.ru/modules.php?name=orehtPriceLS&amp;op=Search&amp;page=1&amp;stext=462206</v>
      </c>
      <c r="I2548">
        <v>462206</v>
      </c>
      <c r="J2548" t="s">
        <v>2</v>
      </c>
      <c r="K2548" t="s">
        <v>6475</v>
      </c>
      <c r="L2548" t="s">
        <v>6476</v>
      </c>
      <c r="M2548" t="s">
        <v>6477</v>
      </c>
    </row>
    <row r="2549" spans="1:13" hidden="1" x14ac:dyDescent="0.25">
      <c r="A2549" s="24">
        <f t="shared" si="124"/>
        <v>20</v>
      </c>
      <c r="B2549" s="24">
        <v>9</v>
      </c>
      <c r="C2549" s="24">
        <v>69</v>
      </c>
      <c r="E2549" s="4">
        <v>91821</v>
      </c>
      <c r="F2549" s="2" t="s">
        <v>2</v>
      </c>
      <c r="G2549" s="2" t="str">
        <f t="shared" si="123"/>
        <v>https://www.oreht.ru/modules.php?name=orehtPriceLS&amp;op=Search&amp;page=1&amp;stext=91821</v>
      </c>
      <c r="I2549">
        <v>91821</v>
      </c>
      <c r="J2549" t="s">
        <v>2</v>
      </c>
      <c r="K2549" t="s">
        <v>6478</v>
      </c>
      <c r="L2549" t="s">
        <v>6479</v>
      </c>
      <c r="M2549" t="s">
        <v>6480</v>
      </c>
    </row>
    <row r="2550" spans="1:13" hidden="1" x14ac:dyDescent="0.25">
      <c r="A2550" s="24">
        <f t="shared" si="124"/>
        <v>20</v>
      </c>
      <c r="B2550" s="24">
        <v>9</v>
      </c>
      <c r="C2550" s="24">
        <v>120</v>
      </c>
      <c r="E2550" s="4">
        <v>264605</v>
      </c>
      <c r="F2550" s="2" t="s">
        <v>2</v>
      </c>
      <c r="G2550" s="2" t="str">
        <f t="shared" si="123"/>
        <v>https://www.oreht.ru/modules.php?name=orehtPriceLS&amp;op=Search&amp;page=1&amp;stext=264605</v>
      </c>
      <c r="I2550">
        <v>264605</v>
      </c>
      <c r="J2550" t="s">
        <v>2</v>
      </c>
      <c r="K2550" t="s">
        <v>6481</v>
      </c>
      <c r="L2550" t="s">
        <v>6482</v>
      </c>
      <c r="M2550" t="s">
        <v>6483</v>
      </c>
    </row>
    <row r="2551" spans="1:13" hidden="1" x14ac:dyDescent="0.25">
      <c r="A2551" s="24">
        <f t="shared" si="124"/>
        <v>20</v>
      </c>
      <c r="B2551" s="24">
        <v>9</v>
      </c>
      <c r="C2551" s="24">
        <v>71</v>
      </c>
      <c r="E2551" s="4">
        <v>386893</v>
      </c>
      <c r="F2551" s="2" t="s">
        <v>2</v>
      </c>
      <c r="G2551" s="2" t="str">
        <f t="shared" si="123"/>
        <v>https://www.oreht.ru/modules.php?name=orehtPriceLS&amp;op=Search&amp;page=1&amp;stext=386893</v>
      </c>
      <c r="I2551">
        <v>386893</v>
      </c>
      <c r="J2551" t="s">
        <v>2</v>
      </c>
      <c r="K2551" t="s">
        <v>6484</v>
      </c>
      <c r="L2551" t="s">
        <v>6485</v>
      </c>
      <c r="M2551" t="s">
        <v>6483</v>
      </c>
    </row>
    <row r="2552" spans="1:13" hidden="1" x14ac:dyDescent="0.25">
      <c r="A2552" s="24">
        <f t="shared" si="124"/>
        <v>20</v>
      </c>
      <c r="B2552" s="24">
        <v>9</v>
      </c>
      <c r="C2552" s="24">
        <v>135</v>
      </c>
      <c r="E2552" s="4">
        <v>406621</v>
      </c>
      <c r="F2552" s="2" t="s">
        <v>2</v>
      </c>
      <c r="G2552" s="2" t="str">
        <f t="shared" si="123"/>
        <v>https://www.oreht.ru/modules.php?name=orehtPriceLS&amp;op=Search&amp;page=1&amp;stext=406621</v>
      </c>
      <c r="I2552">
        <v>406621</v>
      </c>
      <c r="J2552" t="s">
        <v>2</v>
      </c>
      <c r="K2552" t="s">
        <v>6486</v>
      </c>
      <c r="L2552" t="s">
        <v>6487</v>
      </c>
      <c r="M2552" t="s">
        <v>6488</v>
      </c>
    </row>
    <row r="2553" spans="1:13" hidden="1" x14ac:dyDescent="0.25">
      <c r="A2553" s="24">
        <f t="shared" si="124"/>
        <v>20</v>
      </c>
      <c r="B2553" s="24">
        <v>9</v>
      </c>
      <c r="C2553" s="24">
        <v>65</v>
      </c>
      <c r="E2553" s="4">
        <v>325151</v>
      </c>
      <c r="F2553" s="2" t="s">
        <v>2</v>
      </c>
      <c r="G2553" s="2" t="str">
        <f t="shared" si="123"/>
        <v>https://www.oreht.ru/modules.php?name=orehtPriceLS&amp;op=Search&amp;page=1&amp;stext=325151</v>
      </c>
      <c r="I2553">
        <v>325151</v>
      </c>
      <c r="J2553" t="s">
        <v>2</v>
      </c>
      <c r="K2553" t="s">
        <v>6489</v>
      </c>
      <c r="L2553" t="s">
        <v>6490</v>
      </c>
      <c r="M2553" t="s">
        <v>6491</v>
      </c>
    </row>
    <row r="2554" spans="1:13" hidden="1" x14ac:dyDescent="0.25">
      <c r="A2554" s="24">
        <f t="shared" si="124"/>
        <v>20</v>
      </c>
      <c r="B2554" s="24">
        <v>9</v>
      </c>
      <c r="C2554" s="24">
        <v>120</v>
      </c>
      <c r="E2554" s="4">
        <v>458724</v>
      </c>
      <c r="F2554" s="2" t="s">
        <v>2</v>
      </c>
      <c r="G2554" s="2" t="str">
        <f t="shared" si="123"/>
        <v>https://www.oreht.ru/modules.php?name=orehtPriceLS&amp;op=Search&amp;page=1&amp;stext=458724</v>
      </c>
      <c r="I2554">
        <v>458724</v>
      </c>
      <c r="J2554" t="s">
        <v>2</v>
      </c>
      <c r="K2554" t="s">
        <v>6492</v>
      </c>
      <c r="L2554" t="s">
        <v>6493</v>
      </c>
      <c r="M2554" t="s">
        <v>3625</v>
      </c>
    </row>
    <row r="2555" spans="1:13" hidden="1" x14ac:dyDescent="0.25">
      <c r="A2555" s="24">
        <f t="shared" si="124"/>
        <v>20</v>
      </c>
      <c r="B2555" s="24">
        <v>9</v>
      </c>
      <c r="C2555" s="24">
        <v>79</v>
      </c>
      <c r="E2555" s="4">
        <v>112773</v>
      </c>
      <c r="F2555" s="2" t="s">
        <v>2</v>
      </c>
      <c r="G2555" s="2" t="str">
        <f t="shared" si="123"/>
        <v>https://www.oreht.ru/modules.php?name=orehtPriceLS&amp;op=Search&amp;page=1&amp;stext=112773</v>
      </c>
      <c r="I2555">
        <v>112773</v>
      </c>
      <c r="J2555" t="s">
        <v>2</v>
      </c>
      <c r="K2555" t="s">
        <v>6494</v>
      </c>
      <c r="L2555" t="s">
        <v>6495</v>
      </c>
      <c r="M2555" t="s">
        <v>3604</v>
      </c>
    </row>
    <row r="2556" spans="1:13" hidden="1" x14ac:dyDescent="0.25">
      <c r="A2556" s="24">
        <f t="shared" si="124"/>
        <v>20</v>
      </c>
      <c r="B2556" s="24">
        <v>8</v>
      </c>
      <c r="C2556" s="24">
        <v>79</v>
      </c>
      <c r="E2556" s="4">
        <v>407955</v>
      </c>
      <c r="F2556" s="2" t="s">
        <v>2</v>
      </c>
      <c r="G2556" s="2" t="str">
        <f t="shared" si="123"/>
        <v>https://www.oreht.ru/modules.php?name=orehtPriceLS&amp;op=Search&amp;page=1&amp;stext=407955</v>
      </c>
      <c r="I2556">
        <v>407955</v>
      </c>
      <c r="J2556" t="s">
        <v>2</v>
      </c>
      <c r="K2556" t="s">
        <v>6496</v>
      </c>
      <c r="L2556" t="s">
        <v>6497</v>
      </c>
      <c r="M2556" t="s">
        <v>6498</v>
      </c>
    </row>
    <row r="2557" spans="1:13" hidden="1" x14ac:dyDescent="0.25">
      <c r="A2557" s="24">
        <f t="shared" si="124"/>
        <v>20</v>
      </c>
      <c r="B2557" s="24">
        <v>9</v>
      </c>
      <c r="C2557" s="24">
        <v>50</v>
      </c>
      <c r="E2557" s="4">
        <v>385686</v>
      </c>
      <c r="F2557" s="2" t="s">
        <v>2</v>
      </c>
      <c r="G2557" s="2" t="str">
        <f t="shared" si="123"/>
        <v>https://www.oreht.ru/modules.php?name=orehtPriceLS&amp;op=Search&amp;page=1&amp;stext=385686</v>
      </c>
      <c r="I2557">
        <v>385686</v>
      </c>
      <c r="J2557" t="s">
        <v>2</v>
      </c>
      <c r="K2557" t="s">
        <v>6499</v>
      </c>
      <c r="L2557" t="s">
        <v>6500</v>
      </c>
      <c r="M2557" t="s">
        <v>6498</v>
      </c>
    </row>
    <row r="2558" spans="1:13" hidden="1" x14ac:dyDescent="0.25">
      <c r="A2558" s="24">
        <f t="shared" si="124"/>
        <v>20</v>
      </c>
      <c r="B2558" s="24">
        <v>12</v>
      </c>
      <c r="C2558" s="24">
        <v>210</v>
      </c>
      <c r="E2558" s="4">
        <v>445000</v>
      </c>
      <c r="F2558" s="2" t="s">
        <v>2</v>
      </c>
      <c r="G2558" s="2" t="str">
        <f t="shared" si="123"/>
        <v>https://www.oreht.ru/modules.php?name=orehtPriceLS&amp;op=Search&amp;page=1&amp;stext=445000</v>
      </c>
      <c r="I2558">
        <v>445000</v>
      </c>
      <c r="J2558" t="s">
        <v>2</v>
      </c>
      <c r="K2558" t="s">
        <v>6501</v>
      </c>
      <c r="L2558" t="s">
        <v>6502</v>
      </c>
      <c r="M2558" t="s">
        <v>6503</v>
      </c>
    </row>
    <row r="2559" spans="1:13" hidden="1" x14ac:dyDescent="0.25">
      <c r="A2559" s="24">
        <f t="shared" si="124"/>
        <v>20</v>
      </c>
      <c r="B2559" s="24">
        <v>10</v>
      </c>
      <c r="C2559" s="24">
        <v>79</v>
      </c>
      <c r="E2559" s="4">
        <v>432687</v>
      </c>
      <c r="F2559" s="2" t="s">
        <v>2</v>
      </c>
      <c r="G2559" s="2" t="str">
        <f t="shared" si="123"/>
        <v>https://www.oreht.ru/modules.php?name=orehtPriceLS&amp;op=Search&amp;page=1&amp;stext=432687</v>
      </c>
      <c r="I2559">
        <v>432687</v>
      </c>
      <c r="J2559" t="s">
        <v>2</v>
      </c>
      <c r="K2559" t="s">
        <v>6504</v>
      </c>
      <c r="L2559" t="s">
        <v>6505</v>
      </c>
      <c r="M2559" t="s">
        <v>6506</v>
      </c>
    </row>
    <row r="2560" spans="1:13" hidden="1" x14ac:dyDescent="0.25">
      <c r="A2560" s="24">
        <f t="shared" si="124"/>
        <v>20</v>
      </c>
      <c r="B2560" s="24">
        <v>10</v>
      </c>
      <c r="C2560" s="24">
        <v>50</v>
      </c>
      <c r="E2560" s="4">
        <v>397107</v>
      </c>
      <c r="F2560" s="2" t="s">
        <v>2</v>
      </c>
      <c r="G2560" s="2" t="str">
        <f t="shared" si="123"/>
        <v>https://www.oreht.ru/modules.php?name=orehtPriceLS&amp;op=Search&amp;page=1&amp;stext=397107</v>
      </c>
      <c r="I2560">
        <v>397107</v>
      </c>
      <c r="J2560" t="s">
        <v>2</v>
      </c>
      <c r="K2560" t="s">
        <v>6507</v>
      </c>
      <c r="L2560" t="s">
        <v>6508</v>
      </c>
      <c r="M2560" t="s">
        <v>6506</v>
      </c>
    </row>
    <row r="2561" spans="1:13" hidden="1" x14ac:dyDescent="0.25">
      <c r="A2561" s="24">
        <f t="shared" si="124"/>
        <v>20</v>
      </c>
      <c r="B2561" s="24">
        <v>9</v>
      </c>
      <c r="C2561" s="24">
        <v>70</v>
      </c>
      <c r="E2561" s="4">
        <v>428704</v>
      </c>
      <c r="F2561" s="2" t="s">
        <v>2</v>
      </c>
      <c r="G2561" s="2" t="str">
        <f t="shared" si="123"/>
        <v>https://www.oreht.ru/modules.php?name=orehtPriceLS&amp;op=Search&amp;page=1&amp;stext=428704</v>
      </c>
      <c r="I2561">
        <v>428704</v>
      </c>
      <c r="J2561" t="s">
        <v>2</v>
      </c>
      <c r="K2561" t="s">
        <v>6509</v>
      </c>
      <c r="L2561" t="s">
        <v>6510</v>
      </c>
      <c r="M2561" t="s">
        <v>6511</v>
      </c>
    </row>
  </sheetData>
  <mergeCells count="3">
    <mergeCell ref="X1:Y1"/>
    <mergeCell ref="T1:U1"/>
    <mergeCell ref="O1:P1"/>
  </mergeCells>
  <phoneticPr fontId="6" type="noConversion"/>
  <hyperlinks>
    <hyperlink ref="F4" r:id="rId1" xr:uid="{00000000-0004-0000-0000-000000000000}"/>
    <hyperlink ref="F5:F129" r:id="rId2" display="https://www.oreht.ru/modules.php?name=orehtPriceLS&amp;op=Search&amp;page=1&amp;stext=" xr:uid="{7AE2F5D7-5FAC-495D-951D-43824FC4163D}"/>
    <hyperlink ref="F130:F2561" r:id="rId3" display="https://www.oreht.ru/modules.php?name=orehtPriceLS&amp;op=Search&amp;page=1&amp;stext=" xr:uid="{44376051-B8E3-4DA5-87FE-FA765A768876}"/>
  </hyperlinks>
  <pageMargins left="0.7" right="0.7" top="0.75" bottom="0.75" header="0.3" footer="0.3"/>
  <pageSetup paperSize="9" orientation="portrait" r:id="rId4"/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80F20C-329E-49E1-BA0A-E62D42D975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Закуп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камран</dc:creator>
  <cp:lastModifiedBy>kamran</cp:lastModifiedBy>
  <dcterms:created xsi:type="dcterms:W3CDTF">2022-03-27T20:59:53Z</dcterms:created>
  <dcterms:modified xsi:type="dcterms:W3CDTF">2022-12-29T11:54:22Z</dcterms:modified>
</cp:coreProperties>
</file>